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comments3.xml" ContentType="application/vnd.openxmlformats-officedocument.spreadsheetml.comments+xml"/>
  <Override PartName="/xl/threadedComments/threadedComment2.xml" ContentType="application/vnd.ms-excel.threadedcomments+xml"/>
  <Override PartName="/xl/comments4.xml" ContentType="application/vnd.openxmlformats-officedocument.spreadsheetml.comments+xml"/>
  <Override PartName="/xl/threadedComments/threadedComment3.xml" ContentType="application/vnd.ms-excel.threadedcomments+xml"/>
  <Override PartName="/xl/comments5.xml" ContentType="application/vnd.openxmlformats-officedocument.spreadsheetml.comments+xml"/>
  <Override PartName="/xl/threadedComments/threadedComment4.xml" ContentType="application/vnd.ms-excel.threadedcomments+xml"/>
  <Override PartName="/xl/comments6.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126"/>
  <workbookPr codeName="ThisWorkbook" defaultThemeVersion="124226"/>
  <mc:AlternateContent xmlns:mc="http://schemas.openxmlformats.org/markup-compatibility/2006">
    <mc:Choice Requires="x15">
      <x15ac:absPath xmlns:x15ac="http://schemas.microsoft.com/office/spreadsheetml/2010/11/ac" url="https://mnnso.sharepoint.com/sites/DZ/DocLib/2024 он/ДЗХ №1/Өрхийн нийгэм эдийн засгийн судалгааны асуулга, нөхөх заавар/"/>
    </mc:Choice>
  </mc:AlternateContent>
  <xr:revisionPtr revIDLastSave="845" documentId="13_ncr:1_{D2F38003-2DA8-45FE-A75D-809BFA1C5072}" xr6:coauthVersionLast="47" xr6:coauthVersionMax="47" xr10:uidLastSave="{51BE29C2-92E3-49BD-B0B3-F1A9D73599FF}"/>
  <bookViews>
    <workbookView xWindow="510" yWindow="15" windowWidth="27570" windowHeight="15480" tabRatio="844" firstSheet="7" activeTab="15" xr2:uid="{00000000-000D-0000-FFFF-FFFF00000000}"/>
  </bookViews>
  <sheets>
    <sheet name="Cover" sheetId="37" r:id="rId1"/>
    <sheet name="01 Roster" sheetId="3" r:id="rId2"/>
    <sheet name="01 Migration" sheetId="41" r:id="rId3"/>
    <sheet name="02-A Education" sheetId="26" r:id="rId4"/>
    <sheet name="02-B Education" sheetId="4" r:id="rId5"/>
    <sheet name="03-A Health" sheetId="34" r:id="rId6"/>
    <sheet name="03-B Disability" sheetId="30" r:id="rId7"/>
    <sheet name="04 Job_ok" sheetId="35" r:id="rId8"/>
    <sheet name="05-А Oth.inc" sheetId="28" r:id="rId9"/>
    <sheet name="05-B Remit_Sender" sheetId="43" r:id="rId10"/>
    <sheet name="06-A1 Agric." sheetId="23" r:id="rId11"/>
    <sheet name="06-А2 Agric" sheetId="22" r:id="rId12"/>
    <sheet name="06-B Agric" sheetId="8" r:id="rId13"/>
    <sheet name="07 Self" sheetId="10" r:id="rId14"/>
    <sheet name="08 sav" sheetId="18" r:id="rId15"/>
    <sheet name="09-A Housing" sheetId="40" r:id="rId16"/>
    <sheet name="09-B Housing" sheetId="13" r:id="rId17"/>
    <sheet name="10 Other MPI" sheetId="33" r:id="rId18"/>
    <sheet name="11 Dur" sheetId="14" r:id="rId19"/>
    <sheet name="12 NonFood" sheetId="17" r:id="rId20"/>
  </sheets>
  <externalReferences>
    <externalReference r:id="rId21"/>
    <externalReference r:id="rId22"/>
    <externalReference r:id="rId23"/>
    <externalReference r:id="rId24"/>
    <externalReference r:id="rId25"/>
    <externalReference r:id="rId26"/>
    <externalReference r:id="rId27"/>
    <externalReference r:id="rId28"/>
    <externalReference r:id="rId29"/>
  </externalReferences>
  <definedNames>
    <definedName name="_xlnm._FilterDatabase" localSheetId="19" hidden="1">'12 NonFood'!$A$1:$G$441</definedName>
    <definedName name="_Sort" localSheetId="2" hidden="1">[1]price!#REF!</definedName>
    <definedName name="_Sort" localSheetId="3" hidden="1">[1]price!#REF!</definedName>
    <definedName name="_Sort" localSheetId="5" hidden="1">[1]price!#REF!</definedName>
    <definedName name="_Sort" localSheetId="8" hidden="1">[1]price!#REF!</definedName>
    <definedName name="_Sort" localSheetId="14" hidden="1">[1]price!#REF!</definedName>
    <definedName name="_Sort" localSheetId="15" hidden="1">[1]price!#REF!</definedName>
    <definedName name="_Sort" localSheetId="19" hidden="1">[1]price!#REF!</definedName>
    <definedName name="_Sort" hidden="1">[1]price!#REF!</definedName>
    <definedName name="BBB" localSheetId="2" hidden="1">[1]price!#REF!</definedName>
    <definedName name="BBB" localSheetId="5" hidden="1">[1]price!#REF!</definedName>
    <definedName name="BBB" localSheetId="7" hidden="1">[1]price!#REF!</definedName>
    <definedName name="BBB" localSheetId="15" hidden="1">[1]price!#REF!</definedName>
    <definedName name="BBB" hidden="1">[1]price!#REF!</definedName>
    <definedName name="Perberja_Familjare" localSheetId="2">#REF!</definedName>
    <definedName name="Perberja_Familjare" localSheetId="3">#REF!</definedName>
    <definedName name="Perberja_Familjare" localSheetId="4">#REF!</definedName>
    <definedName name="Perberja_Familjare" localSheetId="5">#REF!</definedName>
    <definedName name="Perberja_Familjare" localSheetId="9">#REF!</definedName>
    <definedName name="Perberja_Familjare" localSheetId="8">#REF!</definedName>
    <definedName name="Perberja_Familjare" localSheetId="10">#REF!</definedName>
    <definedName name="Perberja_Familjare" localSheetId="12">#REF!</definedName>
    <definedName name="Perberja_Familjare" localSheetId="11">#REF!</definedName>
    <definedName name="Perberja_Familjare" localSheetId="13">#REF!</definedName>
    <definedName name="Perberja_Familjare" localSheetId="14">#REF!</definedName>
    <definedName name="Perberja_Familjare" localSheetId="16">#REF!</definedName>
    <definedName name="Perberja_Familjare" localSheetId="18">#REF!</definedName>
    <definedName name="Perberja_Familjare" localSheetId="19">#REF!</definedName>
    <definedName name="Perberja_Familjare">#REF!</definedName>
    <definedName name="_xlnm.Print_Area" localSheetId="2">'01 Migration'!$A$1:$AS$42</definedName>
    <definedName name="_xlnm.Print_Area" localSheetId="1">'01 Roster'!$A$1:$AH$39</definedName>
    <definedName name="_xlnm.Print_Area" localSheetId="3">'02-A Education'!$A$1:$R$32</definedName>
    <definedName name="_xlnm.Print_Area" localSheetId="4">'02-B Education'!$A$1:$BM$39</definedName>
    <definedName name="_xlnm.Print_Area" localSheetId="6">'03-B Disability'!$A$1:$AZ$38</definedName>
    <definedName name="_xlnm.Print_Area" localSheetId="7">'04 Job_ok'!$A$1:$DQ$44</definedName>
    <definedName name="_xlnm.Print_Area" localSheetId="9">'05-B Remit_Sender'!$A$1:$AL$48</definedName>
    <definedName name="_xlnm.Print_Area" localSheetId="8">'05-А Oth.inc'!$A$1:$BI$35</definedName>
    <definedName name="_xlnm.Print_Area" localSheetId="10">'06-A1 Agric.'!$A$1:$AE$32</definedName>
    <definedName name="_xlnm.Print_Area" localSheetId="12">'06-B Agric'!$A$1:$AY$43</definedName>
    <definedName name="_xlnm.Print_Area" localSheetId="11">'06-А2 Agric'!$A$1:$AF$40</definedName>
    <definedName name="_xlnm.Print_Area" localSheetId="13">'07 Self'!$A$1:$AV$44</definedName>
    <definedName name="_xlnm.Print_Area" localSheetId="14">'08 sav'!$A$1:$Y$52</definedName>
    <definedName name="_xlnm.Print_Area" localSheetId="15">'09-A Housing'!$A$1:$W$374</definedName>
    <definedName name="_xlnm.Print_Area" localSheetId="16">'09-B Housing'!$A$1:$AS$44</definedName>
    <definedName name="_xlnm.Print_Area" localSheetId="17">'10 Other MPI'!$A$1:$W$96</definedName>
    <definedName name="_xlnm.Print_Area" localSheetId="18">'11 Dur'!$A$1:$BF$47</definedName>
    <definedName name="_xlnm.Print_Area" localSheetId="19">'12 NonFood'!$A$1:$F$374</definedName>
    <definedName name="_xlnm.Print_Area" localSheetId="0">Cover!$A$1:$AJ$45</definedName>
    <definedName name="_xlnm.Print_Titles" localSheetId="2">'01 Migration'!$A:$A</definedName>
    <definedName name="_xlnm.Print_Titles" localSheetId="3">'02-A Education'!$A:$A</definedName>
    <definedName name="_xlnm.Print_Titles" localSheetId="4">'02-B Education'!$A:$A</definedName>
    <definedName name="_xlnm.Print_Titles" localSheetId="5">'03-A Health'!$A:$A</definedName>
    <definedName name="_xlnm.Print_Titles" localSheetId="7">'04 Job_ok'!$A:$A</definedName>
    <definedName name="_xlnm.Print_Titles" localSheetId="9">'05-B Remit_Sender'!$A:$A</definedName>
    <definedName name="_xlnm.Print_Titles" localSheetId="10">'06-A1 Agric.'!$A:$A</definedName>
    <definedName name="_xlnm.Print_Titles" localSheetId="12">'06-B Agric'!$A:$A</definedName>
    <definedName name="_xlnm.Print_Titles" localSheetId="11">'06-А2 Agric'!$A:$A</definedName>
    <definedName name="_xlnm.Print_Titles" localSheetId="15">'09-A Housing'!$1:$4</definedName>
    <definedName name="_xlnm.Print_Titles" localSheetId="17">'10 Other MPI'!$1:$3</definedName>
    <definedName name="_xlnm.Print_Titles" localSheetId="18">'11 Dur'!$A:$A,'11 Dur'!$3:$17</definedName>
    <definedName name="_xlnm.Print_Titles" localSheetId="19">'12 NonFood'!$1:$10</definedName>
    <definedName name="TEST" localSheetId="2">'[2](1) HOUSEHOLD ROSTER'!$B$1</definedName>
    <definedName name="TEST" localSheetId="3">'[3](1) HOUSEHOLD ROSTER'!$B$1</definedName>
    <definedName name="TEST" localSheetId="4">'[3](1) HOUSEHOLD ROSTER'!$B$1</definedName>
    <definedName name="TEST" localSheetId="5">'[4](1) HOUSEHOLD ROSTER'!$B$1</definedName>
    <definedName name="TEST" localSheetId="9">'[2](1) HOUSEHOLD ROSTER'!$B$1</definedName>
    <definedName name="TEST" localSheetId="8">'[5](1) HOUSEHOLD ROSTER'!$B$1</definedName>
    <definedName name="TEST" localSheetId="10">'[6](1) HOUSEHOLD ROSTER'!$B$1</definedName>
    <definedName name="TEST" localSheetId="12">'[5](1) HOUSEHOLD ROSTER'!$B$1</definedName>
    <definedName name="TEST" localSheetId="11">'[7](1) HOUSEHOLD ROSTER'!$B$1</definedName>
    <definedName name="TEST" localSheetId="13">'[8](1) HOUSEHOLD ROSTER'!$B$1</definedName>
    <definedName name="TEST" localSheetId="14">'[4](1) HOUSEHOLD ROSTER'!$B$1</definedName>
    <definedName name="TEST" localSheetId="15">'[2](1) HOUSEHOLD ROSTER'!$B$1</definedName>
    <definedName name="TEST" localSheetId="16">'[5](1) HOUSEHOLD ROSTER'!$B$1</definedName>
    <definedName name="TEST" localSheetId="18">'[6](1) HOUSEHOLD ROSTER'!$B$1</definedName>
    <definedName name="TEST" localSheetId="19">'[9](1) HOUSEHOLD ROSTER'!$B$1</definedName>
    <definedName name="TEST">'[2](1) HOUSEHOLD ROSTER'!$B$1</definedName>
    <definedName name="Z_77361B37_359A_4BD7_AABE_B5C029043447_.wvu.Cols" localSheetId="9" hidden="1">'05-B Remit_Sender'!#REF!</definedName>
    <definedName name="Z_77361B37_359A_4BD7_AABE_B5C029043447_.wvu.PrintTitles" localSheetId="3" hidden="1">'02-A Education'!$A:$A</definedName>
    <definedName name="Z_77361B37_359A_4BD7_AABE_B5C029043447_.wvu.PrintTitles" localSheetId="4" hidden="1">'02-B Education'!$A:$A</definedName>
    <definedName name="Z_77361B37_359A_4BD7_AABE_B5C029043447_.wvu.PrintTitles" localSheetId="9" hidden="1">'05-B Remit_Sender'!$A:$A</definedName>
    <definedName name="Z_77361B37_359A_4BD7_AABE_B5C029043447_.wvu.PrintTitles" localSheetId="10" hidden="1">'06-A1 Agric.'!$A:$A</definedName>
    <definedName name="Z_77361B37_359A_4BD7_AABE_B5C029043447_.wvu.PrintTitles" localSheetId="12" hidden="1">'06-B Agric'!$A:$A</definedName>
    <definedName name="Z_77361B37_359A_4BD7_AABE_B5C029043447_.wvu.PrintTitles" localSheetId="18" hidden="1">'11 Dur'!$A:$A,'11 Dur'!$3:$17</definedName>
  </definedNames>
  <calcPr calcId="191029"/>
  <customWorkbookViews>
    <customWorkbookView name="a - Personal View" guid="{77361B37-359A-4BD7-AABE-B5C029043447}" mergeInterval="0" personalView="1" maximized="1" xWindow="1" yWindow="1" windowWidth="1024" windowHeight="547" activeSheetId="4"/>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192" i="40" l="1"/>
  <c r="A194" i="40"/>
  <c r="A190" i="40"/>
  <c r="B11" i="43"/>
  <c r="A35" i="43" l="1"/>
  <c r="A36" i="43" s="1"/>
  <c r="A37" i="43" s="1"/>
  <c r="A38" i="43" s="1"/>
  <c r="A39" i="43" s="1"/>
  <c r="A40" i="43" s="1"/>
  <c r="A41" i="43" s="1"/>
  <c r="A42" i="43" s="1"/>
  <c r="A43" i="43" s="1"/>
  <c r="A44" i="43" s="1"/>
  <c r="A45" i="43" s="1"/>
  <c r="A46" i="43" s="1"/>
  <c r="A47" i="43" s="1"/>
  <c r="A48" i="43" s="1"/>
  <c r="E11" i="43" l="1"/>
  <c r="G11" i="43" s="1"/>
  <c r="I11" i="43" s="1"/>
  <c r="K11" i="43" s="1"/>
  <c r="M11" i="43" s="1"/>
  <c r="O11" i="43" l="1"/>
  <c r="U11" i="43" s="1"/>
  <c r="W11" i="43" s="1"/>
  <c r="Z11" i="43" s="1"/>
  <c r="AF11" i="43" s="1"/>
  <c r="D32" i="43" l="1"/>
  <c r="Y32" i="43"/>
  <c r="AH11" i="43"/>
  <c r="AI11" i="43" s="1"/>
  <c r="AK11" i="43"/>
  <c r="AE41" i="14" l="1"/>
  <c r="AE42" i="14" s="1"/>
  <c r="AE43" i="14" s="1"/>
  <c r="D3" i="41" l="1"/>
  <c r="J3" i="41" s="1"/>
  <c r="L3" i="41" s="1"/>
  <c r="A10" i="40"/>
  <c r="A13" i="40" s="1"/>
  <c r="A20" i="14"/>
  <c r="A21" i="14" s="1"/>
  <c r="A22" i="14" s="1"/>
  <c r="A23" i="14" s="1"/>
  <c r="A24" i="14" s="1"/>
  <c r="A25" i="14" s="1"/>
  <c r="A26" i="14" s="1"/>
  <c r="A27" i="14" s="1"/>
  <c r="A28" i="14" s="1"/>
  <c r="A29" i="14" s="1"/>
  <c r="A30" i="14" s="1"/>
  <c r="A31" i="14" s="1"/>
  <c r="A32" i="14" s="1"/>
  <c r="A33" i="14" s="1"/>
  <c r="A34" i="14" s="1"/>
  <c r="A35" i="14" s="1"/>
  <c r="AP4" i="14"/>
  <c r="AU4" i="14" s="1"/>
  <c r="BA4" i="14" s="1"/>
  <c r="C25" i="41" l="1"/>
  <c r="N3" i="41"/>
  <c r="T3" i="41" s="1"/>
  <c r="A17" i="40"/>
  <c r="A27" i="40" s="1"/>
  <c r="A30" i="40" s="1"/>
  <c r="A38" i="40" s="1"/>
  <c r="A51" i="40" s="1"/>
  <c r="A60" i="40" s="1"/>
  <c r="A69" i="40" s="1"/>
  <c r="A77" i="40" s="1"/>
  <c r="V8" i="40"/>
  <c r="A367" i="17"/>
  <c r="A368" i="17" s="1"/>
  <c r="A369" i="17" s="1"/>
  <c r="A370" i="17" s="1"/>
  <c r="A371" i="17" s="1"/>
  <c r="A372" i="17" s="1"/>
  <c r="A373" i="17" s="1"/>
  <c r="A362" i="17"/>
  <c r="A363" i="17" s="1"/>
  <c r="A344" i="17"/>
  <c r="A345" i="17" s="1"/>
  <c r="A346" i="17" s="1"/>
  <c r="A347" i="17" s="1"/>
  <c r="A348" i="17" s="1"/>
  <c r="A337" i="17"/>
  <c r="A338" i="17" s="1"/>
  <c r="A339" i="17" s="1"/>
  <c r="A340" i="17" s="1"/>
  <c r="A333" i="17"/>
  <c r="A310" i="17"/>
  <c r="A289" i="17"/>
  <c r="A282" i="17"/>
  <c r="A283" i="17" s="1"/>
  <c r="A284" i="17" s="1"/>
  <c r="A285" i="17" s="1"/>
  <c r="A273" i="17"/>
  <c r="A274" i="17" s="1"/>
  <c r="A275" i="17" s="1"/>
  <c r="A276" i="17" s="1"/>
  <c r="A277" i="17" s="1"/>
  <c r="A278" i="17" s="1"/>
  <c r="A143" i="17"/>
  <c r="A144" i="17" s="1"/>
  <c r="A145" i="17" s="1"/>
  <c r="A146" i="17" s="1"/>
  <c r="A147" i="17" s="1"/>
  <c r="A148" i="17" s="1"/>
  <c r="A149" i="17" s="1"/>
  <c r="A150" i="17" s="1"/>
  <c r="A151" i="17" s="1"/>
  <c r="A152" i="17" s="1"/>
  <c r="A153" i="17" s="1"/>
  <c r="A131" i="17"/>
  <c r="A133" i="17" s="1"/>
  <c r="X3" i="41" l="1"/>
  <c r="Z3" i="41" s="1"/>
  <c r="AB3" i="41" s="1"/>
  <c r="AH3" i="41" s="1"/>
  <c r="AL3" i="41" s="1"/>
  <c r="AN3" i="41" s="1"/>
  <c r="M25" i="41"/>
  <c r="A80" i="40"/>
  <c r="A84" i="40" s="1"/>
  <c r="A88" i="40" s="1"/>
  <c r="A92" i="40" s="1"/>
  <c r="A96" i="40" s="1"/>
  <c r="A106" i="40" s="1"/>
  <c r="A116" i="40" s="1"/>
  <c r="V18" i="40"/>
  <c r="A290" i="17"/>
  <c r="A291" i="17" s="1"/>
  <c r="A292" i="17" s="1"/>
  <c r="A294" i="17" s="1"/>
  <c r="A295" i="17" s="1"/>
  <c r="A297" i="17" s="1"/>
  <c r="A298" i="17" s="1"/>
  <c r="A300" i="17" s="1"/>
  <c r="A301" i="17" s="1"/>
  <c r="A302" i="17" s="1"/>
  <c r="A303" i="17" s="1"/>
  <c r="A304" i="17" s="1"/>
  <c r="A305" i="17" s="1"/>
  <c r="A232" i="17"/>
  <c r="A233" i="17" s="1"/>
  <c r="A234" i="17" s="1"/>
  <c r="A236" i="17" s="1"/>
  <c r="A237" i="17" s="1"/>
  <c r="A238" i="17" s="1"/>
  <c r="A239" i="17" s="1"/>
  <c r="A240" i="17" s="1"/>
  <c r="A241" i="17" s="1"/>
  <c r="A242" i="17" s="1"/>
  <c r="A243" i="17" s="1"/>
  <c r="A244" i="17" s="1"/>
  <c r="A246" i="17" s="1"/>
  <c r="A247" i="17" s="1"/>
  <c r="A248" i="17" s="1"/>
  <c r="A249" i="17" s="1"/>
  <c r="A250" i="17" s="1"/>
  <c r="A251" i="17" s="1"/>
  <c r="A120" i="40" l="1"/>
  <c r="A123" i="40" s="1"/>
  <c r="A130" i="40" s="1"/>
  <c r="A140" i="40" s="1"/>
  <c r="V24" i="40"/>
  <c r="V63" i="40"/>
  <c r="V74" i="40"/>
  <c r="V73" i="40"/>
  <c r="V72" i="40"/>
  <c r="V71" i="40"/>
  <c r="V70" i="40"/>
  <c r="V62" i="40"/>
  <c r="A253" i="17"/>
  <c r="A254" i="17" l="1"/>
  <c r="A312" i="17"/>
  <c r="A313" i="17" s="1"/>
  <c r="A314" i="17" s="1"/>
  <c r="A315" i="17" s="1"/>
  <c r="A316" i="17" s="1"/>
  <c r="A317" i="17" s="1"/>
  <c r="A318" i="17" s="1"/>
  <c r="A319" i="17" s="1"/>
  <c r="A320" i="17" s="1"/>
  <c r="A327" i="17"/>
  <c r="A328" i="17" s="1"/>
  <c r="A329" i="17" s="1"/>
  <c r="A352" i="17"/>
  <c r="A353" i="17" s="1"/>
  <c r="A354" i="17" s="1"/>
  <c r="A355" i="17" s="1"/>
  <c r="A356" i="17" s="1"/>
  <c r="A357" i="17" s="1"/>
  <c r="A255" i="17" l="1"/>
  <c r="A256" i="17" s="1"/>
  <c r="A257" i="17" s="1"/>
  <c r="A258" i="17" s="1"/>
  <c r="A260" i="17" s="1"/>
  <c r="A261" i="17" s="1"/>
  <c r="A208" i="17"/>
  <c r="A177" i="17"/>
  <c r="A162" i="17"/>
  <c r="A135" i="17"/>
  <c r="A136" i="17" s="1"/>
  <c r="A137" i="17" s="1"/>
  <c r="A138" i="17" s="1"/>
  <c r="A120" i="17"/>
  <c r="A121" i="17" s="1"/>
  <c r="A122" i="17" s="1"/>
  <c r="A123" i="17" s="1"/>
  <c r="A124" i="17" s="1"/>
  <c r="A125" i="17" s="1"/>
  <c r="A126" i="17" s="1"/>
  <c r="A100" i="17"/>
  <c r="A101" i="17" s="1"/>
  <c r="A102" i="17" s="1"/>
  <c r="A103" i="17" s="1"/>
  <c r="A104" i="17" s="1"/>
  <c r="A105" i="17" s="1"/>
  <c r="A106" i="17" s="1"/>
  <c r="A107" i="17" s="1"/>
  <c r="A108" i="17" s="1"/>
  <c r="A109" i="17" s="1"/>
  <c r="A110" i="17" s="1"/>
  <c r="A111" i="17" s="1"/>
  <c r="A89" i="17"/>
  <c r="A90" i="17" s="1"/>
  <c r="A91" i="17" s="1"/>
  <c r="A92" i="17" s="1"/>
  <c r="A93" i="17" s="1"/>
  <c r="A94" i="17" s="1"/>
  <c r="A95" i="17" s="1"/>
  <c r="A72" i="17"/>
  <c r="A64" i="17"/>
  <c r="A65" i="17" s="1"/>
  <c r="A66" i="17" s="1"/>
  <c r="A67" i="17" s="1"/>
  <c r="A59" i="17"/>
  <c r="A60" i="17" s="1"/>
  <c r="A48" i="17"/>
  <c r="A49" i="17" s="1"/>
  <c r="A50" i="17" s="1"/>
  <c r="A51" i="17" s="1"/>
  <c r="A52" i="17" s="1"/>
  <c r="A53" i="17" s="1"/>
  <c r="A54" i="17" s="1"/>
  <c r="A55" i="17" s="1"/>
  <c r="A42" i="17"/>
  <c r="A43" i="17" s="1"/>
  <c r="A44" i="17" s="1"/>
  <c r="A35" i="17"/>
  <c r="A36" i="17" s="1"/>
  <c r="A37" i="17" s="1"/>
  <c r="A38" i="17" s="1"/>
  <c r="A14" i="17"/>
  <c r="A15" i="17" s="1"/>
  <c r="A16" i="17" s="1"/>
  <c r="A17" i="17" s="1"/>
  <c r="A18" i="17" s="1"/>
  <c r="A19" i="17" s="1"/>
  <c r="A20" i="17" s="1"/>
  <c r="A21" i="17" s="1"/>
  <c r="A22" i="17" s="1"/>
  <c r="A23" i="17" s="1"/>
  <c r="A24" i="17" s="1"/>
  <c r="A25" i="17" s="1"/>
  <c r="A26" i="17" s="1"/>
  <c r="A27" i="17" s="1"/>
  <c r="A28" i="17" s="1"/>
  <c r="A29" i="17" s="1"/>
  <c r="A30" i="17" s="1"/>
  <c r="A31" i="17" s="1"/>
  <c r="A262" i="17" l="1"/>
  <c r="A263" i="17" s="1"/>
  <c r="A264" i="17" s="1"/>
  <c r="A265" i="17" s="1"/>
  <c r="A266" i="17" s="1"/>
  <c r="A267" i="17" s="1"/>
  <c r="A269" i="17" s="1"/>
  <c r="A73" i="17"/>
  <c r="A74" i="17" s="1"/>
  <c r="A75" i="17" s="1"/>
  <c r="A76" i="17" s="1"/>
  <c r="A77" i="17" s="1"/>
  <c r="A78" i="17" s="1"/>
  <c r="A79" i="17" s="1"/>
  <c r="A81" i="17" s="1"/>
  <c r="A82" i="17" s="1"/>
  <c r="A83" i="17" s="1"/>
  <c r="A84" i="17" s="1"/>
  <c r="A85" i="17" s="1"/>
  <c r="A178" i="17"/>
  <c r="A179" i="17" s="1"/>
  <c r="A180" i="17" s="1"/>
  <c r="A182" i="17" s="1"/>
  <c r="A163" i="17"/>
  <c r="A164" i="17" s="1"/>
  <c r="A165" i="17" s="1"/>
  <c r="A166" i="17" s="1"/>
  <c r="A168" i="17" s="1"/>
  <c r="A169" i="17" s="1"/>
  <c r="A170" i="17" s="1"/>
  <c r="A172" i="17" s="1"/>
  <c r="A155" i="17"/>
  <c r="A156" i="17" s="1"/>
  <c r="A157" i="17" s="1"/>
  <c r="A113" i="17"/>
  <c r="A114" i="17" s="1"/>
  <c r="A115" i="17" s="1"/>
  <c r="A116" i="17" s="1"/>
  <c r="A210" i="17"/>
  <c r="A211" i="17" s="1"/>
  <c r="A212" i="17" s="1"/>
  <c r="A213" i="17" s="1"/>
  <c r="A214" i="17" s="1"/>
  <c r="A215" i="17" s="1"/>
  <c r="A217" i="17" l="1"/>
  <c r="A218" i="17" s="1"/>
  <c r="A220" i="17" s="1"/>
  <c r="A221" i="17" s="1"/>
  <c r="A222" i="17" s="1"/>
  <c r="A223" i="17" s="1"/>
  <c r="A224" i="17" s="1"/>
  <c r="A225" i="17" s="1"/>
  <c r="A226" i="17" s="1"/>
  <c r="A227" i="17" s="1"/>
  <c r="B8" i="17" l="1"/>
  <c r="A37" i="14"/>
  <c r="A38" i="14" s="1"/>
  <c r="A39" i="14" s="1"/>
  <c r="A40" i="14" s="1"/>
  <c r="A41" i="14" s="1"/>
  <c r="A42" i="14" s="1"/>
  <c r="A43" i="14" s="1"/>
  <c r="A44" i="14" s="1"/>
  <c r="A45" i="14" s="1"/>
  <c r="A46" i="14" s="1"/>
  <c r="A47" i="14" s="1"/>
  <c r="AE19" i="14" l="1"/>
  <c r="AE20" i="14" s="1"/>
  <c r="AE21" i="14" s="1"/>
  <c r="AE22" i="14" s="1"/>
  <c r="AE23" i="14" s="1"/>
  <c r="AE24" i="14" s="1"/>
  <c r="AE25" i="14" s="1"/>
  <c r="AE26" i="14" s="1"/>
  <c r="AE27" i="14" s="1"/>
  <c r="AE28" i="14" s="1"/>
  <c r="AE29" i="14" s="1"/>
  <c r="AE30" i="14" s="1"/>
  <c r="AE31" i="14" s="1"/>
  <c r="AE32" i="14" s="1"/>
  <c r="E3" i="35" l="1"/>
  <c r="G3" i="35" s="1"/>
  <c r="H4" i="35" s="1"/>
  <c r="D3" i="28"/>
  <c r="E3" i="28" s="1"/>
  <c r="C18" i="28" l="1"/>
  <c r="G3" i="28"/>
  <c r="K3" i="28" s="1"/>
  <c r="M3" i="28" s="1"/>
  <c r="J14" i="28" s="1"/>
  <c r="F27" i="35"/>
  <c r="J4" i="35"/>
  <c r="L4" i="35" s="1"/>
  <c r="N4" i="35" s="1"/>
  <c r="P4" i="35" s="1"/>
  <c r="R4" i="35" s="1"/>
  <c r="V4" i="35" s="1"/>
  <c r="X4" i="35" s="1"/>
  <c r="Z4" i="35" s="1"/>
  <c r="O27" i="35" s="1"/>
  <c r="DE23" i="35" l="1"/>
  <c r="CD23" i="35"/>
  <c r="BK23" i="35" l="1"/>
  <c r="B3" i="30" l="1"/>
  <c r="E3" i="30" s="1"/>
  <c r="F18" i="28" l="1"/>
  <c r="D3" i="34" l="1"/>
  <c r="E3" i="34" s="1"/>
  <c r="G3" i="34" l="1"/>
  <c r="K3" i="34" s="1"/>
  <c r="C24" i="34"/>
  <c r="F24" i="34" l="1"/>
  <c r="M3" i="34"/>
  <c r="J21" i="34" s="1"/>
  <c r="O3" i="34" l="1"/>
  <c r="R3" i="34" s="1"/>
  <c r="U3" i="34" s="1"/>
  <c r="Z3" i="34" s="1"/>
  <c r="AC3" i="34" l="1"/>
  <c r="AE3" i="34" s="1"/>
  <c r="AG3" i="34" s="1"/>
  <c r="AJ3" i="34" s="1"/>
  <c r="T25" i="34" s="1"/>
  <c r="Q24" i="34"/>
  <c r="AL3" i="34" l="1"/>
  <c r="AM3" i="34" s="1"/>
  <c r="Y16" i="34"/>
  <c r="AK25" i="34" l="1"/>
  <c r="AP3" i="34"/>
  <c r="AQ3" i="34" s="1"/>
  <c r="AT3" i="34" s="1"/>
  <c r="AV3" i="34" s="1"/>
  <c r="AW3" i="34" s="1"/>
  <c r="AX3" i="34" s="1"/>
  <c r="A10" i="33" l="1"/>
  <c r="A15" i="33" s="1"/>
  <c r="A19" i="33" s="1"/>
  <c r="D6" i="17"/>
  <c r="E6" i="17" s="1"/>
  <c r="F6" i="17" s="1"/>
  <c r="A24" i="33" l="1"/>
  <c r="A28" i="33" s="1"/>
  <c r="A34" i="33" s="1"/>
  <c r="A45" i="33" s="1"/>
  <c r="A49" i="33" s="1"/>
  <c r="A62" i="33" s="1"/>
  <c r="V47" i="33" l="1"/>
  <c r="A68" i="33"/>
  <c r="A75" i="33"/>
  <c r="A81" i="33" s="1"/>
  <c r="V26" i="33"/>
  <c r="I4" i="13" l="1"/>
  <c r="Q4" i="13" s="1"/>
  <c r="AA4" i="13" s="1"/>
  <c r="AF4" i="13" s="1"/>
  <c r="AM4" i="13" s="1"/>
  <c r="B25" i="13" l="1"/>
  <c r="N25" i="13" s="1"/>
  <c r="V25" i="13" s="1"/>
  <c r="AC25" i="13" s="1"/>
  <c r="L4" i="14" l="1"/>
  <c r="R4" i="14" s="1"/>
  <c r="X4" i="14" s="1"/>
  <c r="A10" i="18" l="1"/>
  <c r="A14" i="18" s="1"/>
  <c r="Y5" i="10"/>
  <c r="A10" i="10" s="1"/>
  <c r="A12" i="10" s="1"/>
  <c r="A13" i="10" l="1"/>
  <c r="A14" i="10" s="1"/>
  <c r="A16" i="10" s="1"/>
  <c r="A30" i="10" s="1"/>
  <c r="A31" i="10" s="1"/>
  <c r="A44" i="10" s="1"/>
  <c r="M5" i="18"/>
  <c r="M10" i="18" s="1"/>
  <c r="M14" i="18" s="1"/>
  <c r="G8" i="18"/>
  <c r="U8" i="18" l="1"/>
  <c r="G19" i="18"/>
  <c r="M19" i="18"/>
  <c r="A22" i="18" s="1"/>
  <c r="A30" i="18" s="1"/>
  <c r="A32" i="18" s="1"/>
  <c r="A34" i="18" l="1"/>
  <c r="A36" i="18" s="1"/>
  <c r="A39" i="18"/>
  <c r="A44" i="18" s="1"/>
  <c r="A51" i="18" s="1"/>
  <c r="A52" i="18" s="1"/>
  <c r="K31" i="18"/>
  <c r="I11" i="22" l="1"/>
  <c r="M11" i="22" s="1"/>
  <c r="P13" i="22" s="1"/>
  <c r="S14" i="22" s="1"/>
  <c r="V14" i="22" s="1"/>
  <c r="Y14" i="22" s="1"/>
  <c r="AB14" i="22" s="1"/>
  <c r="E11" i="23"/>
  <c r="K13" i="23" s="1"/>
  <c r="L13" i="23" s="1"/>
  <c r="M13" i="23" s="1"/>
  <c r="Z12" i="23" s="1"/>
  <c r="A12" i="8" l="1"/>
  <c r="Z5" i="8" s="1"/>
  <c r="Z12" i="8" s="1"/>
  <c r="G15" i="8" s="1"/>
  <c r="L15" i="8" s="1"/>
  <c r="P16" i="8" s="1"/>
  <c r="T16" i="8" s="1"/>
  <c r="X16" i="8" s="1"/>
  <c r="AU15" i="8" s="1"/>
  <c r="R3" i="30" l="1"/>
  <c r="U3" i="30" s="1"/>
  <c r="AL3" i="30" s="1"/>
  <c r="AO3" i="30" s="1"/>
  <c r="O9" i="28"/>
  <c r="P9" i="28" s="1"/>
  <c r="Q9" i="28" s="1"/>
  <c r="R9" i="28" s="1"/>
  <c r="S9" i="28" s="1"/>
  <c r="T9" i="28" s="1"/>
  <c r="U9" i="28" s="1"/>
  <c r="V9" i="28" l="1"/>
  <c r="X3" i="28" s="1"/>
  <c r="N19" i="28" l="1"/>
  <c r="Z9" i="28"/>
  <c r="AA9" i="28" s="1"/>
  <c r="AB9" i="28" s="1"/>
  <c r="AC9" i="28" s="1"/>
  <c r="AD9" i="28" s="1"/>
  <c r="AE9" i="28" s="1"/>
  <c r="AF9" i="28" l="1"/>
  <c r="AG9" i="28" s="1"/>
  <c r="AH9" i="28" s="1"/>
  <c r="AI9" i="28" s="1"/>
  <c r="AK3" i="28" s="1"/>
  <c r="E3" i="4"/>
  <c r="G3" i="4" s="1"/>
  <c r="H3" i="4" s="1"/>
  <c r="F3" i="26"/>
  <c r="G3" i="26" s="1"/>
  <c r="J3" i="26" s="1"/>
  <c r="L3" i="26" s="1"/>
  <c r="C3" i="3"/>
  <c r="E3" i="3" s="1"/>
  <c r="G3" i="3" s="1"/>
  <c r="O3" i="3" s="1"/>
  <c r="S5" i="3" s="1"/>
  <c r="W5" i="3" s="1"/>
  <c r="X3" i="3" s="1"/>
  <c r="Y3" i="3" l="1"/>
  <c r="AA3" i="3" s="1"/>
  <c r="AB3" i="3" s="1"/>
  <c r="AD3" i="3" s="1"/>
  <c r="V23" i="3"/>
  <c r="V22" i="3"/>
  <c r="V21" i="3"/>
  <c r="V17" i="3"/>
  <c r="Y19" i="28"/>
  <c r="AM9" i="28"/>
  <c r="L3" i="4"/>
  <c r="N3" i="4" s="1"/>
  <c r="P3" i="4" s="1"/>
  <c r="K18" i="4" s="1"/>
  <c r="F22" i="4"/>
  <c r="H15" i="26"/>
  <c r="N3" i="26"/>
  <c r="AF3" i="3"/>
  <c r="Q3" i="4"/>
  <c r="T3" i="4" l="1"/>
  <c r="V3" i="4" s="1"/>
  <c r="W3" i="4" s="1"/>
  <c r="AA3" i="4" s="1"/>
  <c r="S21" i="4" l="1"/>
  <c r="AE3" i="4"/>
  <c r="AH3" i="4" l="1"/>
  <c r="AJ3" i="4" s="1"/>
  <c r="AL3" i="4" s="1"/>
  <c r="AN3" i="4" s="1"/>
  <c r="AP3" i="4" s="1"/>
  <c r="AS3" i="4" s="1"/>
  <c r="AV3" i="4" s="1"/>
  <c r="AX3" i="4" s="1"/>
  <c r="AY3" i="4" s="1"/>
  <c r="S17" i="4"/>
  <c r="BB3" i="4" l="1"/>
  <c r="BD3" i="4" s="1"/>
  <c r="BE3" i="4" s="1"/>
  <c r="U23" i="4" s="1"/>
  <c r="AT23" i="4"/>
  <c r="AN9" i="28"/>
  <c r="AO9" i="28" s="1"/>
  <c r="AD15" i="4" l="1"/>
  <c r="S23" i="4"/>
  <c r="Z14" i="4"/>
  <c r="AQ23" i="4"/>
  <c r="BG3" i="4"/>
  <c r="AZ23" i="4"/>
  <c r="AP9" i="28"/>
  <c r="AQ9" i="28" s="1"/>
  <c r="AR9" i="28" s="1"/>
  <c r="AT3" i="28" s="1"/>
  <c r="AL19" i="28" s="1"/>
  <c r="AV9" i="28" l="1"/>
  <c r="AW9" i="28" s="1"/>
  <c r="AX9" i="28" s="1"/>
  <c r="AY9" i="28" s="1"/>
  <c r="AZ9" i="28" s="1"/>
  <c r="BA9" i="28" s="1"/>
  <c r="BB3" i="28" s="1"/>
  <c r="AU19" i="28" s="1"/>
  <c r="BD9" i="28" l="1"/>
  <c r="BE9" i="28" s="1"/>
  <c r="BF9" i="28" s="1"/>
  <c r="BG9" i="28" s="1"/>
  <c r="BH9" i="28" s="1"/>
  <c r="BI9" i="28" s="1"/>
  <c r="AB4" i="35"/>
  <c r="AE4" i="35" s="1"/>
  <c r="AG4" i="35" l="1"/>
  <c r="Y28" i="35" l="1"/>
  <c r="Q28" i="35"/>
  <c r="AI4" i="35"/>
  <c r="AM4" i="35" s="1"/>
  <c r="AH28" i="35" l="1"/>
  <c r="AP4" i="35"/>
  <c r="AR4" i="35" s="1"/>
  <c r="AO14" i="35" s="1"/>
  <c r="AT4" i="35" l="1"/>
  <c r="AV4" i="35" s="1"/>
  <c r="AL20" i="35"/>
  <c r="AQ28" i="35" l="1"/>
  <c r="AX4" i="35"/>
  <c r="AZ4" i="35" s="1"/>
  <c r="AS27" i="35"/>
  <c r="I27" i="35" l="1"/>
  <c r="Z28" i="35"/>
  <c r="U13" i="35"/>
  <c r="U16" i="35"/>
  <c r="Y26" i="35"/>
  <c r="AF23" i="35"/>
  <c r="AD19" i="35"/>
  <c r="U15" i="35"/>
  <c r="BC4" i="35"/>
  <c r="BG4" i="35" s="1"/>
  <c r="BJ4" i="35" s="1"/>
  <c r="BL4" i="35" s="1"/>
  <c r="W25" i="35"/>
  <c r="U24" i="35"/>
  <c r="BM4" i="35" l="1"/>
  <c r="BO4" i="35" s="1"/>
  <c r="BQ4" i="35" s="1"/>
  <c r="BI21" i="35"/>
  <c r="BS4" i="35" l="1"/>
  <c r="BV4" i="35" s="1"/>
  <c r="BZ4" i="35" s="1"/>
  <c r="CC4" i="35" s="1"/>
  <c r="CE4" i="35" s="1"/>
  <c r="BR27" i="35" s="1"/>
  <c r="BN28" i="35"/>
  <c r="AY26" i="35"/>
  <c r="CB21" i="35" l="1"/>
  <c r="CG4" i="35"/>
  <c r="CJ4" i="35" l="1"/>
  <c r="CF28" i="35" l="1"/>
  <c r="CL4" i="35"/>
  <c r="CN4" i="35" s="1"/>
  <c r="CP5" i="35" s="1"/>
  <c r="CR5" i="35" s="1"/>
  <c r="CT4" i="35" s="1"/>
  <c r="CW4" i="35" s="1"/>
  <c r="DA4" i="35" l="1"/>
  <c r="DD4" i="35" s="1"/>
  <c r="DF4" i="35" s="1"/>
  <c r="CS27" i="35" s="1"/>
  <c r="DH4" i="35" l="1"/>
  <c r="DJ4" i="35" s="1"/>
  <c r="DL4" i="35" s="1"/>
  <c r="DC21" i="35"/>
  <c r="DN4" i="35"/>
  <c r="A183" i="17" l="1"/>
  <c r="A184" i="17" l="1"/>
  <c r="A185" i="17" s="1"/>
  <c r="A186" i="17" s="1"/>
  <c r="A187" i="17" s="1"/>
  <c r="A188" i="17" s="1"/>
  <c r="A189" i="17" s="1"/>
  <c r="A191" i="17" s="1"/>
  <c r="A192" i="17" s="1"/>
  <c r="A193" i="17" s="1"/>
  <c r="A194" i="17" s="1"/>
  <c r="A195" i="17" s="1"/>
  <c r="A196" i="17" s="1"/>
  <c r="A197" i="17" s="1"/>
  <c r="A198" i="17" s="1"/>
  <c r="A199" i="17" s="1"/>
  <c r="A200" i="17" s="1"/>
  <c r="A201" i="17" s="1"/>
  <c r="A202" i="17" s="1"/>
  <c r="A203" i="17" s="1"/>
  <c r="A144" i="40" l="1"/>
  <c r="V134" i="40" s="1"/>
  <c r="A148" i="40" l="1"/>
  <c r="A152" i="40"/>
  <c r="A156" i="40" s="1"/>
  <c r="V141" i="40"/>
  <c r="V136" i="40" l="1"/>
  <c r="A160" i="40"/>
  <c r="A164" i="40" s="1"/>
  <c r="V149" i="40"/>
  <c r="V157" i="40" l="1"/>
  <c r="A168" i="40"/>
  <c r="A176" i="40"/>
  <c r="A180" i="40"/>
  <c r="V173" i="40" s="1"/>
  <c r="A184" i="40" l="1"/>
  <c r="V165" i="40" s="1"/>
  <c r="A187" i="40"/>
  <c r="A198" i="40" l="1"/>
  <c r="A208" i="40"/>
  <c r="A218" i="40" s="1"/>
  <c r="A231" i="40" s="1"/>
  <c r="V216" i="40" l="1"/>
  <c r="V209" i="40"/>
  <c r="A236" i="40"/>
  <c r="A241" i="40" s="1"/>
  <c r="A246" i="40" s="1"/>
  <c r="V239" i="40" s="1"/>
  <c r="A250" i="40" l="1"/>
  <c r="A254" i="40" s="1"/>
  <c r="A261" i="40" s="1"/>
  <c r="A284" i="40" s="1"/>
  <c r="A289" i="40" s="1"/>
  <c r="A294" i="40" s="1"/>
  <c r="A299" i="40" s="1"/>
  <c r="A302" i="40" s="1"/>
  <c r="A319" i="40" s="1"/>
  <c r="A323" i="40" s="1"/>
  <c r="A328" i="40" s="1"/>
  <c r="A335" i="40" s="1"/>
  <c r="A341" i="40" s="1"/>
  <c r="A354" i="40" s="1"/>
  <c r="A358" i="40" s="1"/>
  <c r="A362" i="40" s="1"/>
  <c r="V351" i="40" s="1"/>
  <c r="V349" i="40" l="1"/>
  <c r="A366" i="40"/>
  <c r="A370" i="40" s="1"/>
  <c r="V359" i="40" s="1"/>
  <c r="V352" i="40"/>
  <c r="V285" i="40"/>
  <c r="V286" i="4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tc={BE42714E-B24D-40AE-9C89-02DFB8FD0A38}</author>
  </authors>
  <commentList>
    <comment ref="X4" authorId="0" shapeId="0" xr:uid="{BE42714E-B24D-40AE-9C89-02DFB8FD0A38}">
      <text>
        <t>[Threaded comment]
Your version of Excel allows you to read this threaded comment; however, any edits to it will get removed if the file is opened in a newer version of Excel. Learn more: https://go.microsoft.com/fwlink/?linkid=870924
Comment:
    I'm wondering if we need this question. People may have different ideas of what entails "migration", especially in the countryside. If the HH did not live in the soum since birth, then we could assume that they have migrated -- so we could use question 1.15</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Undral</author>
  </authors>
  <commentList>
    <comment ref="H3" authorId="0" shapeId="0" xr:uid="{00000000-0006-0000-0700-000001000000}">
      <text>
        <r>
          <rPr>
            <b/>
            <sz val="9"/>
            <color indexed="81"/>
            <rFont val="Tahoma"/>
            <family val="2"/>
          </rPr>
          <t>Undral:</t>
        </r>
        <r>
          <rPr>
            <sz val="9"/>
            <color indexed="81"/>
            <rFont val="Tahoma"/>
            <family val="2"/>
          </rPr>
          <t xml:space="preserve">
Overall work condition in the past 7 days</t>
        </r>
      </text>
    </comment>
    <comment ref="P3" authorId="0" shapeId="0" xr:uid="{00000000-0006-0000-0700-000002000000}">
      <text>
        <r>
          <rPr>
            <b/>
            <sz val="9"/>
            <color indexed="81"/>
            <rFont val="Tahoma"/>
            <family val="2"/>
          </rPr>
          <t>Undral:</t>
        </r>
        <r>
          <rPr>
            <sz val="9"/>
            <color indexed="81"/>
            <rFont val="Tahoma"/>
            <family val="2"/>
          </rPr>
          <t xml:space="preserve">
Temporary unemployment</t>
        </r>
      </text>
    </comment>
    <comment ref="BQ3" authorId="0" shapeId="0" xr:uid="{00000000-0006-0000-0700-000003000000}">
      <text>
        <r>
          <rPr>
            <b/>
            <sz val="9"/>
            <color indexed="81"/>
            <rFont val="Tahoma"/>
            <family val="2"/>
          </rPr>
          <t>Undral:</t>
        </r>
        <r>
          <rPr>
            <sz val="9"/>
            <color indexed="81"/>
            <rFont val="Tahoma"/>
            <family val="2"/>
          </rPr>
          <t xml:space="preserve">
MAIN job in the last 12 months</t>
        </r>
      </text>
    </comment>
    <comment ref="CP3" authorId="0" shapeId="0" xr:uid="{00000000-0006-0000-0700-000004000000}">
      <text>
        <r>
          <rPr>
            <b/>
            <sz val="9"/>
            <color indexed="81"/>
            <rFont val="Tahoma"/>
            <family val="2"/>
          </rPr>
          <t>Undral:</t>
        </r>
        <r>
          <rPr>
            <sz val="9"/>
            <color indexed="81"/>
            <rFont val="Tahoma"/>
            <family val="2"/>
          </rPr>
          <t xml:space="preserve">
Other work. If people did more than 2 any other work out of main job, old question only catch one additional work type, economic sector, employed status and salary. SO we decided for all additional wroks collect only income and times</t>
        </r>
      </text>
    </comment>
    <comment ref="CT3" authorId="0" shapeId="0" xr:uid="{00000000-0006-0000-0700-000005000000}">
      <text>
        <r>
          <rPr>
            <b/>
            <sz val="9"/>
            <color indexed="81"/>
            <rFont val="Tahoma"/>
            <family val="2"/>
          </rPr>
          <t>Undral:</t>
        </r>
        <r>
          <rPr>
            <sz val="9"/>
            <color indexed="81"/>
            <rFont val="Tahoma"/>
            <family val="2"/>
          </rPr>
          <t xml:space="preserve">
Other work. If people did more than 2 any other work out of main job, old question only catch one additional work type, economic sector, employed status and salary. SO we decided for all additional wroks collect only income and times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tc={52ECCADE-A52F-4D96-B96B-ECA8D92250CD}</author>
  </authors>
  <commentList>
    <comment ref="AH33" authorId="0" shapeId="0" xr:uid="{52ECCADE-A52F-4D96-B96B-ECA8D92250CD}">
      <text>
        <t>[Threaded comment]
Your version of Excel allows you to read this threaded comment; however, any edits to it will get removed if the file is opened in a newer version of Excel. Learn more: https://go.microsoft.com/fwlink/?linkid=870924
Comment:
    Мян.төг</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tc={B178ABAE-5ED6-4B80-BE04-9999C773233B}</author>
    <author>Undral</author>
  </authors>
  <commentList>
    <comment ref="AN173" authorId="0" shapeId="0" xr:uid="{B178ABAE-5ED6-4B80-BE04-9999C773233B}">
      <text>
        <t>[Threaded comment]
Your version of Excel allows you to read this threaded comment; however, any edits to it will get removed if the file is opened in a newer version of Excel. Learn more: https://go.microsoft.com/fwlink/?linkid=870924
Comment:
    Lydia,  "no formal method" is sensitive option, so I replaced it "Other"</t>
      </text>
    </comment>
    <comment ref="S306" authorId="1" shapeId="0" xr:uid="{6EB9E97C-9C6F-264F-9F6C-9A5E8545955A}">
      <text>
        <r>
          <rPr>
            <b/>
            <sz val="9"/>
            <color rgb="FF000000"/>
            <rFont val="Tahoma"/>
            <family val="2"/>
          </rPr>
          <t>Undral:</t>
        </r>
        <r>
          <rPr>
            <sz val="9"/>
            <color rgb="FF000000"/>
            <rFont val="Tahoma"/>
            <family val="2"/>
          </rPr>
          <t xml:space="preserve">
</t>
        </r>
        <r>
          <rPr>
            <sz val="9"/>
            <color rgb="FF000000"/>
            <rFont val="Tahoma"/>
            <family val="2"/>
          </rPr>
          <t>Энгийн нүхэн жорлон</t>
        </r>
      </text>
    </comment>
    <comment ref="S307" authorId="1" shapeId="0" xr:uid="{D17B9020-6BB9-034D-9E55-008E894F02A8}">
      <text>
        <r>
          <rPr>
            <b/>
            <sz val="9"/>
            <color rgb="FF000000"/>
            <rFont val="Tahoma"/>
            <family val="2"/>
          </rPr>
          <t>Undral:</t>
        </r>
        <r>
          <rPr>
            <sz val="9"/>
            <color rgb="FF000000"/>
            <rFont val="Tahoma"/>
            <family val="2"/>
          </rPr>
          <t xml:space="preserve">
</t>
        </r>
        <r>
          <rPr>
            <sz val="9"/>
            <color rgb="FF000000"/>
            <rFont val="Tahoma"/>
            <family val="2"/>
          </rPr>
          <t xml:space="preserve">Заавал өрхийн гадаа байна. Хотын өрх дээр гарч илүү тохиолдоно. Нүхэн жорлонгийн бохирыг хоосолдог, соруулж болно.
</t>
        </r>
      </text>
    </comment>
    <comment ref="S309" authorId="1" shapeId="0" xr:uid="{1FD35233-A59A-C944-978E-3A530B7D5951}">
      <text>
        <r>
          <rPr>
            <b/>
            <sz val="9"/>
            <color rgb="FF000000"/>
            <rFont val="Tahoma"/>
            <family val="2"/>
          </rPr>
          <t xml:space="preserve">Undral:
</t>
        </r>
        <r>
          <rPr>
            <sz val="9"/>
            <color rgb="FF000000"/>
            <rFont val="Tahoma"/>
            <family val="2"/>
          </rPr>
          <t>Жорлоноос тусдаа хөрсөн дор байгууламж байна, Түүний бохирыг соруулж авдаг</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tc={C3EE271C-A235-4EE4-AC76-7F8000DC094A}</author>
  </authors>
  <commentList>
    <comment ref="B40" authorId="0" shapeId="0" xr:uid="{C3EE271C-A235-4EE4-AC76-7F8000DC094A}">
      <text>
        <t>[Threaded comment]
Your version of Excel allows you to read this threaded comment; however, any edits to it will get removed if the file is opened in a newer version of Excel. Learn more: https://go.microsoft.com/fwlink/?linkid=870924
Comment:
    Энд 20литрийн баллонтой ус орох уу? Зөөврийн ус гэж оруулж болох уу. Гэр хорооллын зөөврийн усны ахуйн зориулалтаар ашигласан хэсэг энд орох уу?</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tc={9093AC57-7FB2-4615-8F0C-ACE26DB1402A}</author>
    <author>tc={7528A3AE-4584-4C46-9086-E4B9636B4639}</author>
    <author>tc={F46AAFB5-861A-4560-B6A5-2878ADD25243}</author>
  </authors>
  <commentList>
    <comment ref="B220" authorId="0" shapeId="0" xr:uid="{9093AC57-7FB2-4615-8F0C-ACE26DB1402A}">
      <text>
        <t>[Threaded comment]
Your version of Excel allows you to read this threaded comment; however, any edits to it will get removed if the file is opened in a newer version of Excel. Learn more: https://go.microsoft.com/fwlink/?linkid=870924
Comment:
    Одоо үүнийг хэрэглэдэг айл өрх байхгүй сүүлийн үеийн бүтээгдэхүүнээр солих</t>
      </text>
    </comment>
    <comment ref="B223" authorId="1" shapeId="0" xr:uid="{7528A3AE-4584-4C46-9086-E4B9636B4639}">
      <text>
        <t>[Threaded comment]
Your version of Excel allows you to read this threaded comment; however, any edits to it will get removed if the file is opened in a newer version of Excel. Learn more: https://go.microsoft.com/fwlink/?linkid=870924
Comment:
    Магнитофон, систем хөгжим хасаад сүүлийн үеийн бүтээгдэхүүнээр солих</t>
      </text>
    </comment>
    <comment ref="B225" authorId="2" shapeId="0" xr:uid="{F46AAFB5-861A-4560-B6A5-2878ADD25243}">
      <text>
        <t>[Threaded comment]
Your version of Excel allows you to read this threaded comment; however, any edits to it will get removed if the file is opened in a newer version of Excel. Learn more: https://go.microsoft.com/fwlink/?linkid=870924
Comment:
    Үүнийг хэрэглэдэг өрх одоо байхгүй дээ</t>
      </text>
    </comment>
  </commentList>
</comments>
</file>

<file path=xl/sharedStrings.xml><?xml version="1.0" encoding="utf-8"?>
<sst xmlns="http://schemas.openxmlformats.org/spreadsheetml/2006/main" count="2689" uniqueCount="1718">
  <si>
    <t>Монгол улсын "Статистикийн тухай" хуулийн 22 дугаар зүйлийн</t>
  </si>
  <si>
    <t>А-ӨНЭЗС-1</t>
  </si>
  <si>
    <t>3 дугаар заалтын дагуу мэдээллийн нууцыг хадгална.</t>
  </si>
  <si>
    <t>ӨРХИЙН НИЙГЭМ, ЭДИЙН ЗАСГИЙН СУДАЛГАА</t>
  </si>
  <si>
    <t>БҮЛЭГ 0 - ЕРӨНХИЙ АСУУЛГА</t>
  </si>
  <si>
    <t>1. Өрхийн хаягийн хэсэг</t>
  </si>
  <si>
    <t>1. Өрхийн бүртгэлийн дугаар</t>
  </si>
  <si>
    <t>1. Мэдээлэл цуглуулагч цуглуулсан мэдээллийг Үндэсний статистикийн хорооны мэдээлэл цуглуулагчийн ӨНЭЗС-ны мэдээлэл байрших серверт сар бүрийн 2/3-ны дотор дамжуулна.</t>
  </si>
  <si>
    <t>2. Аймаг, нийслэл</t>
  </si>
  <si>
    <t>Код</t>
  </si>
  <si>
    <t>3. Сум, дүүрэг</t>
  </si>
  <si>
    <t>2. Нийслэл/аймгийн статистикийн газар/хэлтэс мэдээллийг Үндэсний статистикийн хорооны ахлагчийн ӨНЭЗС-ны мэдээлэл байрших серверт сар бүрийн 5/8-ны дотор дамжуулна.</t>
  </si>
  <si>
    <t>4. Баг, хороо</t>
  </si>
  <si>
    <t>5. Байршил</t>
  </si>
  <si>
    <t>13. Улирал</t>
  </si>
  <si>
    <t>Нийслэл</t>
  </si>
  <si>
    <t>Аймгийн төв</t>
  </si>
  <si>
    <t>14. Түүврийн нэгжийн дугаар</t>
  </si>
  <si>
    <t>Сумын төв</t>
  </si>
  <si>
    <t>Хөдөө</t>
  </si>
  <si>
    <t>15. Өрхийн дугаар</t>
  </si>
  <si>
    <t>6. Хаяг</t>
  </si>
  <si>
    <t>16. Ахлагчийн нэр</t>
  </si>
  <si>
    <t>17. Мэдээлэл цуглуулагчийн нэр</t>
  </si>
  <si>
    <t xml:space="preserve">7. Байршлын цэг </t>
  </si>
  <si>
    <t>Өргөрөг</t>
  </si>
  <si>
    <t>_</t>
  </si>
  <si>
    <t>O</t>
  </si>
  <si>
    <t>.</t>
  </si>
  <si>
    <t xml:space="preserve">18. Ярилцлага эхэлсэн, дууссан цаг </t>
  </si>
  <si>
    <t>Цаг</t>
  </si>
  <si>
    <t>Минут</t>
  </si>
  <si>
    <t>Эхэлсэн</t>
  </si>
  <si>
    <t>Уртраг</t>
  </si>
  <si>
    <t>8. Холбоо барих утасны дугаар</t>
  </si>
  <si>
    <t>Дууссан</t>
  </si>
  <si>
    <t>9. Урамшуулал авах утасны дугаар</t>
  </si>
  <si>
    <t>19. Үр дүнгийн хэсэг</t>
  </si>
  <si>
    <t>Очсон удаа</t>
  </si>
  <si>
    <t>Судалгааны огноо</t>
  </si>
  <si>
    <t>Үр дүн*</t>
  </si>
  <si>
    <t>10. Өрхийн тэргүүлэгчийн овог, нэр</t>
  </si>
  <si>
    <t>Он</t>
  </si>
  <si>
    <t>Сар</t>
  </si>
  <si>
    <t>Өдөр</t>
  </si>
  <si>
    <t>11. Өрхийн ам бүлийн тоо</t>
  </si>
  <si>
    <t>2. Мэдээлэл цуглуулах багийн хэсэг</t>
  </si>
  <si>
    <t>12. Өрхийн түүврийн сонголт</t>
  </si>
  <si>
    <t>* Үр дүнгийн код</t>
  </si>
  <si>
    <t>Үндсэн өрх</t>
  </si>
  <si>
    <t>Бүрэн</t>
  </si>
  <si>
    <t>Хаяган дээрх өрх</t>
  </si>
  <si>
    <t>Хэсэгчлэн ярилцлага авсан</t>
  </si>
  <si>
    <t>Хойшлуулсан</t>
  </si>
  <si>
    <t>Орлуулсан өрх</t>
  </si>
  <si>
    <t>Хариулт өгөх хүн байгаагүй</t>
  </si>
  <si>
    <t>Татгалзсан</t>
  </si>
  <si>
    <t>Нөөц өрх</t>
  </si>
  <si>
    <t>Гэрийнхэн түр эзгүй байсан</t>
  </si>
  <si>
    <t>Өрхийг олоогүй</t>
  </si>
  <si>
    <t>БҮЛЭГ 1. ӨРХИЙН АМ БҮЛИЙН БАЙДАЛ</t>
  </si>
  <si>
    <t>ХЭСЭГ А. ӨРХИЙН ГИШҮҮДИЙН ЕРӨНХИЙ МЭДЭЭЛЭЛ</t>
  </si>
  <si>
    <t>ЭХЭЛСЭН ХУГАЦАА: ЦАГ ... МИНУТ ...</t>
  </si>
  <si>
    <t>ДУУССАН ХУГАЦАА: ЦАГ ... МИНУТ ...</t>
  </si>
  <si>
    <t>ХУВИЙН ДУГААР</t>
  </si>
  <si>
    <t>15 БА ТҮҮНЭЭС ДЭЭШ НАСТАЙ ГИШҮҮДЭЭС АСУУНА.</t>
  </si>
  <si>
    <t>Өрхийн тэргүүлэгчээс эхлэн өрхийн бүх гишүүдийн нэрийг хэлнэ үү.</t>
  </si>
  <si>
    <t>[НЭР] өрхийн тэргүүлэгчтэй ямар хамааралтай вэ?</t>
  </si>
  <si>
    <t>[НЭР]-ын/ийн хүйсийг хэлнэ үү?</t>
  </si>
  <si>
    <t>[НЭР]-ын/ийн төрсөн он, сар, өдрийг хэлнэ үү?</t>
  </si>
  <si>
    <t xml:space="preserve">[НЭР] хэдэн настай вэ? </t>
  </si>
  <si>
    <t>[НЭР]-ын/ийн аав хамт амьдардаг уу? Хэрэв амьдардаг бол хэн гэдэг вэ?</t>
  </si>
  <si>
    <t>[НЭР]-ын/ийн аав хаана амьдардаг вэ?</t>
  </si>
  <si>
    <t>[НЭР]-ын/ийн ээж хамт амьдардаг уу? Хэрэв амьдардаг бол хэн гэдэг вэ?</t>
  </si>
  <si>
    <t>[НЭР]-ын/ийн ээж хаана амьдардаг вэ?</t>
  </si>
  <si>
    <t xml:space="preserve">1. [НЭР] сүүлийн 1 сарын хугацаанд гэртээ хэд хоног эзгүй байсан бэ? </t>
  </si>
  <si>
    <t xml:space="preserve">2.  [НЭР] сүүлийн 12 сарын хугацаанд гэртээ хэдэн сар эзгүй байсан бэ? </t>
  </si>
  <si>
    <r>
      <t xml:space="preserve">АСУУЛГА </t>
    </r>
    <r>
      <rPr>
        <b/>
        <i/>
        <sz val="7"/>
        <rFont val="Arial"/>
        <family val="2"/>
      </rPr>
      <t>1.12_2</t>
    </r>
    <r>
      <rPr>
        <i/>
        <sz val="7"/>
        <rFont val="Arial"/>
        <family val="2"/>
      </rPr>
      <t>-ЫГ АШИГЛАН ЦААШИД АСУУЛТАД ХАМРАГДАХ ӨРХИЙН ГИШҮҮН МӨН ЭСЭХИЙГ ТОДОРХОЙЛНО УУ.</t>
    </r>
  </si>
  <si>
    <t>Гэрлэлтийн байдал</t>
  </si>
  <si>
    <t>ЭХНЭР, НӨХРИЙН ХУВИЙН ДУГААР</t>
  </si>
  <si>
    <t>11 САРААС ДЭЭШ ХУГАЦААГААР ЭЗГҮЙ БАЙГАА ӨРХИЙН ТЭРГҮҮН, ТҮҮНИЙ ЭХНЭР, НӨХӨР БОЛОН ОЮУТАН, СУРАГЧИД, 6 САРААС ДЭЭШ ХУГАЦААГААР ЭЗГҮЙ БАЙГАА БУСАД ГИШҮҮДИЙГ АСУУЛТАД ХАРИУЛАХ ГИШҮҮНД ХАМРУУЛАХГҮЙ.</t>
  </si>
  <si>
    <t>Өрхийн тэргүүн</t>
  </si>
  <si>
    <r>
      <rPr>
        <b/>
        <i/>
        <sz val="8"/>
        <rFont val="Arial"/>
        <family val="2"/>
      </rPr>
      <t>1.04-1.13</t>
    </r>
    <r>
      <rPr>
        <i/>
        <sz val="8"/>
        <rFont val="Arial"/>
        <family val="2"/>
      </rPr>
      <t xml:space="preserve"> ДУГААР АСУУЛТЫГ АСУУХААС ӨМНӨ ӨРХИЙН АМ БҮЛИЙН ГИШҮҮДИЙН НЭР, ӨРХИЙН ТЭРГҮҮЛЭГЧТЭЙ ЯМАР ХАМААРАЛТАЙГ БОЛОН ХҮЙСИЙГ АСУУЖ АСУУЛТ </t>
    </r>
    <r>
      <rPr>
        <b/>
        <i/>
        <sz val="8"/>
        <rFont val="Arial"/>
        <family val="2"/>
      </rPr>
      <t>1.01-1.03</t>
    </r>
    <r>
      <rPr>
        <i/>
        <sz val="8"/>
        <rFont val="Arial"/>
        <family val="2"/>
      </rPr>
      <t>-Т НӨХНӨ ҮҮ.</t>
    </r>
  </si>
  <si>
    <t>Эхнэр/ нөхөр</t>
  </si>
  <si>
    <t>Хүү/ охин</t>
  </si>
  <si>
    <t>ХЭРЭВ ААВ НЬ ӨРХИЙН ГИШҮҮН БИШ БОЛ "98" ГЭЖ БИЧЭЭД 1.09-Р АСУУЛТЫГ АСУУНА.</t>
  </si>
  <si>
    <t>ХЭРЭВ ЭЭЖ НЬ ӨРХИЙН ГИШҮҮН БИШ БОЛ "98" ГЭЖ БИЧЭЭД 1.11-Р АСУУЛТЫГ АСУУНА.</t>
  </si>
  <si>
    <t>Эцэг/ эх</t>
  </si>
  <si>
    <t>Ах/ эгч/ дүү</t>
  </si>
  <si>
    <t>НЭГ НАС ХҮРЭЭГҮЙ ХҮҮХДИЙГ САРААР БИЧНЭ ҮҮ.</t>
  </si>
  <si>
    <t>Огт гэрлээгүй</t>
  </si>
  <si>
    <t>→</t>
  </si>
  <si>
    <r>
      <t xml:space="preserve">ХЭРЭВ ЭХНЭР/ НӨХӨР ӨРХИЙН ГИШҮҮН БИШ БОЛ </t>
    </r>
    <r>
      <rPr>
        <b/>
        <i/>
        <sz val="8"/>
        <rFont val="Arial"/>
        <family val="2"/>
      </rPr>
      <t>"98"</t>
    </r>
    <r>
      <rPr>
        <i/>
        <sz val="8"/>
        <rFont val="Arial"/>
        <family val="2"/>
      </rPr>
      <t xml:space="preserve"> ГЭЖ БИЧНЭ ҮҮ.</t>
    </r>
  </si>
  <si>
    <r>
      <t xml:space="preserve">ГЭРТЭЭ БҮТЭН БАЙСАН БОЛ </t>
    </r>
    <r>
      <rPr>
        <b/>
        <i/>
        <sz val="8"/>
        <rFont val="Arial"/>
        <family val="2"/>
      </rPr>
      <t>"0"</t>
    </r>
    <r>
      <rPr>
        <i/>
        <sz val="8"/>
        <rFont val="Arial"/>
        <family val="2"/>
      </rPr>
      <t xml:space="preserve"> ГЭЖ НӨХНӨ</t>
    </r>
  </si>
  <si>
    <t>Хадам эцэг/ хадам эх</t>
  </si>
  <si>
    <t>Гэрлэсэн:</t>
  </si>
  <si>
    <t>Монголд</t>
  </si>
  <si>
    <t>Хүргэн/ бэр</t>
  </si>
  <si>
    <t>Батлуулсан</t>
  </si>
  <si>
    <t>Өвөг эцэг/ эмэг эх</t>
  </si>
  <si>
    <t>Батлуулаагүй</t>
  </si>
  <si>
    <t>Ач/ зээ/ гуч</t>
  </si>
  <si>
    <t>БҮТЭН НАСААР БИЧНЭ.</t>
  </si>
  <si>
    <t>Тусгаарласан</t>
  </si>
  <si>
    <t>Тийм</t>
  </si>
  <si>
    <t>Бусад төрөл төрөгсөд</t>
  </si>
  <si>
    <t>Эрэгтэй</t>
  </si>
  <si>
    <t>Цуцалсан</t>
  </si>
  <si>
    <t>Үгүй</t>
  </si>
  <si>
    <t>Хамааралгүй</t>
  </si>
  <si>
    <t>Эмэгтэй</t>
  </si>
  <si>
    <t>Бэлэвсэн</t>
  </si>
  <si>
    <t>Бусад</t>
  </si>
  <si>
    <t>Дараагийн хүн</t>
  </si>
  <si>
    <t>Нас</t>
  </si>
  <si>
    <t>ХЭСЭГ Б. ШИЛЖИЛТ ХӨДӨЛГӨӨН</t>
  </si>
  <si>
    <t>[НЭР] одоо энэ өрхөд хамт амьдарч байна уу?</t>
  </si>
  <si>
    <t>Одоо [НЭР] хаана амьдарч байна вэ?</t>
  </si>
  <si>
    <t>[НЭР] яагаад хамт амьдрахгүй байгаа вэ?</t>
  </si>
  <si>
    <t xml:space="preserve">[НЭР] энэ нутаг буюу [АЙМАГ]-ын/ийн [СУМ]-нд төрсөн үү? </t>
  </si>
  <si>
    <t>[НЭР] хаана төрсөн бэ?</t>
  </si>
  <si>
    <t xml:space="preserve">[НЭР] энд хэдэн оноос хойш амьдарч байгаа вэ? </t>
  </si>
  <si>
    <t>[НЭР] ер нь шилжиж суурьшиж байсан уу?</t>
  </si>
  <si>
    <t>[НЭР] хамгийн сүүлд хаанаас шилжиж ирсэн бэ?</t>
  </si>
  <si>
    <t>[НЭР] хамгийн сүүлд аль аймаг, сумаас шилжиж ирсэн бэ?</t>
  </si>
  <si>
    <t>[НЭР] хамгийн сүүлд хэдэн онд шилжиж ирсэн бэ?</t>
  </si>
  <si>
    <r>
      <t xml:space="preserve">[НЭР]-ын/ийн хамгийн сүүлд шилжиж ирсэн гол шалтгаан юу вэ? </t>
    </r>
    <r>
      <rPr>
        <i/>
        <sz val="8"/>
        <rFont val="Arial"/>
        <family val="2"/>
      </rPr>
      <t>ХАРИУЛТЫГ УНШИЖ ӨГӨХГҮЙ БАЙХ</t>
    </r>
  </si>
  <si>
    <t>[НЭР] 5-н жилийн өмнө хаана амьдарч байсан бэ?</t>
  </si>
  <si>
    <t>Гэр бүлтэй болсон</t>
  </si>
  <si>
    <t>Гэр бүлээ дагаж</t>
  </si>
  <si>
    <t>Ажлын шаардлага, албан томилолт</t>
  </si>
  <si>
    <t xml:space="preserve">ТУХАЙН ӨРХИЙН ГИШҮҮНИЙ ОДОО АМЬДАРЧ БАЙГАА ГАЗАРТАА ШИЛЖИЖ ИРЭХИЙН ӨМНӨХ СУУРЬШЛЫГ АСУУЖ БАЙНА. </t>
  </si>
  <si>
    <t>Ажил хайж</t>
  </si>
  <si>
    <t>Өөрөө боловсрол эзэмшихээр</t>
  </si>
  <si>
    <t>АЙМАГ/НИЙСЛЭЛ, СУМ/ДҮҮРГИЙН НЭР, КОДЫГ БИЧНЭ.
 ХЭРЭВ ГАДААДАД БАЙДАГ БОЛ ТУХАЙН УЛСЫН НЭР, КОДЫГ БИЧНЭ ҮҮ.</t>
  </si>
  <si>
    <t>АЙМАГ/НИЙСЛЭЛ, СУМ/ДҮҮРГИЙН НЭР, КОДЫГ БИЧНЭ.
 ХЭРЭВ ГАДААДАД ТӨРСӨН БОЛ ТУХАЙН УЛСЫН НЭР, КОДЫГ БИЧНЭ ҮҮ.</t>
  </si>
  <si>
    <t xml:space="preserve">ТУХАЙН ӨРХИЙН ГИШҮҮНИЙ ОДОО АМЬДАРЧ БАЙГАА ГАЗАРТАА ШИЛЖИЖ ИРЭХИЙН ӨМНӨХ АЙМАГ, СУМЫГ АСУУЖ БАЙНА. </t>
  </si>
  <si>
    <t>Хүүхдүүддээ боловсрол эзэмшүүлэхээр</t>
  </si>
  <si>
    <r>
      <t xml:space="preserve">АЙМАГ/НИЙСЛЭЛ, СУМ/ДҮҮРГИЙН НЭР, КОДЫГ БИЧНЭ.
 ХЭРЭВ ГАДААДАД АМЬДАРЧ БАЙСАН БОЛ ТУХАЙН УЛСЫН НЭР, КОДЫГ БИЧНЭ ҮҮ.
ХЭРЭВ ТУХАЙН ГИШҮҮН 5-ААС ДООШ НАСТАЙ БОЛ </t>
    </r>
    <r>
      <rPr>
        <b/>
        <i/>
        <sz val="8"/>
        <rFont val="Arial"/>
        <family val="2"/>
      </rPr>
      <t>"00"</t>
    </r>
    <r>
      <rPr>
        <i/>
        <sz val="8"/>
        <rFont val="Arial"/>
        <family val="2"/>
      </rPr>
      <t xml:space="preserve"> ГЭЖ БИЧНЭ ҮҮ.</t>
    </r>
  </si>
  <si>
    <t>Боловсрол эзэмших</t>
  </si>
  <si>
    <t>Хүүхдүүддээ боловсрол эзэмшүүлэх</t>
  </si>
  <si>
    <t>Мал аж ахуй эрхлэхээр</t>
  </si>
  <si>
    <t>ТӨРСНӨӨСӨӨ ХОЙШ АМЬДАРЧ БАЙГАА БОЛ "9998" ГЭЖ БИЧНЭ.</t>
  </si>
  <si>
    <t>АЙМАГ/НИЙСЛЭЛ, СУМ/ДҮҮРГИЙН НЭР, КОДЫГ БИЧНЭ.
 ХЭРЭВ ГАДААДААС ИРСЭН БОЛ ТУХАЙН УЛСЫН НЭР, КОДЫГ БИЧНЭ ҮҮ.</t>
  </si>
  <si>
    <r>
      <t xml:space="preserve">МЭДЭХГҮЙ БОЛ </t>
    </r>
    <r>
      <rPr>
        <b/>
        <i/>
        <sz val="8"/>
        <rFont val="Arial"/>
        <family val="2"/>
      </rPr>
      <t>"98"</t>
    </r>
    <r>
      <rPr>
        <i/>
        <sz val="8"/>
        <rFont val="Arial"/>
        <family val="2"/>
      </rPr>
      <t xml:space="preserve"> ГЭЖ БИЧНЭ.</t>
    </r>
  </si>
  <si>
    <t>Агаарын бохирдлоос зайлсхийх</t>
  </si>
  <si>
    <t>Мал аж ахуй эрхлэх</t>
  </si>
  <si>
    <t>Эрүүл мэндийн шалтгаан</t>
  </si>
  <si>
    <t>Байгалийн гамшгаас зайлсхийх</t>
  </si>
  <si>
    <t>Зах зээлд ойртох</t>
  </si>
  <si>
    <t>Амьдрах нөхцөл илүү сайн гэж үзсэн</t>
  </si>
  <si>
    <t>1 →</t>
  </si>
  <si>
    <t>Ах дүү/ найз нөхдийндөө зочлох</t>
  </si>
  <si>
    <t>Гэр бүлийн бусад шалтгаан</t>
  </si>
  <si>
    <t xml:space="preserve">2 → </t>
  </si>
  <si>
    <t>Аймаг/ Нийслэлийн нэр</t>
  </si>
  <si>
    <t>Сум/ дүүргийн нэр</t>
  </si>
  <si>
    <t>Гадаад</t>
  </si>
  <si>
    <t xml:space="preserve">БҮЛЭГ 2. БОЛОВСРОЛ </t>
  </si>
  <si>
    <t xml:space="preserve">ХЭСЭГ А. СУРГУУЛИЙН ӨМНӨХ БОЛОВСРОЛ </t>
  </si>
  <si>
    <t>ӨРХИЙН 2-ООС 6 НАСТАЙ БҮХ ГИШҮҮД ХАМРАГДАНА.</t>
  </si>
  <si>
    <t>[НЭР] 2-ООС 6 НАСТАЙ ЭСЭХИЙГ ШАЛГА</t>
  </si>
  <si>
    <t>ХАРИУЛЖ БАЙГАА ХҮНИЙ ХУВИЙН ДУГААРЫГ  БИЧНЭ ҮҮ.</t>
  </si>
  <si>
    <t xml:space="preserve">[НЭР] цэцэрлэг, яслид хамрагддаг уу?
</t>
  </si>
  <si>
    <t>[НЭР] яагаад цэцэрлэг, яслид хамрагдаагүй вэ?</t>
  </si>
  <si>
    <t>[НЭР]-ын/ийн явдаг цэцэрлэг, яслийн өмчийн хэлбэр ямар вэ?</t>
  </si>
  <si>
    <t>Сүүлийн 12 сард танай өрх [НЭР]-ын/ийн сургуулийн өмнөх боловсролд хэдэн төгрөг зарцуулсан бэ?</t>
  </si>
  <si>
    <t>Сургуульд сурдаг</t>
  </si>
  <si>
    <t>Санхүүгийн боломжгүй</t>
  </si>
  <si>
    <t>Орон тоо байхгүй</t>
  </si>
  <si>
    <t>Цэцэрлэг, ясли хэтэрхий хол</t>
  </si>
  <si>
    <t xml:space="preserve">ЗӨВХӨН ӨРХӨӨС ЗАРЦУУЛСАН ЗАРЛАГЫГ ХАМААРУУЛНА. БАГАНА БҮРИЙН ДҮНГ НЭГ БҮРЧЛЭН АСУУСНЫ ДАРАА НИЙТ ДҮНГ БОДОЖ, ХАРЬЦУУЛАН ШАЛГАНА УУ.                                                                           </t>
  </si>
  <si>
    <t>Цэцэрлэг, яслийн орчин нөхцөл тааруу</t>
  </si>
  <si>
    <t>Цэцэрлэг, ясли байхгүй</t>
  </si>
  <si>
    <r>
      <t xml:space="preserve">ЗАРЦУУЛААГҮЙ БОЛ </t>
    </r>
    <r>
      <rPr>
        <b/>
        <sz val="8"/>
        <rFont val="Arial"/>
        <family val="2"/>
      </rPr>
      <t>"0"</t>
    </r>
    <r>
      <rPr>
        <sz val="8"/>
        <rFont val="Arial"/>
        <family val="2"/>
      </rPr>
      <t xml:space="preserve"> ГЭЖ БИЧНЭ. МӨНГӨН БУС ЗАРЛАГЫГ ҮНЭЛЖ ОРУУЛНА.</t>
    </r>
  </si>
  <si>
    <t>Шилжин суурьшсанаас</t>
  </si>
  <si>
    <t>Шаардлагагүй</t>
  </si>
  <si>
    <t>Улсын</t>
  </si>
  <si>
    <t>Сугалаанд сонгогдоогүй</t>
  </si>
  <si>
    <t>Хувийн</t>
  </si>
  <si>
    <t>Өрхөөс төлсөн цэцэрлэгийн төлбөр</t>
  </si>
  <si>
    <t>Бичгийн хэрэгсэл, сургалтын материал</t>
  </si>
  <si>
    <t>Цэцэрлэг, яслийн хоолны мөнгө</t>
  </si>
  <si>
    <t>Нийт</t>
  </si>
  <si>
    <t xml:space="preserve"> Дараагийн хүн</t>
  </si>
  <si>
    <t>Хувийн дугаар</t>
  </si>
  <si>
    <t xml:space="preserve">ХЭСЭГ Б. 5 БА ТҮҮНЭЭС ДЭЭШ НАСНЫ ӨРХИЙН ГИШҮҮДИЙН БОЛОВСРОЛ </t>
  </si>
  <si>
    <t>БҮЛЭГ 2. БОЛОВСРОЛ</t>
  </si>
  <si>
    <t>ХЭСЭГ Б. 5 БА ТҮҮНЭЭС ДЭЭШ НАСНЫ ӨРХИЙН ГИШҮҮДИЙН БОЛОВСРОЛ</t>
  </si>
  <si>
    <t>СУРГУУЛЬ ЗАВСАРДСАН ГИШҮҮДЭЭС АСУУНА.</t>
  </si>
  <si>
    <t>ОДОО СУРГУУЛЬД СУРЧ БАЙГАА БҮХ ГИШҮҮДЭЭС БУЮУ 2.14-Р АСУУЛТАД "ТИЙМ" ГЭЖ ХАРИУЛСАН ГИШҮҮДЭЭС АСУУНА.</t>
  </si>
  <si>
    <t>ОДОО СУРГУУЛЬД СУРЧ БАЙГАА БҮХ ГИШҮҮДЭЭС АСУУНА.</t>
  </si>
  <si>
    <t>5 БА ТҮҮНЭЭС ДЭЭШ НАСТАЙ ЭСЭХИЙГ ШАЛГА.</t>
  </si>
  <si>
    <t>ЭНЭ ГИШҮҮН ӨӨРӨӨ ХАРИУЛЖ БАЙНА УУ?</t>
  </si>
  <si>
    <t>ХАРИУЛЖ БАЙГАА ХҮНИЙ ХУВИЙН ДУГААРЫГ БИЧНЭ ҮҮ.</t>
  </si>
  <si>
    <t>[НЭР]-ын/ийн эзэмшсэн  боловсролын дээд түвшинг хэлнэ үү?</t>
  </si>
  <si>
    <t xml:space="preserve">[НЭР] Монгол хэл эсвэл бусад хэл дээр энгийн өгүүлбэр уншиж, бичиж чадах уу? </t>
  </si>
  <si>
    <t xml:space="preserve">[НЭР] энгийн нэмэх, хасах тооцооллыг хийж чадах уу? </t>
  </si>
  <si>
    <t xml:space="preserve">[НЭР] нийт хэдэн жил сургуульд  суралцсан бэ?          </t>
  </si>
  <si>
    <r>
      <t xml:space="preserve">[НЭР] одоо сургуульд сурдаг уу?
</t>
    </r>
    <r>
      <rPr>
        <i/>
        <sz val="8"/>
        <rFont val="Arial"/>
        <family val="2"/>
      </rPr>
      <t>(ҮГҮЙ БОЛ УРЬД НЬ СУРЧ БАЙСАН ЭСЭХИЙГ АСУУНА УУ?)</t>
    </r>
  </si>
  <si>
    <t>[НЭР] ерөнхий боловсролын сургуулиас завсардсан уу?</t>
  </si>
  <si>
    <t>[НЭР] сургуулийн хэддүгээр ангиас гарсан бэ?</t>
  </si>
  <si>
    <t>[НЭР] яагаад сургуулиас гарсан бэ?</t>
  </si>
  <si>
    <t>[НЭР] яагаад сургуульд суралцаагүй вэ?</t>
  </si>
  <si>
    <t>[НЭР] одоо ямар сургуулийн хэддүгээр анги, курсэд сурч байна вэ?</t>
  </si>
  <si>
    <t>[НЭР]-ын/ийн сурдаг сургуулийн өмчийн хэлбэр ямар вэ?</t>
  </si>
  <si>
    <t>[НЭР]-ын/ийн суралцдаг сургууль хаана байдаг вэ?</t>
  </si>
  <si>
    <t>[НЭР] суралцах хугацаандаа хаана амьдардаг вэ?</t>
  </si>
  <si>
    <t>[НЭР] сургууль руу явахдаа ямар тээврийн хэрэгслээр явдаг вэ?</t>
  </si>
  <si>
    <t>[НЭР] сургалтын төлбөр төлдөг үү?</t>
  </si>
  <si>
    <t>[НЭР] сүүлийн 12 сард сургалтын төлбөрөө төлөхийн тулд зээл авсан уу?</t>
  </si>
  <si>
    <t>[НЭР] хаанаас зээл авсан бэ?</t>
  </si>
  <si>
    <t>[НЭР] сүүлийн 12 сард сургалтын төлбөрт зориулан нийт хэдэн төгрөгийн зээл авсан бэ?</t>
  </si>
  <si>
    <t>[НЭР] сүүлийн 12 сард сургалтын төлбөртөө ямар нэг тусламж, хандив, хөнгөлөлт авсан уу?</t>
  </si>
  <si>
    <t>[НЭР] хэнээс тусламж, хандив, хөнгөлөлт авсан бэ?</t>
  </si>
  <si>
    <t>[НЭР] сүүлийн 12 сард сургалтын төлбөрт зориулан хичнээн төгрөгийн тусламж, хандив, хөнгөлөлт авсан бэ?</t>
  </si>
  <si>
    <r>
      <t xml:space="preserve">[НЭР] сүүлийн 12 сард дор хаяж нэг долоо хоног ямар нэгэн сургалтад хамрагдсан уу? 
</t>
    </r>
    <r>
      <rPr>
        <i/>
        <sz val="10"/>
        <rFont val="Arial"/>
        <family val="2"/>
      </rPr>
      <t>/хэл, компьютер, урлаг, хөдөө аж ахуй, аж үйлдвэр, засвар, гар урлалтай холбоотой эсвэл бичиг хэрэг зэрэг орно/</t>
    </r>
  </si>
  <si>
    <t>Танай өрх сүүлийн 12 сард [НЭР]-ын/ийн боловсролд хэдэн төгрөг зарцуулсан бэ?</t>
  </si>
  <si>
    <t>Хүссэн түвшинд хүрсэн</t>
  </si>
  <si>
    <t>СУРАЛЦАЖ ДҮҮРГЭСЭН БОЛОВСРОЛЫН ДЭЭД ТҮВШИНГЭЭР НЬ ТОДОРХОЙЛНО УУ.</t>
  </si>
  <si>
    <t>Үргэлжлүүлэн сурах сонирхолгүй</t>
  </si>
  <si>
    <t>Өөрөө сурах хүсэлгүй</t>
  </si>
  <si>
    <t>Эцэг, эх сургах хүсэлгүй</t>
  </si>
  <si>
    <t>Эцэг, эх үргэлжлүүлэн сургах сонирхолгүй</t>
  </si>
  <si>
    <t>Хичээлээ ойлгохгүй гэж бодсон</t>
  </si>
  <si>
    <t>Боловсролгүй</t>
  </si>
  <si>
    <t>Сургалт хүнд байсан</t>
  </si>
  <si>
    <t>Сургалтын чанар муу</t>
  </si>
  <si>
    <t>Бага</t>
  </si>
  <si>
    <t>Сургуулийн орчин, нөхцөл тааруу</t>
  </si>
  <si>
    <t>Суурь</t>
  </si>
  <si>
    <t>ТӨРӨЛ</t>
  </si>
  <si>
    <t>АНГИ</t>
  </si>
  <si>
    <t>Явган</t>
  </si>
  <si>
    <t>СУРГУУЛЬ НЬ ТӨЛБӨРТЭЙ ЭСЭХИЙГ ТОДРУУЛАХ</t>
  </si>
  <si>
    <t>СУРГАЛТЫН ТӨРИЙН САНГААС ЗЭЭЛЭЭР СУРЧ БАЙГААГ ҮҮНД ОРУУЛНА.</t>
  </si>
  <si>
    <t>СУРГАЛТЫН ТӨРИЙН САНГИЙН БУЦАЛТГҮЙ ТУСЛАМЖААР СУРЧ БАЙГААГ ҮҮНД ОРУУЛНА.</t>
  </si>
  <si>
    <t xml:space="preserve">ЗӨВХӨН ӨРХӨӨС ЗАРЦУУЛСАН ЗАРЛАГЫГ ХАМААРУУЛНА. БАГАНА БҮРИЙГ НЭГ БҮРЧЛЭН АСУУСНЫ 
ДАРАА НИЙТ ДҮНГ БОДОЖ, ХАРЬЦУУЛАН ШАЛГАНА УУ.                                                                           </t>
  </si>
  <si>
    <t>Бүрэн дунд</t>
  </si>
  <si>
    <t>ЕБС</t>
  </si>
  <si>
    <t>1-12</t>
  </si>
  <si>
    <t>Автобус</t>
  </si>
  <si>
    <t>Сургалтын төрийн сан</t>
  </si>
  <si>
    <t>Техникийн болон мэргэжлийн</t>
  </si>
  <si>
    <t>ТӨРӨЛХ ЭХ ХЭЛИЙГ ОРУУЛЖ ОЙЛГОНО.</t>
  </si>
  <si>
    <t>(ТООНЫ МАШИН, УТАС АШИГЛАХГҮЙ-ГЭЭР)</t>
  </si>
  <si>
    <r>
      <t xml:space="preserve">СУРГУУЛЬД ОГТ СУРААГҮЙ БОЛ </t>
    </r>
    <r>
      <rPr>
        <b/>
        <i/>
        <sz val="8"/>
        <rFont val="Arial"/>
        <family val="2"/>
      </rPr>
      <t xml:space="preserve">"0" </t>
    </r>
    <r>
      <rPr>
        <i/>
        <sz val="8"/>
        <rFont val="Arial"/>
        <family val="2"/>
      </rPr>
      <t>БИЧНЭ.</t>
    </r>
  </si>
  <si>
    <t>Ажиллах шаардлагаар</t>
  </si>
  <si>
    <t>МСҮТ</t>
  </si>
  <si>
    <t>1-3</t>
  </si>
  <si>
    <t>Сургуулийн автобус</t>
  </si>
  <si>
    <t>ААНБ, БАНК</t>
  </si>
  <si>
    <t>Өвчний улмаас /Хөгжлийн бэрхшээлээс</t>
  </si>
  <si>
    <t>Коллеж, их, дээд сургуулийн</t>
  </si>
  <si>
    <t>Гэртээ</t>
  </si>
  <si>
    <t>ТББ</t>
  </si>
  <si>
    <r>
      <t xml:space="preserve">ЗАРЦУУЛААГҮЙ БОЛ </t>
    </r>
    <r>
      <rPr>
        <b/>
        <sz val="8"/>
        <rFont val="Arial"/>
        <family val="2"/>
      </rPr>
      <t xml:space="preserve">"0" </t>
    </r>
    <r>
      <rPr>
        <sz val="8"/>
        <rFont val="Arial"/>
        <family val="2"/>
      </rPr>
      <t xml:space="preserve">ГЭЖ БИЧНЭ ҮҮ. </t>
    </r>
  </si>
  <si>
    <t>Тусгай мэргэжлийн дунд</t>
  </si>
  <si>
    <t>Үгүй, завсардсан</t>
  </si>
  <si>
    <t>Хүүхдүүд суралцах хугацаандаа амьдардаг сууц</t>
  </si>
  <si>
    <t>Унадаг дугуй</t>
  </si>
  <si>
    <t>Эцэг, эх/ төрөл садан</t>
  </si>
  <si>
    <t>Бусдыг асрахаар</t>
  </si>
  <si>
    <t>Бакалавр</t>
  </si>
  <si>
    <t>1-6</t>
  </si>
  <si>
    <t>Мотоцикл</t>
  </si>
  <si>
    <t>Бусад хүн</t>
  </si>
  <si>
    <t>АСУУЛТ ДУУССАНЫ ДАРАА ДАРААГИЙН ХҮН РҮҮ ОЧНО УУ.</t>
  </si>
  <si>
    <t>Дипломын дээд</t>
  </si>
  <si>
    <t>Үгүй, огт сураагүй</t>
  </si>
  <si>
    <t>3 →</t>
  </si>
  <si>
    <t>Сургууль хэтэрхий хол</t>
  </si>
  <si>
    <t>Магистр</t>
  </si>
  <si>
    <t>Машин</t>
  </si>
  <si>
    <t>Гадаадын болон олон улсын байгууллага, гадаадын иргэн</t>
  </si>
  <si>
    <t xml:space="preserve"> </t>
  </si>
  <si>
    <t>БҮТЭН ЖИЛЭЭР ТООЦНО.</t>
  </si>
  <si>
    <t>Доктор</t>
  </si>
  <si>
    <t>Дотуур байр</t>
  </si>
  <si>
    <t>Дотуур байранд амьдардаг</t>
  </si>
  <si>
    <t>Үгүй, төгссөн</t>
  </si>
  <si>
    <t xml:space="preserve">4 → </t>
  </si>
  <si>
    <t>2 →</t>
  </si>
  <si>
    <t>Дотуур байр хүрэлцээгүй</t>
  </si>
  <si>
    <t>Бусад шашны/ Албан бус</t>
  </si>
  <si>
    <t>Хамаатан садан</t>
  </si>
  <si>
    <t xml:space="preserve">Сууцны түрээс болон оюутны байрны хөлс </t>
  </si>
  <si>
    <t>Өрхөөс төлсөн сургалтын төлбөр</t>
  </si>
  <si>
    <t>Сурах бичиг, бичгийн хэрэгсэл</t>
  </si>
  <si>
    <t>Дүрэмт хувцас</t>
  </si>
  <si>
    <t>Тээвэр</t>
  </si>
  <si>
    <t>Жил</t>
  </si>
  <si>
    <t>Анги</t>
  </si>
  <si>
    <t>Төгрөг</t>
  </si>
  <si>
    <t xml:space="preserve">БҮЛЭГ 3. ЭРҮҮЛ МЭНД  </t>
  </si>
  <si>
    <t>ХЭСЭГ А. ЭРҮҮЛ МЭНДИЙН БАЙДАЛ</t>
  </si>
  <si>
    <t xml:space="preserve">ӨРХИЙН БҮХ ГИШҮҮДИЙН ХУВЬД АСУУГДАНА. </t>
  </si>
  <si>
    <t>ЭНЭ ГИШҮҮН ӨӨРӨӨ ЯРИЛЦЛАГА ӨГЧ БАЙНА УУ?</t>
  </si>
  <si>
    <t>[НЭР] эрүүл мэндийн даатгал (ЭМД)-д хамрагдаж байгаа юу?</t>
  </si>
  <si>
    <t xml:space="preserve">[НЭР] яагаад ЭМД-д хамрагдаагүй вэ? </t>
  </si>
  <si>
    <t>[НЭР] эрүүл мэндийн даатгалаа хаанаас төлдөг вэ?</t>
  </si>
  <si>
    <t>[НЭР] сүүлийн 30 хоногт өвдөж, гэмтсэн үү?</t>
  </si>
  <si>
    <t>[НЭР] сүүлийн 30 хоногт ер нь (өвдсөн эсвэл  урьдчилан сэргийлэх зорилгоор) эмнэлэгт хандсан уу?</t>
  </si>
  <si>
    <t>[НЭР] ӨВДСӨН ХЭДИЙ Ч ЭМНЭЛЭГТ ХАНДААГҮЙ ЭСЭХИЙГ ШАЛГА.</t>
  </si>
  <si>
    <t>[НЭР] яагаад эмнэлэгт хандаагүй вэ?</t>
  </si>
  <si>
    <t>Сүүлийн 30 хоногт [НЭР] эмнэлэгт хандсан шалтгаан/ өвчин юу вэ?</t>
  </si>
  <si>
    <t xml:space="preserve">[НЭР] ямар эмнэлэгт хандсан бэ?    </t>
  </si>
  <si>
    <t>АМБУЛАТОРИОР ҮЙЛЧЛҮҮЛСЭН ЗАРДАЛ</t>
  </si>
  <si>
    <t>[НЭР] эмчилгээний зардлыг хэрхэн төлсөн бэ?</t>
  </si>
  <si>
    <t>[НЭР] сүүлийн 30 хоногт эмчийн жоргүйгээр эм, тариа, дархлаа сэргээх витамин худалдан авч хэрэглэсэн үү?</t>
  </si>
  <si>
    <t>[НЭР] сүүлийн 30 хоногт эмчийн жоргүйгээр эм, тариа, витамин авахад хэдэн төгрөг зарцуулсан бэ?</t>
  </si>
  <si>
    <t>[НЭР] сүүлийн 12 сард эмнэлэгт хэвтэж эмчлүүлсэн үү?</t>
  </si>
  <si>
    <t>[НЭР] сүүлийн 12 сарын хугацаанд эмнэлэгт хэд хоног хэвтэж, эмчлүүлсэн бэ?</t>
  </si>
  <si>
    <t>Сүүлийн 12 сарын хугацаанд [НЭР] ямар өвчнөөр эмнэлэгт хэвтэн, эмчлүүлсэн вэ?</t>
  </si>
  <si>
    <t xml:space="preserve">[НЭР] ямар эмнэлэгт хэвтэн эмчлүүлсэн бэ? </t>
  </si>
  <si>
    <t>[НЭР] сүүлийн 12 сард эмнэлэгт хэвтэж эмчлүүлэхэд хэдэн төгрөг бэлэн болон бэлэн бусаар төлсөн бэ?</t>
  </si>
  <si>
    <t>[НЭР] сүүлийн 12 сард тээврийн зардал болон бусад зардал /байр, хоолны зардал, хамт явсан хүний зардлууд, эмнэлгийн ажилтнуудад өгсөн бэлэг гэх мэт/-д нийт хэдэн төгрөг бэлэн болон бэлэн бусаар зарцуулсан бэ?</t>
  </si>
  <si>
    <t>Онц хүнд өвчлөөгүй</t>
  </si>
  <si>
    <t xml:space="preserve">ЭМНЭЛЭГТ ХАНДСАН ГОЛ ХОЁР ШАЛТГААНЫГ БИЧНЭ. </t>
  </si>
  <si>
    <t xml:space="preserve">Сүүлийн 30 хоногт эмнэлгээр үйлчлүүлэхэд хэдэн төгрөгийн төлбөр бэлэн болон бэлэн бусаар төлсөн бэ? /Эмчийн жороор авсан эм тариа худалдан авах, шинжилгээний төлбөр гэх мэт/  </t>
  </si>
  <si>
    <t>Сүүлийн 30 хоногт тээврийн зардал болон бусад зардалд /байр, хоолны зардал, хамт явсан хүний зардал, эмнэлгийн ажилтнуудад өгсөн бэлэг гэх мэт/ нийт хэдэн төгрөг бэлэн болон бэлэн бусаар зарцуулсан бэ?</t>
  </si>
  <si>
    <t>Эмнэлэг хэтэрхий хол</t>
  </si>
  <si>
    <t>Явах унаа, тээврийн хэрэгсэл байгаагүй</t>
  </si>
  <si>
    <t>Эмчилгээ хэт өндөр үнэтэй</t>
  </si>
  <si>
    <t>Тээврийн зардал хэт өндөр үнэтэй</t>
  </si>
  <si>
    <t>Зүрх судасны тогтолцооны</t>
  </si>
  <si>
    <t>Амьсгалын тогтолцооны</t>
  </si>
  <si>
    <t>ЭМЧИЛГЭЭНИЙ ЗАРДАЛД ХАМГИЙН ИХ ХУВЬ НЭМЭР ОРУУЛСАН ХОЁР ЭХ ҮҮСВЭРИЙГ БИЧНЭ.</t>
  </si>
  <si>
    <t>Эмнэлгийн ажилтнуудын харьцаа муу</t>
  </si>
  <si>
    <t>Хоол боловсруулах тогтолцооны</t>
  </si>
  <si>
    <t>Шээс бэлэгсийн тогтолцооны</t>
  </si>
  <si>
    <t>Ажилгүй</t>
  </si>
  <si>
    <t>ЗӨВХӨН УЛСЫН БОЛОН ХУВИЙН ЭМНЭЛГИЙН АМБУЛАТОРИОР ҮЙЛЧЛҮҮЛСНИЙГ ХАМРУУЛНА.</t>
  </si>
  <si>
    <t xml:space="preserve">3.06-Р АСУУЛТАД "1" 3.07-Р АСУУЛТАД "2" ГЭЖ ХАРИУЛСНЫГ ШАЛГАНА. </t>
  </si>
  <si>
    <t>Эмч байдаггүй</t>
  </si>
  <si>
    <t>Мэдрэлийн тогтолцооны өвчин</t>
  </si>
  <si>
    <t>Клиникийн болон төрөлжсөн мэргэжлийн эмнэлэг</t>
  </si>
  <si>
    <t>ӨРХӨӨС ЭМ, ТАРИА ХУДАЛДАН АВАХАД ЗАРЦУУЛСАН МӨНГӨН ДҮНГ ХАМРУУЛНА.</t>
  </si>
  <si>
    <t>Төлбөрийн чадваргүй</t>
  </si>
  <si>
    <t>Эрүүл мэндийн үйлчилгээ чанаргүй</t>
  </si>
  <si>
    <t>Гэмтэл, хордлого ба гадны шалтгаант бусад тодорхой эмгэг</t>
  </si>
  <si>
    <t>Өрхийн орлогоос зарцуулсан</t>
  </si>
  <si>
    <r>
      <t xml:space="preserve">ЭМНЭЛЭГТ ХЭВТЭЖ БАЙХДАА ХУДАЛДАН АВЧ ХЭРЭГЛЭСНИЙГ </t>
    </r>
    <r>
      <rPr>
        <b/>
        <i/>
        <sz val="8"/>
        <rFont val="Arial"/>
        <family val="2"/>
      </rPr>
      <t>3.20-Д</t>
    </r>
    <r>
      <rPr>
        <i/>
        <sz val="8"/>
        <rFont val="Arial"/>
        <family val="2"/>
      </rPr>
      <t xml:space="preserve"> БИЧНЭ.</t>
    </r>
  </si>
  <si>
    <t>СУВИЛАЛД ХЭВТСЭНИЙГ ҮҮНД ХАМРУУЛНА.</t>
  </si>
  <si>
    <t>Хувийн байгууллагад ажилладаг</t>
  </si>
  <si>
    <t>Мөнгөгүй</t>
  </si>
  <si>
    <t>Яс-булчингийн тогтолцоо ба холбох эдийн өвчин</t>
  </si>
  <si>
    <t>Аймаг/ Дүүргийн нэгдсэн эмнэлэг</t>
  </si>
  <si>
    <t>Хадгаламжаа зарцуулсан</t>
  </si>
  <si>
    <t>Гадаадын байгууллагад ажилладаг</t>
  </si>
  <si>
    <t>Аль эмнэлэгт хандахаа мэдэхгүй байсан</t>
  </si>
  <si>
    <t>Нөхөн төлбөр авсан</t>
  </si>
  <si>
    <t>Жирэмсэн, төрөлт ба төрсний дараах үе</t>
  </si>
  <si>
    <t>Сум, сум дундын болон өрхийн эмнэлэг</t>
  </si>
  <si>
    <t>Бусдаас дэмжлэг авсан</t>
  </si>
  <si>
    <t>Хувиараа хөдөлмөр эрхэлдэг</t>
  </si>
  <si>
    <t>Улсаас</t>
  </si>
  <si>
    <t>Өөрөө эмчилсэн</t>
  </si>
  <si>
    <t>Эд хөрөнгөө зарсан</t>
  </si>
  <si>
    <t>Хувиараа</t>
  </si>
  <si>
    <t>Оточ, бариачид үзүүлсэн</t>
  </si>
  <si>
    <t>Хавдар</t>
  </si>
  <si>
    <t>Бусдаас зээл авсан</t>
  </si>
  <si>
    <t>ЗАРЦУУЛААГҮЙ БОЛ "0"  ГЭЖ НӨХНӨ.</t>
  </si>
  <si>
    <t>Өвдөөгүй учраас</t>
  </si>
  <si>
    <t>Байгууллагаас</t>
  </si>
  <si>
    <t>Эмнэлэгт хандахыг хүсээгүй</t>
  </si>
  <si>
    <t>Урьдчилан сэргийлэх</t>
  </si>
  <si>
    <t>Гадаадад</t>
  </si>
  <si>
    <t>Хөрөнгөө түрээсэлсэн</t>
  </si>
  <si>
    <t xml:space="preserve">→  </t>
  </si>
  <si>
    <t>Бусад /шүд/</t>
  </si>
  <si>
    <t>Анхны</t>
  </si>
  <si>
    <t>Хоёрдахь</t>
  </si>
  <si>
    <t>1-рт</t>
  </si>
  <si>
    <t>2-рт</t>
  </si>
  <si>
    <t>Хоног</t>
  </si>
  <si>
    <t>ХЭСЭГ Б. ҮЙЛДЛИЙН ЧАДВАР</t>
  </si>
  <si>
    <t>ХАРИУЛАГЧ: ӨРХИЙН ТЭРГҮҮН ЭСВЭЛ ӨРХИЙН ТЭРГҮҮЛЭГЧИЙН ЭХНЭР/НӨХӨР БАЙНА.</t>
  </si>
  <si>
    <t>ӨРХИЙН 5-ААС 17 НАСТАЙ БҮХ ГИШҮҮД ХАМРАГДАНА.</t>
  </si>
  <si>
    <t>ӨРХИЙН 18 БА ТҮҮНЭЭС ДЭЭШ НАСТАЙ БҮХ ГИШҮҮД ХАМРАГДАНА.</t>
  </si>
  <si>
    <t>ОДОО БИ ТАНААС [НЭР]-Д ТУЛГАРЧ БАЙЖ БОЛЗОШГҮЙ ХҮНДРЭЛ БЭРХШЭЭЛИЙН ТАЛААР ХЭДЭН АСУУЛТ АСУУЯ.</t>
  </si>
  <si>
    <t>2-4 НАСТАЙ ЭСЭХИЙГ ШАЛГАНА УУ.</t>
  </si>
  <si>
    <r>
      <t xml:space="preserve">1. [НЭР]-ын/ийн хувьд юм харахад хүндрэлтэй байдаг уу? ([НЭР]-д </t>
    </r>
    <r>
      <rPr>
        <u/>
        <sz val="10"/>
        <rFont val="Arial"/>
        <family val="2"/>
      </rPr>
      <t>харааны шил</t>
    </r>
    <r>
      <rPr>
        <sz val="10"/>
        <rFont val="Arial"/>
        <family val="2"/>
      </rPr>
      <t xml:space="preserve"> зүүсэн хэдий ч юм харахад хүндрэлтэй байдаг уу?)</t>
    </r>
  </si>
  <si>
    <r>
      <t xml:space="preserve">2. [НЭР]-ын/ийн хувьд юм сонсоход хүндрэлтэй байдаг уу? ([НЭР]-д </t>
    </r>
    <r>
      <rPr>
        <u/>
        <sz val="10"/>
        <rFont val="Arial"/>
        <family val="2"/>
      </rPr>
      <t>сонсголын аппарат</t>
    </r>
    <r>
      <rPr>
        <sz val="10"/>
        <rFont val="Arial"/>
        <family val="2"/>
      </rPr>
      <t xml:space="preserve"> зүүсэн хэдий ч юм сонсоход хүндрэлтэй байдаг уу?)
(Тухайлбал, хүмүүсийн яриа, хөгжим зэрэг дуу чимээг сонсоход)</t>
    </r>
  </si>
  <si>
    <t>3. [НЭР]-ын/ийн хувьд дэмжлэг болох туслах хэрэгсэл эсвэл бусдын тусламжгүйгээр алхахад хүндрэл байдаг уу?</t>
  </si>
  <si>
    <t>4. [НЭР]-д та болон танай өрхийн гишүүдийн хэлснийг ойлгоход хүндрэлтэй байдаг уу?</t>
  </si>
  <si>
    <t>5. [НЭР]-ын/ийн хэл яриаг ойлгоход танд болон танай өрхийн гишүүдэд хүндрэлтэй байдаг уу?</t>
  </si>
  <si>
    <t>6. Үеийн хүүхдүүдтэй нь харьцуулахад [НЭР]-д ямар нэг зүйл сурахад хүндрэлтэй байдаг уу?</t>
  </si>
  <si>
    <t>5-17 НАСТАЙ ЭСЭХИЙГ ШАЛГАНА УУ.</t>
  </si>
  <si>
    <r>
      <t xml:space="preserve">1. [НЭР]-ын/ийн хувьд юм харахад хүндрэлтэй байдаг уу? ([НЭР]-д </t>
    </r>
    <r>
      <rPr>
        <u/>
        <sz val="10"/>
        <rFont val="Arial"/>
        <family val="2"/>
      </rPr>
      <t>харааны шил эсвэл контакт линз</t>
    </r>
    <r>
      <rPr>
        <sz val="10"/>
        <rFont val="Arial"/>
        <family val="2"/>
      </rPr>
      <t xml:space="preserve"> зүүсэн хэдий ч юм харахад хүндрэлтэй байдаг уу?)
</t>
    </r>
  </si>
  <si>
    <r>
      <t xml:space="preserve">3. [НЭР]-ын/ийн хувьд алхахад хүндрэлтэй байдаг уу? ([НЭР]-д ямар нэгэн </t>
    </r>
    <r>
      <rPr>
        <u/>
        <sz val="10"/>
        <rFont val="Arial"/>
        <family val="2"/>
      </rPr>
      <t>дэмжлэг болох туслах хэрэгсэл эсвэл бусдын тусламж</t>
    </r>
    <r>
      <rPr>
        <sz val="10"/>
        <rFont val="Arial"/>
        <family val="2"/>
      </rPr>
      <t xml:space="preserve"> авсан хэдий ч хүндрэлтэй байдаг уу?)</t>
    </r>
  </si>
  <si>
    <t>4. [НЭР]-д хоолоо идэх, хувцсаа өмсөх зэргээр өөрийгөө арчлахад хүндрэлтэй байдаг уу?</t>
  </si>
  <si>
    <t>5. [НЭР]-ын/ийн яриаг гэрийнхэн нь ойлгоход хүндрэлтэй байдаг уу?</t>
  </si>
  <si>
    <t>7. Үеийн хүүхдүүдтэй нь харьцуулахад [НЭР]-д ямар нэг зүйл санахад хүндрэлтэй байдаг уу?</t>
  </si>
  <si>
    <t>8. [НЭР] дуртай зүйлээ хийхдээ анхаарлаа төвлөрүүлэхэд хүндрэлтэй байдаг уу?</t>
  </si>
  <si>
    <t>18 БА ТҮҮНЭЭС ДЭЭШ НАСТАЙ ЭСЭХИЙГ ШАЛГАНА УУ.</t>
  </si>
  <si>
    <r>
      <t xml:space="preserve">1. [НЭР]-ын/ийн хувьд юм харахад хүндрэлтэй байдаг уу? ([НЭР]-д харааны </t>
    </r>
    <r>
      <rPr>
        <u/>
        <sz val="10"/>
        <rFont val="Arial"/>
        <family val="2"/>
      </rPr>
      <t>шил эсвэл контакт линз</t>
    </r>
    <r>
      <rPr>
        <sz val="10"/>
        <rFont val="Arial"/>
        <family val="2"/>
      </rPr>
      <t xml:space="preserve"> зүүсэн хэдий ч юм харахад хүндрэлтэй байдаг уу?)</t>
    </r>
  </si>
  <si>
    <r>
      <t>2. [НЭР]-ын/ийн хувьд юм сонсоход хүндрэлтэй байдаг уу? ([НЭР]-д</t>
    </r>
    <r>
      <rPr>
        <u/>
        <sz val="10"/>
        <rFont val="Arial"/>
        <family val="2"/>
      </rPr>
      <t xml:space="preserve"> сонсголын аппарат </t>
    </r>
    <r>
      <rPr>
        <sz val="10"/>
        <rFont val="Arial"/>
        <family val="2"/>
      </rPr>
      <t xml:space="preserve">зүүсэн хэдий ч юм сонсоход хүндрэлтэй байдаг уу?) 
</t>
    </r>
  </si>
  <si>
    <t>3. [НЭР]-ын/ийн хувьд алхах болон шатаар явахад хүндрэлтэй байдаг уу?</t>
  </si>
  <si>
    <t>4. [НЭР]-ын/ийн хувьд аливаа зүйлийг санах, анхаарлаа төвлөрүүлэхэд хүндрэлтэй байдаг уу?</t>
  </si>
  <si>
    <t>5. [НЭР]-ын/ийн хувьд хоолоо идэх, хувцсаа өмсөх, нүүр, гар, биеэ угаах зэргээр өөрийгөө арчлахад хүндрэл байдаг уу?</t>
  </si>
  <si>
    <t>6. [НЭР]-ын/ийн хувьд төрөлх хэлээрээ бусадтай ярихад ямар нэгэн бэрхшээл гардаг уу? Тухайлбал, өөрийгөө ойлгуулах, бусдыг ойлгоход хүндрэлтэй байдаг уу?</t>
  </si>
  <si>
    <t>Ямар ч хүндрэлгүй</t>
  </si>
  <si>
    <t>Бага зэргийн хүндрэлтэй</t>
  </si>
  <si>
    <t>Их хүндрэлтэй</t>
  </si>
  <si>
    <t>Огт хардаггүй</t>
  </si>
  <si>
    <t>Огт сонсдоггүй</t>
  </si>
  <si>
    <t>Огт алхаж чаддаггүй</t>
  </si>
  <si>
    <t>Огт арчилж чаддаггүй</t>
  </si>
  <si>
    <t>Огт ойлгогддоггүй</t>
  </si>
  <si>
    <t>Огт сурч чаддаггүй</t>
  </si>
  <si>
    <t>Огт санадаггүй</t>
  </si>
  <si>
    <t>Огт төвлөрүүлж чаддаггүй</t>
  </si>
  <si>
    <t>Огт ойлгодоггүй</t>
  </si>
  <si>
    <t>Огт чаддаггүй</t>
  </si>
  <si>
    <t>Мэдэхгүй</t>
  </si>
  <si>
    <t>БҮЛЭГ 4. ХӨДӨЛМӨР ЭРХЛЭЛТ</t>
  </si>
  <si>
    <t>ӨРХИЙН 5 БОЛОН ТҮҮНЭЭС ДЭЭШ НАСНЫ ГИШҮҮДИЙН ХУВЬД АСУУГДАНА.</t>
  </si>
  <si>
    <t>Үргэлжлэл</t>
  </si>
  <si>
    <t>БҮЛЭГ 4.ХӨДӨЛМӨР ЭРХЛЭЛТ</t>
  </si>
  <si>
    <t>СҮҮЛИЙН 7 ХОНОГИЙН ХӨДӨЛМӨР ЭРХЛЭЛТ</t>
  </si>
  <si>
    <t>ТҮР ХУГАЦААНЫ АЖИЛГҮЙДЭЛ</t>
  </si>
  <si>
    <t>АЖИЛ ХАЙГЧ</t>
  </si>
  <si>
    <t>АЖИЛ ХАЙГЧ-үргэлжлэл</t>
  </si>
  <si>
    <t>СҮҮЛИЙН 7 ХОНОГИЙН ҮНДСЭН ХӨДӨЛМӨР ЭРХЛЭЛТ</t>
  </si>
  <si>
    <t>СҮҮЛИЙН 7 ХОНОГИЙН ҮНДСЭН ХӨДӨЛМӨР ЭРХЛЭЛТ-үргэлжлэл</t>
  </si>
  <si>
    <t>СҮҮЛИЙН 12 САРЫН ҮНДСЭН ХӨДӨЛМӨР ЭРХЛЭЛТ</t>
  </si>
  <si>
    <t>СҮҮЛИЙН 12 САРЫН ҮНДСЭН ХӨДӨЛМӨР ЭРХЛЭЛТ-үргэлжлэл</t>
  </si>
  <si>
    <t xml:space="preserve">СҮҮЛИЙН 12 САРЫН ХОЁР ДАХЬ ҮНДСЭН ХӨДӨЛМӨР ЭРХЛЭЛТ </t>
  </si>
  <si>
    <t>СҮҮЛИЙН 12 САРЫН ХОЁР ДАХЬ ҮНДСЭН ХӨДӨЛМӨР ЭРХЛЭЛТ-үргэлжлэл</t>
  </si>
  <si>
    <t>СҮҮЛИЙН 12 САРЫН ҮНДСЭН АЖЛААС БУСАД  БҮХ АЖЛЫН ОРЛОГО</t>
  </si>
  <si>
    <t>5 БОЛОН ТҮҮНЭЭС ДЭЭШ НАСТАЙ ЭСЭХИЙГ ШАЛГА.</t>
  </si>
  <si>
    <r>
      <t>[НЭР] сүүлийн 7 хоногт</t>
    </r>
    <r>
      <rPr>
        <b/>
        <sz val="10"/>
        <rFont val="Arial"/>
        <family val="2"/>
      </rPr>
      <t xml:space="preserve"> </t>
    </r>
    <r>
      <rPr>
        <sz val="10"/>
        <rFont val="Arial"/>
        <family val="2"/>
      </rPr>
      <t>наад зах нь 1 цаг ямар нэг цалин хөлс, төлбөртэй ажил эрхэлсэн үү?</t>
    </r>
  </si>
  <si>
    <r>
      <t xml:space="preserve">[НЭР] сүүлийн 7 хоногт наад зах нь 1 цаг </t>
    </r>
    <r>
      <rPr>
        <b/>
        <sz val="10"/>
        <rFont val="Arial"/>
        <family val="2"/>
      </rPr>
      <t xml:space="preserve">орлого олох зорилгоор </t>
    </r>
    <r>
      <rPr>
        <sz val="10"/>
        <rFont val="Arial"/>
        <family val="2"/>
      </rPr>
      <t xml:space="preserve">ямар нэг төрлийн хувийн бизнес, өрхийн болон хөдөө аж ахуйн үйл ажиллагаа эрхэлсэн үү?
 </t>
    </r>
  </si>
  <si>
    <t>[НЭР] сүүлийн 7 хоногт өрхийн гишүүний бизнес эсвэл цалин хөлстэй ажилд нь тусалсан уу?</t>
  </si>
  <si>
    <r>
      <t xml:space="preserve">МЭДЭЭЛЭЛ ЦУГЛУУЛАГЧ:
</t>
    </r>
    <r>
      <rPr>
        <b/>
        <i/>
        <sz val="8"/>
        <rFont val="Arial"/>
        <family val="2"/>
      </rPr>
      <t xml:space="preserve">4.05, 4.06 </t>
    </r>
    <r>
      <rPr>
        <i/>
        <sz val="8"/>
        <rFont val="Arial"/>
        <family val="2"/>
      </rPr>
      <t xml:space="preserve">АСУУЛТУУДЫН ДОР ХАЯЖ НЭГЭНД НЬ </t>
    </r>
    <r>
      <rPr>
        <b/>
        <i/>
        <sz val="8"/>
        <rFont val="Arial"/>
        <family val="2"/>
      </rPr>
      <t>"ТИЙМ"</t>
    </r>
    <r>
      <rPr>
        <i/>
        <sz val="8"/>
        <rFont val="Arial"/>
        <family val="2"/>
      </rPr>
      <t xml:space="preserve"> ГЭЖ ХАРИУЛСАН ЭСЭХИЙГ ШАЛГАНА УУ.  </t>
    </r>
  </si>
  <si>
    <t xml:space="preserve">[НЭР] сүүлийн 7 хоногт ажил эрхлээгүй ч [НЭР]-д буцаж хийхээр хүлээгдэж байгаа цалинтай ажил/ бизнес байгаа юу? 
</t>
  </si>
  <si>
    <t xml:space="preserve">[НЭР] яагаад сүүлийн 7 хоногт ажилгүй байсан бэ?
</t>
  </si>
  <si>
    <t>Ажиллаагүй хугацаагаа оруулаад [НЭР] 3 сарын дотор өмнө нь хийж байсан ажил/бизнесээ үргэлжлүүлэн хийх үү?</t>
  </si>
  <si>
    <t xml:space="preserve">[НЭР] ажлаа хийгээгүй хугацаандаа ажлаасаа ямар нэг төрлийн орлого авч байсан уу? </t>
  </si>
  <si>
    <t>[НЭР]-ын/ийн сүүлийн 7 хоногийн үндсэн ажил нь мал тэжээвэр амьтан, газар тариалан, загас, ой, ан агнуур зэрэг аж ахуй эрхлэх ажил байсан уу?</t>
  </si>
  <si>
    <t>[НЭР]-ын/ийн сүүлийн 7 хоногт эрхэлж буй үйл ажиллагааны бүтээгдэхүүнийг зарж борлуулдаг уу/ өрхийн хэрэгцээнд хэрэглэдэг үү?</t>
  </si>
  <si>
    <t xml:space="preserve">Сүүлийн 12 сард энэ үйл ажиллагаанаас олсон орлого нь тухайн хугацаанд танай өрхийн орлогын хэдэн хувийг эзэлсэн бэ? </t>
  </si>
  <si>
    <t>[НЭР] сүүлийн 30 хоногт цалин хөлстэй ажил хайх/ бизнес эрхлэх оролдлого хийсэн үү?</t>
  </si>
  <si>
    <r>
      <t xml:space="preserve">[НЭР] сүүлийн 30 хоногт ямар аргаар ажил хайсан/ бизнес эрхлэх оролдлого хийсэн бэ? </t>
    </r>
    <r>
      <rPr>
        <i/>
        <sz val="8"/>
        <rFont val="Arial"/>
        <family val="2"/>
      </rPr>
      <t>(ГОЛ НЭГ АРГЫГ БИЧНЭ.)</t>
    </r>
  </si>
  <si>
    <r>
      <t>[НЭР] сүүлийн 30 хоногт яагаад ажил хайгаагүй/ бизнес эрхлэх гэж оролдоогүй вэ?</t>
    </r>
    <r>
      <rPr>
        <i/>
        <sz val="8"/>
        <rFont val="Arial"/>
        <family val="2"/>
      </rPr>
      <t xml:space="preserve"> (ГОЛ ШАЛТГААНЫГ БИЧНЭ.)</t>
    </r>
  </si>
  <si>
    <t>Хэрэв [НЭР]-д ямар нэгэн  цалинтай ажил/ бизнес эрхлэх боломж гарвал хийхийг хүсэж байна уу?</t>
  </si>
  <si>
    <r>
      <t xml:space="preserve">[НЭР] </t>
    </r>
    <r>
      <rPr>
        <b/>
        <sz val="10"/>
        <rFont val="Arial"/>
        <family val="2"/>
      </rPr>
      <t>сүүлийн 7 хоногт</t>
    </r>
    <r>
      <rPr>
        <sz val="10"/>
        <rFont val="Arial"/>
        <family val="2"/>
      </rPr>
      <t xml:space="preserve"> ямар нэгэн цалинтай ажил/ бизнес эрхлэх боломж гарсан бол ажиллаж чадахаар байсан уу?</t>
    </r>
  </si>
  <si>
    <r>
      <t xml:space="preserve">[НЭР]-т/д </t>
    </r>
    <r>
      <rPr>
        <b/>
        <sz val="10"/>
        <rFont val="Arial"/>
        <family val="2"/>
      </rPr>
      <t>ирэх 14 хоногт</t>
    </r>
    <r>
      <rPr>
        <sz val="10"/>
        <rFont val="Arial"/>
        <family val="2"/>
      </rPr>
      <t xml:space="preserve"> ямар нэгэн ажил, бизнес эрхлэх боломж гарвал ажиллаж чадах уу?</t>
    </r>
  </si>
  <si>
    <t>[НЭР] Хөдөлмөрийн хэлтэс, хөдөлмөрийн биржд бүртгэлтэй юу?</t>
  </si>
  <si>
    <t>[НЭР] нь сүүлийн 7 хоногт ажил эрхлээгүй ч, сүүлийн 12 сард цалин хөлстэй/  бизнес эрхэлсэн үү?</t>
  </si>
  <si>
    <t>[НЭР] сүүлийн 7 хоногт ямар ажил эрхэлсэн бэ?</t>
  </si>
  <si>
    <t>[НЭР] сүүлийн 7 хоногт ямар салбарт ажилласан бэ?</t>
  </si>
  <si>
    <t>[НЭР]-ын/ийн сүүлийн 7 хоногт эрхэлсэн үндсэн ажил юу вэ?</t>
  </si>
  <si>
    <t xml:space="preserve">[НЭР]-ын/ийн сүүлийн 7 хоногт ажилласан байгууллагын хариуцлагын хэлбэр юу вэ?                                    </t>
  </si>
  <si>
    <t xml:space="preserve">[НЭР] сүүлийн 7 хоногт үндсэн ажилдаа нийтдээ хэдэн цаг зарцуулсан бэ?  
</t>
  </si>
  <si>
    <t xml:space="preserve">[НЭР] сүүлийн 7 хоногт үндсэн ажлаасаа гадна давхар цалинтай ажил/ орлого олох бизнес эрхэлсэн үү? </t>
  </si>
  <si>
    <t>[НЭР] сүүлийн 7 хоногт давхар ажилд хэдэн цаг зарцуулсан бэ?</t>
  </si>
  <si>
    <t xml:space="preserve">[НЭР]-ын/ийн сүүлийн 12 сарын үндсэн ажил нь сүүлийн 7 хоногийн үндсэн ажилтай ижилхэн үү? 
</t>
  </si>
  <si>
    <t xml:space="preserve"> [НЭР] сүүлийн 12 сард ямар ажил эрхэлсэн бэ?
</t>
  </si>
  <si>
    <t>[НЭР] сүүлийн 12 сард ямар салбарт ажилласан бэ?</t>
  </si>
  <si>
    <t>[НЭР]-ын/ийн сүүлийн 12 сард эрхэлсэн үндсэн ажил юу вэ?</t>
  </si>
  <si>
    <t xml:space="preserve">[НЭР]-ын/ийн сүүлийн 12 сард эрхэлсэн үндсэн ажлын байгууллагын хариуцлагын хэлбэр юу вэ?                                    </t>
  </si>
  <si>
    <t xml:space="preserve">[НЭР] сүүлийн 12 сард ажиллаад мөнгөн ба мөнгөн бус хэлбэрээр цалин хөлс авсан уу? </t>
  </si>
  <si>
    <t>[НЭР] нь сүүлийн 12 сард үндсэн ажлаасаа хэдэн төгрөгийн цалин авсан бэ?</t>
  </si>
  <si>
    <t>Сүүлийн 12 сард</t>
  </si>
  <si>
    <t xml:space="preserve">[НЭР]-ын/ийн сүүлийн 12 сарын хугацаанд эрхэлсэн хоёр дахь үндсэн ажил ямар ажил вэ?
</t>
  </si>
  <si>
    <t>[НЭР]-ын/ийн сүүлийн 12 сард эрхэлсэн хоёр дахь үндсэн ажил ямар салбар  вэ?</t>
  </si>
  <si>
    <t>[НЭР]-ын/ийн сүүлийн 12 сард эрхэлсэн хоёр дахь үндсэн ажил юу вэ?</t>
  </si>
  <si>
    <t xml:space="preserve">[НЭР]-ын/ийн сүүлийн 12 сард эрхэлсэн хоёр дахь үндсэн ажлын байгууллагын хариуцлагын хэлбэр юу вэ?                                    </t>
  </si>
  <si>
    <r>
      <t xml:space="preserve">[НЭР] </t>
    </r>
    <r>
      <rPr>
        <b/>
        <sz val="10"/>
        <rFont val="Arial"/>
        <family val="2"/>
      </rPr>
      <t xml:space="preserve">түр болон давхар эрхэлсэн бүх ажлаасаа </t>
    </r>
    <r>
      <rPr>
        <sz val="10"/>
        <rFont val="Arial"/>
        <family val="2"/>
      </rPr>
      <t xml:space="preserve">сүүлийн 12 сард ажиллаад мөнгөн ба мөнгөн бус хэлбэрээр цалин хөлс авсан уу? </t>
    </r>
  </si>
  <si>
    <r>
      <t xml:space="preserve">[НЭР] нь сүүлийн 12 сард </t>
    </r>
    <r>
      <rPr>
        <b/>
        <sz val="10"/>
        <rFont val="Arial"/>
        <family val="2"/>
      </rPr>
      <t xml:space="preserve">түр болон давхар эрхэлсэн бүх ажлаасаа </t>
    </r>
    <r>
      <rPr>
        <sz val="10"/>
        <rFont val="Arial"/>
        <family val="2"/>
      </rPr>
      <t xml:space="preserve">нийт хэдэн төгрөгийн цалин авсан бэ? </t>
    </r>
  </si>
  <si>
    <r>
      <t xml:space="preserve">[НЭР] энэ ажлыг хэдэн </t>
    </r>
    <r>
      <rPr>
        <b/>
        <sz val="10"/>
        <rFont val="Arial"/>
        <family val="2"/>
      </rPr>
      <t>сар</t>
    </r>
    <r>
      <rPr>
        <sz val="10"/>
        <rFont val="Arial"/>
        <family val="2"/>
      </rPr>
      <t xml:space="preserve"> хийсэн бэ? </t>
    </r>
  </si>
  <si>
    <r>
      <t xml:space="preserve">[НЭР] ажилласан сарууддаа энэ ажилд сард дунджаар хэдэн </t>
    </r>
    <r>
      <rPr>
        <b/>
        <sz val="10"/>
        <rFont val="Arial"/>
        <family val="2"/>
      </rPr>
      <t xml:space="preserve">өдөр </t>
    </r>
    <r>
      <rPr>
        <sz val="10"/>
        <rFont val="Arial"/>
        <family val="2"/>
      </rPr>
      <t xml:space="preserve">зарцуулсан бэ? </t>
    </r>
  </si>
  <si>
    <r>
      <t xml:space="preserve">[НЭР] ажилласан саруудын өдрүүддээ энэ ажилд өдөрт дунджаар хэдэн </t>
    </r>
    <r>
      <rPr>
        <b/>
        <sz val="10"/>
        <rFont val="Arial"/>
        <family val="2"/>
      </rPr>
      <t xml:space="preserve">цаг </t>
    </r>
    <r>
      <rPr>
        <sz val="10"/>
        <rFont val="Arial"/>
        <family val="2"/>
      </rPr>
      <t xml:space="preserve">зарцуулсан бэ? </t>
    </r>
  </si>
  <si>
    <r>
      <t>[НЭР] сүүлийн 12 сард үндсэн ажил</t>
    </r>
    <r>
      <rPr>
        <sz val="8"/>
        <rFont val="Arial"/>
        <family val="2"/>
      </rPr>
      <t xml:space="preserve"> </t>
    </r>
    <r>
      <rPr>
        <i/>
        <sz val="8"/>
        <rFont val="Arial"/>
        <family val="2"/>
      </rPr>
      <t>(4.31, 4.32-Т БҮРТГЭСЭН АЖИЛ)</t>
    </r>
    <r>
      <rPr>
        <i/>
        <sz val="9"/>
        <rFont val="Arial"/>
        <family val="2"/>
      </rPr>
      <t>-аасаа</t>
    </r>
    <r>
      <rPr>
        <sz val="10"/>
        <rFont val="Arial"/>
        <family val="2"/>
      </rPr>
      <t xml:space="preserve"> гадна нэмэлт/ давхар цалинтай ажил/ орлого олох бизнес эрхэлсэн үү? </t>
    </r>
  </si>
  <si>
    <t xml:space="preserve">[НЭР]-ын/ийн сүүлийн 12 сард эрхэлсэн нэмэлт/давхар ажил нь сүүлийн 7 хоногийн үндсэн ажилтай ижилхэн үү? </t>
  </si>
  <si>
    <t>Ажил байхгүй гэж үзэж байгаа</t>
  </si>
  <si>
    <t>ҮНДСЭН АЖИЛ ГЭДЭГ НЬ ХАМГИЙН ИХ ЦАГ, ХУГАЦАА ЗАРЦУУЛДАГ АЖЛЫГ ОЙЛГОНО.</t>
  </si>
  <si>
    <t>Хөдөлмөрийн хэлтэс, хөдөлмөрийн биржд хандсан</t>
  </si>
  <si>
    <t>Ажилд тохирох мэдлэг, ур чадвар дутмаг</t>
  </si>
  <si>
    <t>Цалин хөлстэй ажиллагч</t>
  </si>
  <si>
    <r>
      <t xml:space="preserve">СҮҮЛИЙН 12 САРД ХИЙСЭН </t>
    </r>
    <r>
      <rPr>
        <b/>
        <i/>
        <sz val="8"/>
        <rFont val="Arial"/>
        <family val="2"/>
      </rPr>
      <t>ҮНДСЭН АЖЛЫН ТАЛААР</t>
    </r>
    <r>
      <rPr>
        <i/>
        <sz val="8"/>
        <rFont val="Arial"/>
        <family val="2"/>
      </rPr>
      <t xml:space="preserve"> АСУУНА.</t>
    </r>
  </si>
  <si>
    <r>
      <t xml:space="preserve">СҮҮЛИЙН 12 САРД ХИЙСЭН </t>
    </r>
    <r>
      <rPr>
        <b/>
        <i/>
        <sz val="8"/>
        <rFont val="Arial"/>
        <family val="2"/>
      </rPr>
      <t xml:space="preserve">ҮНДСЭН АЖЛЫН ТАЛААР </t>
    </r>
    <r>
      <rPr>
        <i/>
        <sz val="8"/>
        <rFont val="Arial"/>
        <family val="2"/>
      </rPr>
      <t>АСУУНА.</t>
    </r>
  </si>
  <si>
    <t>Ажлын байдлаас хамаарч ээлжийн ажил болон уян хатан цагаар ажилладаг</t>
  </si>
  <si>
    <r>
      <t xml:space="preserve">ХЭРЭВ ӨРХИЙН ГИШҮҮН ДАВХАР АЖИЛ ЭРХЭЛСЭН БОЛ </t>
    </r>
    <r>
      <rPr>
        <b/>
        <i/>
        <sz val="8"/>
        <rFont val="Arial"/>
        <family val="2"/>
      </rPr>
      <t xml:space="preserve">ҮНДСЭН </t>
    </r>
    <r>
      <rPr>
        <i/>
        <sz val="8"/>
        <rFont val="Arial"/>
        <family val="2"/>
      </rPr>
      <t xml:space="preserve">АЖИЛ ЭРХЛЭЛТИЙГ ТЭМДЭГЛЭНЭ ҮҮ. </t>
    </r>
  </si>
  <si>
    <r>
      <t xml:space="preserve">ХЭРЭВ ӨРХИЙН ГИШҮҮН ДАВХАР АЖИЛ ЭРХЭЛСЭН БОЛ </t>
    </r>
    <r>
      <rPr>
        <b/>
        <i/>
        <sz val="8"/>
        <rFont val="Arial"/>
        <family val="2"/>
      </rPr>
      <t>ҮНДСЭН</t>
    </r>
    <r>
      <rPr>
        <i/>
        <sz val="8"/>
        <rFont val="Arial"/>
        <family val="2"/>
      </rPr>
      <t xml:space="preserve"> АЖЛЫН ЭДИЙН ЗАСГИЙН САЛБАРЫН НЭРИЙГ ТЭМДЭГЛЭНЭ ҮҮ. </t>
    </r>
  </si>
  <si>
    <t>Байнгын ажиллагч</t>
  </si>
  <si>
    <r>
      <t xml:space="preserve">СҮҮЛИЙН 12 САРД ХИЙСЭН </t>
    </r>
    <r>
      <rPr>
        <b/>
        <i/>
        <sz val="8"/>
        <rFont val="Arial"/>
        <family val="2"/>
      </rPr>
      <t xml:space="preserve">ХОЁР ДАХЬ ҮНДСЭН АЖЛЫН ТАЛААР </t>
    </r>
    <r>
      <rPr>
        <i/>
        <sz val="8"/>
        <rFont val="Arial"/>
        <family val="2"/>
      </rPr>
      <t>АСУУНА.</t>
    </r>
  </si>
  <si>
    <r>
      <t xml:space="preserve">СҮҮЛИЙН 12 САРД ХИЙСЭН </t>
    </r>
    <r>
      <rPr>
        <b/>
        <i/>
        <sz val="8"/>
        <rFont val="Arial"/>
        <family val="2"/>
      </rPr>
      <t>ХОЁР ДАХЬ ҮНДСЭН АЖЛЫН ТАЛААР</t>
    </r>
    <r>
      <rPr>
        <i/>
        <sz val="8"/>
        <rFont val="Arial"/>
        <family val="2"/>
      </rPr>
      <t xml:space="preserve"> АСУУНА.</t>
    </r>
  </si>
  <si>
    <t>Найз, нөхөд, хамаатан садангаасаа тусламж хүссэн</t>
  </si>
  <si>
    <t>Өргөдлийн хариуг хүлээж байгаа</t>
  </si>
  <si>
    <t>Түр ажиллагч</t>
  </si>
  <si>
    <r>
      <t xml:space="preserve">ХЭРЭВ ӨРХИЙН ГИШҮҮН ДАВХАР АЖИЛ ЭРХЭЛСЭН БОЛ </t>
    </r>
    <r>
      <rPr>
        <b/>
        <i/>
        <sz val="8"/>
        <rFont val="Arial"/>
        <family val="2"/>
      </rPr>
      <t>ҮНДСЭН АЖИЛ ЭРХЛЭЛТИЙГ</t>
    </r>
    <r>
      <rPr>
        <i/>
        <sz val="8"/>
        <rFont val="Arial"/>
        <family val="2"/>
      </rPr>
      <t xml:space="preserve"> ТЭМДЭГЛЭНЭ ҮҮ. </t>
    </r>
  </si>
  <si>
    <r>
      <t xml:space="preserve">ХЭРЭВ ӨРХИЙН ГИШҮҮН ДАВХАР АЖИЛ ЭРХЭЛСЭН БОЛ </t>
    </r>
    <r>
      <rPr>
        <b/>
        <i/>
        <sz val="8"/>
        <rFont val="Arial"/>
        <family val="2"/>
      </rPr>
      <t xml:space="preserve">ҮНДСЭН АЖЛЫН </t>
    </r>
    <r>
      <rPr>
        <i/>
        <sz val="8"/>
        <rFont val="Arial"/>
        <family val="2"/>
      </rPr>
      <t xml:space="preserve">ЭДИЙН ЗАСГИЙН САЛБАРЫН НЭРИЙГ ТЭМДЭГЛЭНЭ ҮҮ. </t>
    </r>
  </si>
  <si>
    <t>ЗӨВХӨН СҮҮЛИЙН 12 САРД ҮНДСЭН АЖЛААСАА АВСАН ЦАЛИН, ТЭТГЭМЖИЙГ ОРУУЛНА. МӨН ТАТВАР, НИЙГМИЙН ДААТГАЛ, ЭРҮҮЛ МЭНДИЙН ДААТГАЛЫН ШИМТГЭЛИЙГ ХАССАН ДҮНГЭЭР БУЮУ ГАР ДЭЭР АВСАН ЦЭВЭР ЦАЛИНГ БҮРТГЭНЭ.</t>
  </si>
  <si>
    <r>
      <t xml:space="preserve">Ажил олсон ба эхлэхийг нь хүлээж байгаа (3 сарын </t>
    </r>
    <r>
      <rPr>
        <u/>
        <sz val="10"/>
        <rFont val="Arial"/>
        <family val="2"/>
      </rPr>
      <t>дотор</t>
    </r>
    <r>
      <rPr>
        <sz val="10"/>
        <rFont val="Arial"/>
        <family val="2"/>
      </rPr>
      <t xml:space="preserve"> хийж эхэлнэ)</t>
    </r>
  </si>
  <si>
    <t>4 →</t>
  </si>
  <si>
    <r>
      <rPr>
        <b/>
        <i/>
        <sz val="8"/>
        <rFont val="Arial"/>
        <family val="2"/>
      </rPr>
      <t>ҮНДСЭН АЖИЛ</t>
    </r>
    <r>
      <rPr>
        <i/>
        <sz val="8"/>
        <rFont val="Arial"/>
        <family val="2"/>
      </rPr>
      <t xml:space="preserve"> ГЭДЭГ НЬ ХАМГИЙН ИХ ЦАГ, ХУГАЦАА ЗАРЦУУЛДАГ АЖЛЫГ ОЙЛГОНО.</t>
    </r>
  </si>
  <si>
    <t>Тохиолдлын ажиллагч</t>
  </si>
  <si>
    <t>АСУУЛТ 4.23, 4.24-ИЙГ ХАРНА УУ.</t>
  </si>
  <si>
    <t>Амралттай байсан</t>
  </si>
  <si>
    <t>Тийм, газар тариалан эрхлэх, жимс жимсгэнэ, хүнсний ногоо тариалах</t>
  </si>
  <si>
    <t>Хэвлэл, мэдээллийн зарын дагуу хайсан</t>
  </si>
  <si>
    <t xml:space="preserve">Дадлагажигч </t>
  </si>
  <si>
    <t xml:space="preserve">ТУХАЙН САРД 1 ӨДӨР АЖИЛЛАСАН БОЛ 1 САР ГЭЖ ТООЦНО. </t>
  </si>
  <si>
    <r>
      <t>ХЭРЭВ ӨРХИЙН ГИШҮҮН НЭГЭЭС ОЛОН АЖИЛ ЭРХЭЛСЭН БОЛ ХАМГИЙН ИХ ЦАГ, ХУГАЦАА ЗАРЦУУЛСАН АЖЛЫГ Х</t>
    </r>
    <r>
      <rPr>
        <b/>
        <i/>
        <sz val="8"/>
        <rFont val="Arial"/>
        <family val="2"/>
      </rPr>
      <t>ОЁР ДАХЬ ҮНДСЭН АЖЛААР</t>
    </r>
    <r>
      <rPr>
        <i/>
        <sz val="8"/>
        <rFont val="Arial"/>
        <family val="2"/>
      </rPr>
      <t xml:space="preserve"> ОЙЛГОЖ АЖИЛ МЭРГЭЖЛИЙН НЭРИЙГ ТЭМДЭГЛЭНЭ ҮҮ. </t>
    </r>
  </si>
  <si>
    <r>
      <t xml:space="preserve">ХЭРЭВ ӨРХИЙН ГИШҮҮН НЭГЭЭС ОЛОН АЖИЛ ЭРХЭЛСЭН БОЛ ХАМГИЙН ИХ ЦАГ, ХУГАЦАА ЗАРЦУУЛСАН АЖЛЫГ </t>
    </r>
    <r>
      <rPr>
        <b/>
        <i/>
        <sz val="8"/>
        <rFont val="Arial"/>
        <family val="2"/>
      </rPr>
      <t>ХОЁР ДАХЬ ҮНДСЭН АЖЛААР</t>
    </r>
    <r>
      <rPr>
        <i/>
        <sz val="8"/>
        <rFont val="Arial"/>
        <family val="2"/>
      </rPr>
      <t xml:space="preserve"> ОЙЛГОЖ ЭДИЙН ЗАСГИЙН САЛБАРЫН НЭРИЙГ ТЭМДЭГЛЭНЭ ҮҮ. </t>
    </r>
  </si>
  <si>
    <t xml:space="preserve">ШИНЭ АЖИЛД ОРОХ, ШИНЭ БИЗНЕСИЙН ҮЙЛ АЖИЛЛАГАА ЯВУУЛАХААР  ХҮЛЭЭЖ БАЙГАА БОЛОН ТҮР ХУГАЦААГААР ЗОГСОЖ БАЙГААГ ЭНД ОРУУЛАХГҮЙ. </t>
  </si>
  <si>
    <t xml:space="preserve">Жирэмсний болон амаржсаны эсвэл эцэг болсоны амралттай </t>
  </si>
  <si>
    <r>
      <t xml:space="preserve">Ажил олсон ба эхлэхийг нь хүлээж байгаа (3 сарын </t>
    </r>
    <r>
      <rPr>
        <u/>
        <sz val="10"/>
        <rFont val="Arial"/>
        <family val="2"/>
      </rPr>
      <t xml:space="preserve">дараа </t>
    </r>
    <r>
      <rPr>
        <sz val="10"/>
        <rFont val="Arial"/>
        <family val="2"/>
      </rPr>
      <t>хийж эхэлнэ)</t>
    </r>
  </si>
  <si>
    <t>ХХЭ: Ажил олгогч</t>
  </si>
  <si>
    <t>Төрийн өмчит үйлдвэрийн газар</t>
  </si>
  <si>
    <t>ХЭРЭВ АЖЛААСАА ТҮР ЗАВСАРЛАСАН БОЛ ЗАВСАРЛАХААС ӨМНӨХ 7 ХОНОГИЙН ХУВЬД АСУУНА УУ.</t>
  </si>
  <si>
    <r>
      <t xml:space="preserve">СҮҮЛИЙН 12 САРД ХИЙСЭН БҮХ АЖЛЫН ТАЛААР АСУУЖ, </t>
    </r>
    <r>
      <rPr>
        <i/>
        <u/>
        <sz val="8"/>
        <rFont val="Arial"/>
        <family val="2"/>
      </rPr>
      <t>ХАМГИЙН ИХ ЦАГ ЗАРЦУУЛСНААР</t>
    </r>
    <r>
      <rPr>
        <i/>
        <sz val="8"/>
        <rFont val="Arial"/>
        <family val="2"/>
      </rPr>
      <t xml:space="preserve"> НЬ ҮНДСЭН АЖИЛ БОЛОН ХОЁР ДАХЬ ҮНДСЭН АЖЛЫГ ТОДОРХОЙЛНО. </t>
    </r>
  </si>
  <si>
    <t>СҮҮЛИЙН 12 САРД ҮНДСЭН АЖЛААСАА АВСАН ЦАЛИН, ТЭТГЭМЖИЙГ ОРУУЛАХГҮЙ.</t>
  </si>
  <si>
    <t>Сонинд өөрөө зарлал өгсөн</t>
  </si>
  <si>
    <t>ААНБ-ын үйл ажиллагаа эрхлэгч</t>
  </si>
  <si>
    <t>ХЭРЭВ 1-ЭЭС ИЛҮҮ АЖИЛ ЭРХЭЛСЭН БОЛ ХАМГИЙН ИХ ЦАГ ЗАРЦУУЛСНЫГ ХОЁР ДАХЬ ҮНДСЭН АЖЛААР ТОДОРХОЙЛНО.</t>
  </si>
  <si>
    <t>Эхийн чөлөөтэй</t>
  </si>
  <si>
    <t>Тийм, мал тэжээвэр амьтан маллах өсгөх</t>
  </si>
  <si>
    <t>Ажил олгогч нарт өргөдөл өгч хандсан</t>
  </si>
  <si>
    <t>Хөгжлийн бэрхшээлтэй</t>
  </si>
  <si>
    <t>АЖИЛ МЭРГЭЖЛИЙН АНГИЛЛЫН КОДЫГ МЭДЭЭЛЭЛ ЦУГЛУУЛАГЧИЙН АСУУЛГА НӨХӨХ ЗААВРААС ХАРЖ БИЧНЭ.</t>
  </si>
  <si>
    <t>ЭДИЙН ЗАСГИЙН САЛБАРЫН КОДЫГ МЭДЭЭЛЭЛ ЦУГЛУУЛАГЧИЙН АСУУЛГА НӨХӨХ ЗААВРААС ХАРЖ БИЧНЭ.</t>
  </si>
  <si>
    <t>Зах зээлд чиглэсэн өрхийн аж ахуй эрхлэгч</t>
  </si>
  <si>
    <t>Орон нутгийн өмчит үйлдвэрийн газар</t>
  </si>
  <si>
    <t>Өвчин, осол гэмтэлд өртсөн</t>
  </si>
  <si>
    <t>Зөвхөн зарж борлуулдаг</t>
  </si>
  <si>
    <t>Өвчин/эмгэг/гэмтэл бэртэл</t>
  </si>
  <si>
    <t>Мал аж ахуй эрхлэгч</t>
  </si>
  <si>
    <t xml:space="preserve">Сургууль/сургалтад хамрагдаж байгаа </t>
  </si>
  <si>
    <t>Тийм, загас агнуур, эсвэл загасны аж ахуй үржүүлэх</t>
  </si>
  <si>
    <t>Өрхийн орлогын талаас их</t>
  </si>
  <si>
    <t>Бизнес эхлүүлэх санхүүгийн тусламж хайсан</t>
  </si>
  <si>
    <t>Хэт залуу, хэт хөгшин, тэтгэвэрт гарсан</t>
  </si>
  <si>
    <t>Бусад өрхийн аж ахуй эрхлэгч</t>
  </si>
  <si>
    <t>Төсөвт байгууллага</t>
  </si>
  <si>
    <t>МӨНГӨН БУС ХЭЛБЭРЭЭР АВСАН ЗҮЙЛИЙГ ТУХАЙН ҮЕИЙН ЗАХ ЗЭЭЛИЙН ҮНЭЭР ҮНЭЛЖ БЭЛЭН МӨНГӨӨР АВСАН ЦАЛИН ДЭЭР НЭМЖ ТООЦНО.</t>
  </si>
  <si>
    <t>Ихэвчлэн зарж борлуулдаг</t>
  </si>
  <si>
    <r>
      <t>ХЭРЭВ ҮНДСЭН АЖЛЫН САЛБАР ГАЗАР ТАРИАЛАН, МАЛ АЖ АХУЙ, АН АГНУУР (111-117), ОЙН АЖ АХУЙ (002), ЗАГАС БАРИХ, ҮРЖҮҮЛЭХ (003) ҮЙЛ АЖИЛЛАГАА ГЭСЭН БОЛ (</t>
    </r>
    <r>
      <rPr>
        <b/>
        <i/>
        <sz val="8"/>
        <rFont val="Arial"/>
        <family val="2"/>
      </rPr>
      <t xml:space="preserve">4.12) АСУУЛТАД 1-ЭЭС 4 </t>
    </r>
    <r>
      <rPr>
        <i/>
        <sz val="8"/>
        <rFont val="Arial"/>
        <family val="2"/>
      </rPr>
      <t xml:space="preserve">ХАРИУЛТЫГ СОНГОСОН БАЙХ ЁСТОЙ ШАЛАГАНА УУ. </t>
    </r>
  </si>
  <si>
    <t>ХХЭ: Ажилтан ажиллуулдаггүй</t>
  </si>
  <si>
    <t>Төрийн бус байгууллага</t>
  </si>
  <si>
    <t>Бусад хувийн шалтгаан</t>
  </si>
  <si>
    <t>Бизнес эхлүүлэхээр газар, байшин, тоног төхөөрөмж, материал хайсан</t>
  </si>
  <si>
    <t xml:space="preserve">Суралцаж байгаа, сургалтад хамрагдаж байгаа </t>
  </si>
  <si>
    <t>Хөдөлмөрийн маргаан үүссэн</t>
  </si>
  <si>
    <t>Тийм, 3 сарын дотор</t>
  </si>
  <si>
    <t>Тийм, ойн аж ахуй, мод бэлтгэл</t>
  </si>
  <si>
    <t xml:space="preserve">Ихэвчлэн өрхийн хэрэгцээнд хэрэглэдэг </t>
  </si>
  <si>
    <t>Хувийн аж ахуйн нэгж байгууллага</t>
  </si>
  <si>
    <t>Улирлын чанартай ажил</t>
  </si>
  <si>
    <t>9 →</t>
  </si>
  <si>
    <t>Өрхийн орлогын талаас бага</t>
  </si>
  <si>
    <t>Гэр бүлийн шалтгааны улмаас/ гэрийн ажил</t>
  </si>
  <si>
    <t>Түр зуурын ажил хаялт, үйлчлүүлэгчдэд үзүүлэх хөнгөлөлт, ажлын завсарлага авсан</t>
  </si>
  <si>
    <t>Үгүй, өөр төрлийн үйл ажиллагаа эсвэл бизнес эрхэлсэн</t>
  </si>
  <si>
    <t>5 →</t>
  </si>
  <si>
    <t>Бизнес эхлүүлэх тусгай зөвшөөрөл, лицензийн хүсэлт гаргасан</t>
  </si>
  <si>
    <t>Газар тариалан эрхлэгч</t>
  </si>
  <si>
    <t>Нөхөрлөл</t>
  </si>
  <si>
    <t>Үгүй, 3 сарын дараа</t>
  </si>
  <si>
    <t xml:space="preserve">Зөвхөн өрхийн хэрэгцээнд хэрэглэдэг </t>
  </si>
  <si>
    <t>Ажиллах хэрэггүй эсвэл ажил хийх хүсэлгүй</t>
  </si>
  <si>
    <t>Хоршоо</t>
  </si>
  <si>
    <t>Тийм, ижил</t>
  </si>
  <si>
    <t>Цалингийн дүн</t>
  </si>
  <si>
    <t>Сүүлийн 12 сард авсан урамшуулал, тэтгэмж, нөхөн олговорууд</t>
  </si>
  <si>
    <t>ХИЙСЭН АЖЛЫГ ДЭЛГЭРЭНГҮЙ БИЧИХ</t>
  </si>
  <si>
    <t>АЖИЛ МЭРГЭЖЛИЙН АНГИЛЛЫН КОД</t>
  </si>
  <si>
    <t>АЖИЛЛАДАГ САЛБАРЫН НЭРИЙГ БИЧИХ</t>
  </si>
  <si>
    <t>ЭДИЙН ЗАСГИЙН САЛБАРЫН КОД</t>
  </si>
  <si>
    <t>Хувь нэмрээ оруулагч гэр бүлийн гишүүн</t>
  </si>
  <si>
    <t>Улс төрийн нам</t>
  </si>
  <si>
    <t>Сүүлийн сард</t>
  </si>
  <si>
    <t xml:space="preserve">Бусад </t>
  </si>
  <si>
    <t>Үгүй, өөр ажил</t>
  </si>
  <si>
    <t>Ажилласан сарын тоо</t>
  </si>
  <si>
    <t>Ажилласан өдрийн тоо</t>
  </si>
  <si>
    <t>Ажилласан цаг</t>
  </si>
  <si>
    <t xml:space="preserve">БҮЛЭГ 5. БУСАД ОРЛОГО                        </t>
  </si>
  <si>
    <t>ХЭСЭГ А. НИЙГМИЙН ХАМГААЛЛЫН ТЭТГЭВЭР, ТЭТГЭМЖ</t>
  </si>
  <si>
    <t xml:space="preserve">БҮЛЭГ 5. БУСАД ОРЛОГО                                    </t>
  </si>
  <si>
    <t xml:space="preserve">ХЭСЭГ Б. БУСАД ЭХ ҮҮСВЭРЭЭС ОЛСОН ОРЛОГО </t>
  </si>
  <si>
    <t xml:space="preserve">НИЙГМИЙН ДААТГАЛЫН САН </t>
  </si>
  <si>
    <t>НИЙГМИЙН ХАЛАМЖИЙН САН</t>
  </si>
  <si>
    <t>ХӨДӨЛМӨР ЭРХЛЭЛТИЙГ ДЭМЖИХ САН</t>
  </si>
  <si>
    <t>БУСАД ЭХ ҮҮСВЭР</t>
  </si>
  <si>
    <t>ХҮҮ БОЛОН АШИГ</t>
  </si>
  <si>
    <t>[НЭР] нийгмийн даатгалын шимтгэл төлдөг үү?</t>
  </si>
  <si>
    <t xml:space="preserve">[НЭР] яагаад нийгмийн даатгалын шимтгэл төлдөггүй вэ? </t>
  </si>
  <si>
    <t>[НЭР] нийгмийн даатгалын шимтгэлээ хэрхэн төлдөг вэ?</t>
  </si>
  <si>
    <t>[НЭР] нийгмийн даатгалын сангаас ямар нэгэн тэтгэвэр, тэтгэмж, үйлчилгээ авсан уу?</t>
  </si>
  <si>
    <t>[НЭР] нийгмийн халамжийн сангаас ямар нэгэн тэтгэвэр, тэтгэмж, үйлчилгээ авсан уу?</t>
  </si>
  <si>
    <t>[НЭР] хөдөлмөр эрхлэлтийг дэмжих сангаас ямар нэгэн дэмжлэг, туслалцаа авсан уу?</t>
  </si>
  <si>
    <t>[НЭР]  бусад эх үүсвэрийн орлого олсон уу?</t>
  </si>
  <si>
    <t>[НЭР] хүү болон ашгийн орлого олсон уу?</t>
  </si>
  <si>
    <t>[НЭР] сүүлийн 12 сард хэдий хэмжээний тэтгэвэр, тэтгэмж авсан бэ?</t>
  </si>
  <si>
    <t>[НЭР] сүүлийн 12 сард хэдий хэмжээний дэмжлэг авсан бэ?</t>
  </si>
  <si>
    <t xml:space="preserve">[НЭР] сүүлийн 12 сард хэдий хэмжээний орлого олсон бэ? </t>
  </si>
  <si>
    <r>
      <t xml:space="preserve">АВААГҮЙ БОЛ </t>
    </r>
    <r>
      <rPr>
        <b/>
        <i/>
        <sz val="8"/>
        <rFont val="Arial"/>
        <family val="2"/>
      </rPr>
      <t xml:space="preserve">"0" </t>
    </r>
    <r>
      <rPr>
        <i/>
        <sz val="8"/>
        <rFont val="Arial"/>
        <family val="2"/>
      </rPr>
      <t>ГЭЖ БИЧНЭ ҮҮ.</t>
    </r>
  </si>
  <si>
    <r>
      <t xml:space="preserve">АВААГҮЙ БОЛ </t>
    </r>
    <r>
      <rPr>
        <b/>
        <i/>
        <sz val="8"/>
        <rFont val="Arial"/>
        <family val="2"/>
      </rPr>
      <t>"0"</t>
    </r>
    <r>
      <rPr>
        <i/>
        <sz val="8"/>
        <rFont val="Arial"/>
        <family val="2"/>
      </rPr>
      <t xml:space="preserve"> ГЭЖ БИЧНЭ ҮҮ.</t>
    </r>
  </si>
  <si>
    <r>
      <t xml:space="preserve">АВААГҮЙ БОЛ </t>
    </r>
    <r>
      <rPr>
        <b/>
        <i/>
        <sz val="8"/>
        <rFont val="Arial"/>
        <family val="2"/>
      </rPr>
      <t xml:space="preserve">"0" </t>
    </r>
    <r>
      <rPr>
        <i/>
        <sz val="8"/>
        <rFont val="Arial"/>
        <family val="2"/>
      </rPr>
      <t xml:space="preserve">ГЭЖ БИЧНЭ ҮҮ. (ЗӨВХӨН ХӨДӨЛМӨР ЭРХЛЭЛТИЙГ ДЭМЖИХ ҮЙЛЧИЛГЭЭ, АРГА ХЭМЖЭЭ ОРНО.) </t>
    </r>
  </si>
  <si>
    <r>
      <t>БАЙХГҮЙ БОЛ</t>
    </r>
    <r>
      <rPr>
        <b/>
        <sz val="8"/>
        <rFont val="Arial"/>
        <family val="2"/>
      </rPr>
      <t xml:space="preserve"> "0"</t>
    </r>
    <r>
      <rPr>
        <sz val="8"/>
        <rFont val="Arial"/>
        <family val="2"/>
      </rPr>
      <t xml:space="preserve"> ГЭЖ БИЧНЭ ҮҮ.</t>
    </r>
  </si>
  <si>
    <t>Ажил олгогчтой хийсэн гэрээнд тусгагдсан ч ажил олгогч төлдөггүй</t>
  </si>
  <si>
    <t>Өндөр насны тэтгэвэр</t>
  </si>
  <si>
    <t xml:space="preserve">Тэжээгчээ алдсаны тэтгэвэр  </t>
  </si>
  <si>
    <t>Жирэмсний болон амаржсаны тэтгэмж</t>
  </si>
  <si>
    <t>Оршуулгын тэтгэмж</t>
  </si>
  <si>
    <t>Ажилгүйдэл-ийн тэтгэмж</t>
  </si>
  <si>
    <t>Бусад нийгмийн даатгалын тэтгэвэр, тэтгэмж (сургалтын төлбөр, нөхөн сэргээх төлбөр, сувиллын зардал)</t>
  </si>
  <si>
    <t>Хөгжлийн бэрхшээлтэй иргэний тэтгэвэр</t>
  </si>
  <si>
    <t>Өндөр настны, тэжээгч нь нас барсан 18 хүртэлх насны хүүхдийн, өрх толгойлсон эх/эцгийн тэтгэвэр болон 16 насанд хүрсэн одой иргэний тэтгэвэр</t>
  </si>
  <si>
    <t>Жирэмсэн болон 0-3 хүртэлх насны хүүхэд асарсны тэтгэмж</t>
  </si>
  <si>
    <t>Асаргааны тэтгэмж (ахмад настан, хөгжлийн бэрхшээлтэй иргэнийг асарч байгаа иргэний болон хүнд нөхцөлд байгаа хүүхдийн асаргааны тэтгэмж)</t>
  </si>
  <si>
    <t xml:space="preserve">Хүнс тэжээлийн дэмжлэг үзүүлэх үйлчилгээ (хүнсний талон) </t>
  </si>
  <si>
    <t>Хүүхдийн мөнгө</t>
  </si>
  <si>
    <t xml:space="preserve">Ахмад настан, хөгжлийн бэрхшээлтэй иргэнд үзүүлэх амралт, рашаан сувиллын  хөнгөлөлт </t>
  </si>
  <si>
    <t>3 болон түүнээс дээш хүүхэдтэй өрх толгойлсон эх, эцэгт олгох тэтгэмж</t>
  </si>
  <si>
    <t>Эхийн алдар 1, 2 дугаар зэргийн одонгийн мөнгөн тусламж</t>
  </si>
  <si>
    <t>Бусад тэтгэмж, тусламж, хөнгөлөлт (насны хишиг, онцгой тохиолдлын болон амьжиргааг дэмжих бусад мөнгөн тэтгэмж, цаатан иргэнд олгох тэтгэмж, протез, ортопедийн болон түлшний хөнгөлөлт г.м)</t>
  </si>
  <si>
    <t>Эргэн төлөгдөх санхүүгийн дэмжлэг
(Хөдөлмөр эрхлэлтийг дэмжих хөтөлбөрүүдийн хүрээнд 100 хувь эргэн төлөгдөх нөхцөлтэй 5.0 хүртэл сая төгрөгийн санхүүгийн дэмжлэг)</t>
  </si>
  <si>
    <t xml:space="preserve">Борлуулалтын болон ажлын байрны түрээсийн дэмжлэг
(Хөдөлмөр эрхлэлтийг дэмжих хөтөлбөрүүдийн хүрээнд үзүүлж буй дэмжлэг)
</t>
  </si>
  <si>
    <t>Түр ажлын байраар хангаж, орлогоор дэмжих
(Нийтийг хамарсан ажил, бүлгийн зохион байгуулалттай хүнсний ногоо тариалах, ахмад мэргэжилтний зөвлөх үйлчилгээ)</t>
  </si>
  <si>
    <t>Жижиг зээл
(Арилжааны банкаар дамжуулан иргэнд 10.0 хүртэл сая төгрөг, аж ахуйн нэгж, нөхөрлөл, хоршоонд 20.0 хүртэл сая төгрөгийн зээл)</t>
  </si>
  <si>
    <t xml:space="preserve">Хөдөлмөр эрхлэлтийн сургалт
(Мэргэжлийн сургалт, үйлдвэрлэл дээрх сургалт, аж ахуй эрхлэлтийн сургалт) </t>
  </si>
  <si>
    <t>Хөдөлмөр эрхлэлтийн нийтлэг үйлчилгээ
(Ажил, мэргэжлийн чиг баримжаа олгох, зөвлөгөө өгөх үйлчилгээ,
ажилд зуучлах үйлчилгээ)</t>
  </si>
  <si>
    <t>Өөрийн эзэмшлийн хөрөнгийг түрээсэлсэн (сууц, машин, тоног төхөөрөмж, газар)</t>
  </si>
  <si>
    <t>Үндсэн хөрөнгө борлуулсан</t>
  </si>
  <si>
    <t>Хөрөнгө өвлөх болон инж хэлбэрээр</t>
  </si>
  <si>
    <t>Бусдад зээлдүүлсэн-ээс эргэж төлөгдсөн</t>
  </si>
  <si>
    <t>Хадгаламжаас авсан</t>
  </si>
  <si>
    <t>Бусад эх үүсвэрийн орлого</t>
  </si>
  <si>
    <t>Хадгаламжийн хүү</t>
  </si>
  <si>
    <t>Хувьцааны ноогдол ашиг</t>
  </si>
  <si>
    <t>Зээлийн хүү</t>
  </si>
  <si>
    <t>Бондын ашиг</t>
  </si>
  <si>
    <t>Бооцоо, тэмцээн уралдаан, сугалаа</t>
  </si>
  <si>
    <t>Бусад (оюуны өмчийн болон бусад)</t>
  </si>
  <si>
    <t>Ажил олгогчтой хийсэн гэрээнд тусгагдаагүй учраас ажил олгогч төлдөггүй</t>
  </si>
  <si>
    <t>Төлөхийг хүсдэггүй</t>
  </si>
  <si>
    <t>Сайн дураараа</t>
  </si>
  <si>
    <t>Төлөх шаардлагагүй</t>
  </si>
  <si>
    <t>Төлөх насны хүн биш</t>
  </si>
  <si>
    <t>Албан журмаар</t>
  </si>
  <si>
    <t xml:space="preserve">Үгүй </t>
  </si>
  <si>
    <t>2   →</t>
  </si>
  <si>
    <t xml:space="preserve">  </t>
  </si>
  <si>
    <r>
      <t xml:space="preserve">ХАМРАГДСАН БОЛ </t>
    </r>
    <r>
      <rPr>
        <b/>
        <i/>
        <sz val="8"/>
        <rFont val="Arial"/>
        <family val="2"/>
      </rPr>
      <t xml:space="preserve">"1" </t>
    </r>
    <r>
      <rPr>
        <i/>
        <sz val="8"/>
        <rFont val="Arial"/>
        <family val="2"/>
      </rPr>
      <t>ГЭЖ БИЧНЭ ҮҮ.</t>
    </r>
  </si>
  <si>
    <t>(5.47)</t>
  </si>
  <si>
    <t>БҮЛЭГ 5. БУСАД ОРЛОГО</t>
  </si>
  <si>
    <t>ХЭСЭГ В. БУСДААС АВСАН БЭЛЭГ, ТУСЛАМЖ, ХАНДИВ</t>
  </si>
  <si>
    <t>→ Бүлэг 6</t>
  </si>
  <si>
    <t>Бэлэг, тусламж, хандив шилжүүлэгч өрхийн тэргүүнтэй ямар хамааралтай вэ?</t>
  </si>
  <si>
    <t>Бэлэг, тусламж, хандив шилжүүлэгч хэдэн настай вэ?</t>
  </si>
  <si>
    <t>Бэлэг, тусламж, хандив шилжүүлэгч одоо хаана байдаг вэ?</t>
  </si>
  <si>
    <t>Бэлэг, тусламж, хандив шилжүүлэгч одоо ямар улс/аймаг/хотод ажиллаж/амьдарч байна вэ?</t>
  </si>
  <si>
    <t>Бэлэг, тусламж, хандив шилжүүлэгч ямар зорилгоор тухайн улс/аймаг/хотод ажиллаж/ амьдарч байгаа вэ?</t>
  </si>
  <si>
    <t>Бэлэг, тусламж, хандивыг та болон танай өрхийн гишүүд голчлон юунд зарцуулсан бэ?</t>
  </si>
  <si>
    <t xml:space="preserve">АЙМАГ/НИЙСЛЭЛ, СУМ/ДҮҮРГИЙН НЭР, КОДЫГ БИЧНЭ. ХЭРЭВ ГАДААДАД АМЬДАРЧ БАЙГАА БОЛ ТУХАЙН УЛСЫН НЭР, КОДЫГ БИЧНЭ ҮҮ.                                                                         </t>
  </si>
  <si>
    <t>Өрхийн хэрэглээ</t>
  </si>
  <si>
    <t>МӨНГӨН БУС ХЭЛБЭРЭЭР АВСАН БЭЛЭГ ТУСЛАМЖ, ХАНДИВЫГ ҮНЭЛЖ ОРУУЛНА УУ.</t>
  </si>
  <si>
    <t>Боловсрол</t>
  </si>
  <si>
    <t>Эмчилгээ</t>
  </si>
  <si>
    <t>Сууцтай болох</t>
  </si>
  <si>
    <t>Түр ажиллах зорилгоор</t>
  </si>
  <si>
    <t>Дотоод:</t>
  </si>
  <si>
    <t>Баяр ёслол</t>
  </si>
  <si>
    <t>Түр сурах зорилгоор</t>
  </si>
  <si>
    <t>7 хоног бүр</t>
  </si>
  <si>
    <t>Оршуулгын</t>
  </si>
  <si>
    <t>Хувь хүн</t>
  </si>
  <si>
    <t>Мөнгөн шилжүүлэг</t>
  </si>
  <si>
    <t>Сар бүр</t>
  </si>
  <si>
    <t>Өрхийн үйлдвэрлэл, бизнес</t>
  </si>
  <si>
    <t>Бүрмөсөн амьдрах</t>
  </si>
  <si>
    <t>Улирал бүр</t>
  </si>
  <si>
    <t>Мөнгөн бус шилжүүлэг</t>
  </si>
  <si>
    <t>Жил бүр</t>
  </si>
  <si>
    <t>БҮЛЭГ 6. ХӨДӨӨ АЖ АХУЙН ҮЙЛДВЭРЛЭЛ, ХЭРЭГЛЭЭ</t>
  </si>
  <si>
    <t>ХЭСЭГ А.1. МАЛ АЖ АХУЙ</t>
  </si>
  <si>
    <t>Сүүлийн 12 сард танайх мал аж ахуй эрхэлсэн үү?/ Танай өрх малтай юу? (ШУВУУНЫ БОЛОН БУСАД ТУСЛАХ АЖ АХУЙГ ОРУУЛНА.)</t>
  </si>
  <si>
    <t xml:space="preserve">МАА ЭРХЛЭЭГҮЙ ХЭДИЙ Ч ХУВИЙН МАЛТАЙ ӨРХҮҮДИЙГ ЭНД НЭМЖ ХАМРУУЛНА. </t>
  </si>
  <si>
    <t>ХЭСЭГ Б</t>
  </si>
  <si>
    <t>МӨРИЙН ДУГААР</t>
  </si>
  <si>
    <t>МАЛЫН ТӨРӨЛ</t>
  </si>
  <si>
    <t>Сүүлийн 12 сард танайх хэдэн [МАЛ]........</t>
  </si>
  <si>
    <t>МӨНГӨН ЗАРДАЛ</t>
  </si>
  <si>
    <t>Танайх одоо хэдэн [МАЛ]-тай байна вэ?</t>
  </si>
  <si>
    <r>
      <t xml:space="preserve">БАЙХГҮЙ БОЛ </t>
    </r>
    <r>
      <rPr>
        <b/>
        <i/>
        <sz val="8"/>
        <color theme="1"/>
        <rFont val="Arial"/>
        <family val="2"/>
      </rPr>
      <t xml:space="preserve">"0" </t>
    </r>
    <r>
      <rPr>
        <i/>
        <sz val="8"/>
        <color theme="1"/>
        <rFont val="Arial"/>
        <family val="2"/>
      </rPr>
      <t>ГЭЖ НӨХНӨ</t>
    </r>
  </si>
  <si>
    <t>ЗАРДЛЫН НЭР ТӨРӨЛ</t>
  </si>
  <si>
    <t>Сүүлийн 12 сард мал аж ахуй эрхлэхтэй холбогдож гарсан зардал, төгрөгөөр</t>
  </si>
  <si>
    <t>Хүнсэндээ хэрэглэсэн</t>
  </si>
  <si>
    <t xml:space="preserve">Худалдсан </t>
  </si>
  <si>
    <t>Худалдсан малын нийт үнэ, төгрөгөөр</t>
  </si>
  <si>
    <t>Дараагийн мал</t>
  </si>
  <si>
    <t>АМЬДААР БОЛОН НЯДАЛЖ ХУДАЛДСАНЫГ ОРУУЛНА.</t>
  </si>
  <si>
    <t>Бүгд</t>
  </si>
  <si>
    <t>Үүнээс:</t>
  </si>
  <si>
    <r>
      <t xml:space="preserve">ЗАРДАЛ ГАРААГҮЙ  БОЛ </t>
    </r>
    <r>
      <rPr>
        <b/>
        <i/>
        <sz val="8"/>
        <color theme="1"/>
        <rFont val="Arial"/>
        <family val="2"/>
      </rPr>
      <t xml:space="preserve">"0" </t>
    </r>
    <r>
      <rPr>
        <i/>
        <sz val="8"/>
        <color theme="1"/>
        <rFont val="Arial"/>
        <family val="2"/>
      </rPr>
      <t>ГЭЖ НӨХНӨ</t>
    </r>
  </si>
  <si>
    <t>Хээлтэгч</t>
  </si>
  <si>
    <t>Төл</t>
  </si>
  <si>
    <t>Үхэр</t>
  </si>
  <si>
    <t>Малын тэжээл</t>
  </si>
  <si>
    <t>а. Адуу</t>
  </si>
  <si>
    <t>Малын эм, тарилгын зардал</t>
  </si>
  <si>
    <t>б. Хурдан морь</t>
  </si>
  <si>
    <t>x х х</t>
  </si>
  <si>
    <t>Шатахуун</t>
  </si>
  <si>
    <t>Тэмээ</t>
  </si>
  <si>
    <t>Татвар, даатгал</t>
  </si>
  <si>
    <t>Хонь</t>
  </si>
  <si>
    <t>Цалин хөлс</t>
  </si>
  <si>
    <t>Ямаа</t>
  </si>
  <si>
    <t>Хашаа, хороо, тоног төхөөрөмж</t>
  </si>
  <si>
    <t xml:space="preserve">Малтай болох зорилгоор мал худалдан авсан </t>
  </si>
  <si>
    <t>ТУСЛАХ АЖ АХУЙ</t>
  </si>
  <si>
    <t>Бусад (тахиа, шувуу, гахай, зөгий, цаа буга)</t>
  </si>
  <si>
    <t>Бусад (Засвар үйлчилгээ, уур, ус, цахилгаан, дулаан, халаалт, түрээс гэх мэт)</t>
  </si>
  <si>
    <t>Нийт зардал</t>
  </si>
  <si>
    <t xml:space="preserve">ХЭСЭГ А.2. МАЛ АЖ АХУЙН ҮЙЛДВЭРЛЭЛ  </t>
  </si>
  <si>
    <t>Сүүлийн 12 сард танай өрх ноос, ноолуур, арьс, шир, сүү болон бусад бүтээгдэхүүн үйлдвэрлэсэн үү?</t>
  </si>
  <si>
    <t>Танай өрхийн ашиг хүртсэн өөрийн болон бусдын эзэмшлийн бүх малаас авсан бүтээгдэхүүнийг оруулна.</t>
  </si>
  <si>
    <t>СҮҮЛИЙН 12 САРЫН БАЙДЛААР</t>
  </si>
  <si>
    <t>БҮТЭЭГДЭХҮҮН</t>
  </si>
  <si>
    <t>Ашиг шимийг нь ашигласан малын тоо</t>
  </si>
  <si>
    <t>Нийт бүтээг-дэхүүний хэмжээ</t>
  </si>
  <si>
    <t>Худалдсан</t>
  </si>
  <si>
    <t>Боловсруулж худалдсан</t>
  </si>
  <si>
    <t>Өрхийн хэрэгцээнд хэрэглэсэн хэмжээ</t>
  </si>
  <si>
    <t>Нийт хэмжээ</t>
  </si>
  <si>
    <t>Нийт үнэ, төгрөгөөр</t>
  </si>
  <si>
    <r>
      <t xml:space="preserve">БАЙХГҮЙ БОЛ </t>
    </r>
    <r>
      <rPr>
        <b/>
        <i/>
        <sz val="8"/>
        <rFont val="Arial"/>
        <family val="2"/>
      </rPr>
      <t xml:space="preserve">"0" </t>
    </r>
    <r>
      <rPr>
        <i/>
        <sz val="8"/>
        <rFont val="Arial"/>
        <family val="2"/>
      </rPr>
      <t>ГЭЖ НӨХНӨ</t>
    </r>
  </si>
  <si>
    <t xml:space="preserve"> → Дараагийн мөр</t>
  </si>
  <si>
    <r>
      <t xml:space="preserve">БАЙХГҮЙ БОЛ </t>
    </r>
    <r>
      <rPr>
        <b/>
        <i/>
        <sz val="8"/>
        <rFont val="Arial"/>
        <family val="2"/>
      </rPr>
      <t>"0"</t>
    </r>
    <r>
      <rPr>
        <i/>
        <sz val="8"/>
        <rFont val="Arial"/>
        <family val="2"/>
      </rPr>
      <t xml:space="preserve"> ГЭЖ НӨХНӨ</t>
    </r>
  </si>
  <si>
    <t xml:space="preserve">НООС, ҮС, НООЛУУР, КГ </t>
  </si>
  <si>
    <t>КГ</t>
  </si>
  <si>
    <t>Ямааны ноолуур</t>
  </si>
  <si>
    <t>Үхэр, адууны хөөвөр, хялгас</t>
  </si>
  <si>
    <t>АРЬС, ШИР, ШИРХЭГЭЭР</t>
  </si>
  <si>
    <t>ШИРХЭГ</t>
  </si>
  <si>
    <t>ХХХХХ</t>
  </si>
  <si>
    <t>Адуу</t>
  </si>
  <si>
    <t>СҮҮ, ЛИТРЭЭР*</t>
  </si>
  <si>
    <t>Хонины</t>
  </si>
  <si>
    <t>ЛИТР</t>
  </si>
  <si>
    <t>Ямааны</t>
  </si>
  <si>
    <t>Үнээний</t>
  </si>
  <si>
    <t>Айраг</t>
  </si>
  <si>
    <t>Ингэний</t>
  </si>
  <si>
    <t>БУСАД БҮТЭЭГДЭХҮҮН</t>
  </si>
  <si>
    <t>Өндөг</t>
  </si>
  <si>
    <t>Зөгийн бал</t>
  </si>
  <si>
    <t>* -</t>
  </si>
  <si>
    <t>СҮҮН БҮТЭЭГДЭХҮҮН ҮЙЛДВЭРЛЭХЭД ХЭРЭГЛЭСЭН СҮҮГ ОРУУЛНА.</t>
  </si>
  <si>
    <t xml:space="preserve">ХЭСЭГ Б. ГАЗАР ТАРИАЛАН  </t>
  </si>
  <si>
    <t>Та болон танай өрхийн гишүүдээс хэн нэг нь сүүлийн 12 сард тариалан эрхлэх газартай байсан уу?</t>
  </si>
  <si>
    <t>Танайх сүүлийн 12 сард үр тариа, хүнсний ногоо, жимс тариалсан уу?
Малын тэжээл, хадлан хураан авсан уу?</t>
  </si>
  <si>
    <t xml:space="preserve">ӨӨРИЙН ЭЗЭМШЛИЙН БУС ГАЗАРТ ТАРИАЛСАНЫГ МӨН ОРУУЛНА. </t>
  </si>
  <si>
    <t xml:space="preserve">ХУВЬДАА ҮР ТАРИА, ХҮНСНИЙ НОГОО, ЖИМС ТАРИАЛСАН БОЛ НЭМЖ ХАМРУУЛНА. </t>
  </si>
  <si>
    <t>ХАДЛАН АВСАН БОЛОН МАЛЫН ТЭЖЭЭЛ ТАРИАЛСАН ТАЛБАЙГ ОРУУЛНА.</t>
  </si>
  <si>
    <t>БҮЛЭГ  7</t>
  </si>
  <si>
    <t>Одоогийн байдлаар таны болон танай өрхийн тариалан эрхлэх газрын талбайн хэмжээ</t>
  </si>
  <si>
    <r>
      <t>м</t>
    </r>
    <r>
      <rPr>
        <vertAlign val="superscript"/>
        <sz val="10"/>
        <rFont val="Arial"/>
        <family val="2"/>
      </rPr>
      <t>2</t>
    </r>
  </si>
  <si>
    <t>Сүүлийн 12 сард танай өрхийн гишүүдийн тариалсан газрын нийт хэмжээ</t>
  </si>
  <si>
    <t>ГАЗАР ТАРИАЛАНГИЙН ҮЙЛДВЭРЛЭЛ</t>
  </si>
  <si>
    <t>НЭР ТӨРӨЛ</t>
  </si>
  <si>
    <t>Сүүлийн 12 сард та [НЭР ТӨРӨЛ] ургац хураан авсан уу?</t>
  </si>
  <si>
    <t>Сүүлийн 12 сард хураан авсан нийт [НЭР ТӨРӨЛ] ургацын хэмжээ, килограммаар</t>
  </si>
  <si>
    <t>Сүүлийн 12 сард хэдэн төгрөгийн зардал гарсан бэ?</t>
  </si>
  <si>
    <t>Өрхийн хэрэгцээнд хэрэглэсэн</t>
  </si>
  <si>
    <t>Малын тэжээлд зориулсан</t>
  </si>
  <si>
    <t>БОЛОВСРУУЛАЛТ ХИЙЖ ХУДАЛДСАНЫГ ОРУУЛНА.</t>
  </si>
  <si>
    <t>Хэмжээ, кг</t>
  </si>
  <si>
    <t>Бүгд үнэ, төгрөгөөр</t>
  </si>
  <si>
    <r>
      <t xml:space="preserve">БАЙХГҮЙ БОЛ </t>
    </r>
    <r>
      <rPr>
        <b/>
        <i/>
        <sz val="8"/>
        <rFont val="Arial"/>
        <family val="2"/>
      </rPr>
      <t>"0"</t>
    </r>
    <r>
      <rPr>
        <i/>
        <sz val="8"/>
        <rFont val="Arial"/>
        <family val="2"/>
      </rPr>
      <t xml:space="preserve"> ГЭЖ НӨХНӨ   </t>
    </r>
  </si>
  <si>
    <t>Дараагийн бүтээгдэхүүн</t>
  </si>
  <si>
    <r>
      <t>БАЙХГҮЙ БОЛ</t>
    </r>
    <r>
      <rPr>
        <b/>
        <i/>
        <sz val="8"/>
        <rFont val="Arial"/>
        <family val="2"/>
      </rPr>
      <t xml:space="preserve"> "0"</t>
    </r>
    <r>
      <rPr>
        <i/>
        <sz val="8"/>
        <rFont val="Arial"/>
        <family val="2"/>
      </rPr>
      <t xml:space="preserve"> ГЭЖ НӨХНӨ.</t>
    </r>
  </si>
  <si>
    <t>Төмс</t>
  </si>
  <si>
    <t>Үр</t>
  </si>
  <si>
    <t>Лууван</t>
  </si>
  <si>
    <t>Бордоо</t>
  </si>
  <si>
    <t>Манжин</t>
  </si>
  <si>
    <t>Хортон шавьж устгал</t>
  </si>
  <si>
    <t>Байцай</t>
  </si>
  <si>
    <t>Хүрэн манжин</t>
  </si>
  <si>
    <t>Тоног төхөөрөмж</t>
  </si>
  <si>
    <t>Сонгино</t>
  </si>
  <si>
    <t>Сэлбэг хэрэгсэл</t>
  </si>
  <si>
    <t>Сармис</t>
  </si>
  <si>
    <t>Засвар, үйлчилгээ</t>
  </si>
  <si>
    <t>Улаан лооль</t>
  </si>
  <si>
    <t>Түүхий эд, материал</t>
  </si>
  <si>
    <t>Өргөст хэмх</t>
  </si>
  <si>
    <t>Жимс, жимсгэнэ</t>
  </si>
  <si>
    <t>Татвар, даатгал, хураамж</t>
  </si>
  <si>
    <t>Улаан буудай</t>
  </si>
  <si>
    <t>Хадлан</t>
  </si>
  <si>
    <t>х х х х</t>
  </si>
  <si>
    <t>Түрээс</t>
  </si>
  <si>
    <t>Бусад (уур, ус, цахилгаан, дулаан, халаалт, шуудан, холбоо гэх мэт )</t>
  </si>
  <si>
    <t>xxxxx</t>
  </si>
  <si>
    <t>БҮЛЭГ 7. ХӨДӨӨ АЖ АХУЙ (ХАА)-Н БУС ҮЙЛДВЭРЛЭЛ, ХУДАЛДАА, ҮЙЛЧИЛГЭЭ</t>
  </si>
  <si>
    <t>Сүүлийн 12 сард ХАА-н бус үйлдвэрлэл, худалдаа, үйлчилгээ эрхэлсэн үү?</t>
  </si>
  <si>
    <t>Хэдэн төрлийн үйлдвэрлэл, худалдаа, үйлчилгээ эрхэлсэн бэ?</t>
  </si>
  <si>
    <t>БҮЛЭГ 8</t>
  </si>
  <si>
    <t>ҮЙЛДВЭРЛЭЛ, ХУДАЛДАА, 
ҮЙЛЧИЛГЭЭ ¹ 1</t>
  </si>
  <si>
    <t>ҮЙЛДВЭРЛЭЛ, ХУДАЛДАА, 
ҮЙЛЧИЛГЭЭ ¹ 2</t>
  </si>
  <si>
    <t>ҮЙЛДВЭРЛЭЛ, ХУДАЛДАА, 
ҮЙЛЧИЛГЭЭ ¹ 3</t>
  </si>
  <si>
    <r>
      <t xml:space="preserve">Үйлдвэрлэл, худалдаа, үйлчилгээнийхээ нэрийг хэлнэ үү? 
</t>
    </r>
    <r>
      <rPr>
        <i/>
        <sz val="8"/>
        <rFont val="Arial"/>
        <family val="2"/>
      </rPr>
      <t>ЭДИЙН ЗАСГИЙН ҮЙЛ АЖИЛЛАГААНЫ АНГИЛЛЫН КОДЫГ БИЧНЭ.</t>
    </r>
  </si>
  <si>
    <t>Код:</t>
  </si>
  <si>
    <t>Энэ үйлдвэрлэл, худалдаа, үйлчилгээний хэдэн хувийг танай өрхийн гишүүд эзэмшдэг вэ?</t>
  </si>
  <si>
    <t>%</t>
  </si>
  <si>
    <t>Энд танай өрхийн гишүүдээс хэдэн хүн ажилладаг вэ?</t>
  </si>
  <si>
    <t>Тоо</t>
  </si>
  <si>
    <r>
      <t xml:space="preserve">Сүүлийн сард өрхийн гишүүдээс гадна хэдэн хүнийг энд ажиллуулсан бэ? </t>
    </r>
    <r>
      <rPr>
        <i/>
        <sz val="8"/>
        <rFont val="Arial"/>
        <family val="2"/>
      </rPr>
      <t xml:space="preserve">ҮГҮЙ БОЛ </t>
    </r>
    <r>
      <rPr>
        <b/>
        <i/>
        <sz val="8"/>
        <rFont val="Arial"/>
        <family val="2"/>
      </rPr>
      <t>"0"</t>
    </r>
    <r>
      <rPr>
        <i/>
        <sz val="8"/>
        <rFont val="Arial"/>
        <family val="2"/>
      </rPr>
      <t xml:space="preserve"> ГЭЖ НӨХНӨ.</t>
    </r>
  </si>
  <si>
    <t>МЭДЭЭЛЭЛ ЦУГЛУУЛАГЧ: БИ ОДОО ТАНААС ҮЙЛДВЭРЛЭЛ, ХУДАЛДАА, ҮЙЛЧИЛГЭЭ ТУС БҮРЭЭР СҮҮЛИЙН 12 САРЫН ХУГАЦААНД ХИЙСЭН ЗАРЦУУЛАЛТЫН ТАЛААР АСУУХ ГЭСЭН ЮМ.</t>
  </si>
  <si>
    <t>Сүүлийн 12 сард хэдэн төгрөгийн мөнгөн зардал гарсан бэ?</t>
  </si>
  <si>
    <t>Ажилчдад олгосон цалин</t>
  </si>
  <si>
    <t>Борлуулахаар авсан бараа</t>
  </si>
  <si>
    <t>Шатахуун, шатах тослох материал</t>
  </si>
  <si>
    <t>Уур, ус, цахилгаан эрчим хүч, дулаан халаалт</t>
  </si>
  <si>
    <t>Орон байрны түрээс</t>
  </si>
  <si>
    <t>Сэлбэг, хэрэгсэл</t>
  </si>
  <si>
    <t>Засвар үйлчилгээ</t>
  </si>
  <si>
    <t>Татвар, хураамж, патент, лиценз, даатгал</t>
  </si>
  <si>
    <t>Бусад зардал (тээврийн зардал, шуудан, холбоо, интернет, зээлийн хүү)</t>
  </si>
  <si>
    <t>МЭДЭЭЛЭЛ ЦУГЛУУЛАГЧ: БИ ОДОО ТАНААС ҮЙЛДВЭРЛЭЛ, ХУДАЛДАА, ҮЙЛЧИЛГЭЭ ТУС БҮРЭЭР СҮҮЛИЙН 12 САРЫН ХУГАЦААНД ХИЙСЭН БОРЛУУЛАЛТЫН ТАЛААР АСУУХ ГЭСЭН ЮМ.</t>
  </si>
  <si>
    <t>Сүүлийн 12 сарын байдлаар энэ үйлдвэрлэл, худалдаа, үйлчилгээг хэдэн сар эрхэлсэн бэ?</t>
  </si>
  <si>
    <t>Сарын тоо</t>
  </si>
  <si>
    <t>Энэ үйлдвэрлэл, худалдаа, үйлчилгээний тухайн сарын борлуулалт хэдэн төгрөг байсан бэ?</t>
  </si>
  <si>
    <t>Ярилцлага авсан сараас 12 сарын өмнөх</t>
  </si>
  <si>
    <t>I</t>
  </si>
  <si>
    <t xml:space="preserve">ЯРИЛЦЛАГА ХИЙЖ БУЙ САРААС ӨМНӨХ 12 САРЫН ХУГАЦААН ДАХЬ САР БҮРИЙН ҮНИЙН ДҮНГИЙН ТАЛААР АСУУЖ БИЧНЭ. </t>
  </si>
  <si>
    <t>Ярилцлага авсан сараас 11 сарын өмнөх</t>
  </si>
  <si>
    <t>II</t>
  </si>
  <si>
    <t>Ярилцлага авсан сараас 10 сарын өмнөх</t>
  </si>
  <si>
    <t>III</t>
  </si>
  <si>
    <t>Ярилцлага авсан сараас 9 сарын өмнөх</t>
  </si>
  <si>
    <t>IV</t>
  </si>
  <si>
    <t>Ярилцлага авсан сараас 8 сарын өмнөх</t>
  </si>
  <si>
    <t>V</t>
  </si>
  <si>
    <t>Ярилцлага авсан сараас 7 сарын өмнөх</t>
  </si>
  <si>
    <t>VI</t>
  </si>
  <si>
    <t>Ярилцлага авсан сараас 6 сарын өмнөх</t>
  </si>
  <si>
    <t>VII</t>
  </si>
  <si>
    <t>Ярилцлага авсан сараас 5 сарын өмнөх</t>
  </si>
  <si>
    <t>VIII</t>
  </si>
  <si>
    <t>Ярилцлага авсан сараас 4 сарын өмнөх</t>
  </si>
  <si>
    <t>IX</t>
  </si>
  <si>
    <t>Ярилцлага авсан сараас 3 сарын өмнөх</t>
  </si>
  <si>
    <t>X</t>
  </si>
  <si>
    <t>Ярилцлага авсан сараас 2 сарын өмнөх</t>
  </si>
  <si>
    <t>XI</t>
  </si>
  <si>
    <t>Ярилцлага авсан сар/1 сарын өмнөх</t>
  </si>
  <si>
    <t>XII</t>
  </si>
  <si>
    <t>Сүүлийн 12 сарын нийт борлуулалт = (I + II +III + . . . . . . XI + XII)</t>
  </si>
  <si>
    <t>БҮЛЭГ 8. ХАДГАЛАМЖ, ЗЭЭЛ</t>
  </si>
  <si>
    <t>ЭХЭЛСЭН ХУГАЦАА: ЦАГ ... МИНУТ …</t>
  </si>
  <si>
    <t>ДУУССАН ХУГАЦАА: ЦАГ ... МИНУТ …</t>
  </si>
  <si>
    <t>Та болон танай өрхийн гишүүд хадгаламжтай юу?</t>
  </si>
  <si>
    <t>Сүүлийн 12 сард хадгаламжиндаа хэдэн төгрөг хийсэн бэ?</t>
  </si>
  <si>
    <r>
      <t xml:space="preserve">Нийт хэдэн тохиолдол гарсан бэ? </t>
    </r>
    <r>
      <rPr>
        <i/>
        <sz val="8"/>
        <rFont val="Arial"/>
        <family val="2"/>
      </rPr>
      <t>ХЭРЭВ МЭДЭХГҮЙ БОЛ "98" ГЭЖ БИЧНЭ.</t>
    </r>
  </si>
  <si>
    <t>Удаа</t>
  </si>
  <si>
    <r>
      <t xml:space="preserve">Сүүлийн 12 сарын хугацаанд та болон танай өрхийн аль нэг гишүүн зээл авах зорилгоор санхүүгийн байгууллага, хувь хүнд </t>
    </r>
    <r>
      <rPr>
        <b/>
        <sz val="10"/>
        <rFont val="Arial"/>
        <family val="2"/>
      </rPr>
      <t>хандсан</t>
    </r>
    <r>
      <rPr>
        <sz val="10"/>
        <rFont val="Arial"/>
        <family val="2"/>
      </rPr>
      <t xml:space="preserve"> уу? </t>
    </r>
    <r>
      <rPr>
        <i/>
        <sz val="8"/>
        <rFont val="Arial"/>
        <family val="2"/>
      </rPr>
      <t>ХЭРЭВ БИЗНЕС ХИЙХ ЗОРИЛГООР ЗЭЭЛ АВАХ ГЭЖ ОРОЛДСОН БОЛ ОРОХГҮЙ.</t>
    </r>
  </si>
  <si>
    <r>
      <t xml:space="preserve">Сүүлийн 12 сард танай өрх болон өрхийн гишүүдээс хэн нэг нь ямар нэг төрлийн зээл </t>
    </r>
    <r>
      <rPr>
        <b/>
        <sz val="10"/>
        <rFont val="Arial"/>
        <family val="2"/>
      </rPr>
      <t>авсан уу, эсвэл төлсөн үү</t>
    </r>
    <r>
      <rPr>
        <sz val="10"/>
        <rFont val="Arial"/>
        <family val="2"/>
      </rPr>
      <t xml:space="preserve">? </t>
    </r>
    <r>
      <rPr>
        <i/>
        <sz val="8"/>
        <rFont val="Arial"/>
        <family val="2"/>
      </rPr>
      <t>(БҮХ ТӨРЛИЙН ЗЭЭЛИЙН ХУВЬД АСУУГДАНА.)</t>
    </r>
  </si>
  <si>
    <t>БҮЛЭГ 9</t>
  </si>
  <si>
    <t>Танай өрх сүүлийн 12 сард нийт хэдэн төрлийн зээл төлсөн бэ?</t>
  </si>
  <si>
    <t>ЗЭЭЛ №1</t>
  </si>
  <si>
    <t>ЗЭЭЛ №2</t>
  </si>
  <si>
    <t>ЗЭЭЛ №3</t>
  </si>
  <si>
    <r>
      <t xml:space="preserve">Та зээлийнхээ төрлийг тодорхойлно уу? </t>
    </r>
    <r>
      <rPr>
        <i/>
        <sz val="8"/>
        <rFont val="Arial"/>
        <family val="2"/>
      </rPr>
      <t>НЭГ ТӨРЛИЙН ЗЭЭЛ НЭГЭЭС ОЛОН БОЛ НЭГТГЭЖ БИЧНЭ ҮҮ.</t>
    </r>
  </si>
  <si>
    <t>Цалингийн зээл</t>
  </si>
  <si>
    <t>Бизнесийн зээл</t>
  </si>
  <si>
    <t>Тэтгэврийн зээл</t>
  </si>
  <si>
    <t>Лизингийн зээл</t>
  </si>
  <si>
    <t>Орон сууцны зээл</t>
  </si>
  <si>
    <t>Автомашины зээл</t>
  </si>
  <si>
    <t>Өрхийн хэрэглээний зээл</t>
  </si>
  <si>
    <t>Малчны зээл</t>
  </si>
  <si>
    <t>Энэ зээлийг сүүлийн 12 сарын дотор авсан уу?</t>
  </si>
  <si>
    <t xml:space="preserve">Тийм </t>
  </si>
  <si>
    <t>Сүүлийн 12 сард авсан бол нийт хэдэн төгрөгийн зээл авсан бэ?</t>
  </si>
  <si>
    <t>НЭГ ТӨРЛИЙН ЗЭЭЛ НЭГЭЭС ОЛОН БОЛ НЭГТГЭЖ БИЧНЭ ҮҮ.</t>
  </si>
  <si>
    <t>Одоо танай өрхийн зээлийн үлдэгдэл хэдэн төгрөг байгаа вэ?</t>
  </si>
  <si>
    <t>НЭГ ТӨРЛИЙН ЗЭЭЛ НЭГЭЭС ОЛОН БОЛ НЭГТГЭЖ БИЧНЭ. МЭДЭХГҮЙ БОЛ "98" ГЭЖ БИЧНЭ ҮҮ.</t>
  </si>
  <si>
    <t>Танай өрх энэ зээлийг хугацаанд нь төлөх боломжтой юу?</t>
  </si>
  <si>
    <t>Танай өрх болон өрхийн гишүүд энэ зээлийг хаанаас авсан бэ?</t>
  </si>
  <si>
    <t>Банк</t>
  </si>
  <si>
    <t>Банк бус санхүүгийн байгууллага</t>
  </si>
  <si>
    <t>Ломбард</t>
  </si>
  <si>
    <t>Хадгаламж зээлийн хоршоо</t>
  </si>
  <si>
    <t>Албан байгууллага</t>
  </si>
  <si>
    <t>Уг зээлийг ямар зориулалтаар зарцуулсан бэ?</t>
  </si>
  <si>
    <t>ГУРАВ ХҮРТЭЛХ СОНГОЛТ БАЙЖ БОЛНО.</t>
  </si>
  <si>
    <t>а.</t>
  </si>
  <si>
    <t>Өрхийн хэрэглээнд</t>
  </si>
  <si>
    <t>Удаан эдэлгээт бараа худалдан авах</t>
  </si>
  <si>
    <t>Машин худалдан авах</t>
  </si>
  <si>
    <t>Сууц барих болон худалдан авахаар</t>
  </si>
  <si>
    <t>б.</t>
  </si>
  <si>
    <t>Хувийн бизнес эрхлэх</t>
  </si>
  <si>
    <t>Өрхийн гишүүдээ гадаад явуулахаар</t>
  </si>
  <si>
    <t>Газар худалдан авах</t>
  </si>
  <si>
    <t>в.</t>
  </si>
  <si>
    <r>
      <t>Танай өрх</t>
    </r>
    <r>
      <rPr>
        <b/>
        <sz val="10"/>
        <rFont val="Arial"/>
        <family val="2"/>
      </rPr>
      <t xml:space="preserve"> сүүлийн 1 сард</t>
    </r>
    <r>
      <rPr>
        <sz val="10"/>
        <rFont val="Arial"/>
        <family val="2"/>
      </rPr>
      <t xml:space="preserve"> уг зээлэнд хэдэн төгрөг эргүүлэн төлсөн бэ?</t>
    </r>
  </si>
  <si>
    <r>
      <t xml:space="preserve">Танай өрх </t>
    </r>
    <r>
      <rPr>
        <b/>
        <sz val="10"/>
        <rFont val="Arial"/>
        <family val="2"/>
      </rPr>
      <t>сүүлийн 12 сард</t>
    </r>
    <r>
      <rPr>
        <sz val="10"/>
        <rFont val="Arial"/>
        <family val="2"/>
      </rPr>
      <t xml:space="preserve"> уг зээлэнд хэдэн төгрөг эргүүлэн төлсөн бэ?</t>
    </r>
  </si>
  <si>
    <t>БҮЛЭГ 9. ОРОН СУУЦ, ЭРЧИМ  ХҮЧ</t>
  </si>
  <si>
    <t>№</t>
  </si>
  <si>
    <t>АСУУЛТ</t>
  </si>
  <si>
    <t>ХАРИУЛТ</t>
  </si>
  <si>
    <t>АЛХАМ</t>
  </si>
  <si>
    <t>ХЭСЭГ А. ӨРХИЙН СУУЦНЫ НӨХЦӨЛ (Одоогийн амьдарч буй сууцны хувьд асууна.)</t>
  </si>
  <si>
    <t xml:space="preserve">Танайх өөрийн эзэмшлийн сууцтай юу?                     </t>
  </si>
  <si>
    <t>Тийм ...............................................................................................</t>
  </si>
  <si>
    <t>Үгүй  ...............................................................................................</t>
  </si>
  <si>
    <t xml:space="preserve">→ </t>
  </si>
  <si>
    <t xml:space="preserve">Танайх өөрийн эзэмшлийн хэдэн сууцтай вэ?                     </t>
  </si>
  <si>
    <t xml:space="preserve">Одоо амьдарч байгаа сууц тань танай үндсэн сууц мөн үү?                     </t>
  </si>
  <si>
    <r>
      <rPr>
        <i/>
        <sz val="10"/>
        <rFont val="Arial"/>
        <family val="2"/>
      </rPr>
      <t>ТУХАЙН ӨРХИЙН СУУЦНЫ ТӨРӨЛ.</t>
    </r>
    <r>
      <rPr>
        <sz val="10"/>
        <rFont val="Arial"/>
        <family val="2"/>
      </rPr>
      <t xml:space="preserve">                                                                                                     </t>
    </r>
    <r>
      <rPr>
        <i/>
        <sz val="10"/>
        <rFont val="Arial"/>
        <family val="2"/>
      </rPr>
      <t>МЭДЭЭЛЭЛ ЦУГЛУУЛАГЧ ТУХАЙН СУУЦЫГ ӨӨРИЙН НҮДЭЭР АЖИГЛААД ТОХИРОХЫГ НӨХНӨ.</t>
    </r>
  </si>
  <si>
    <t xml:space="preserve">Гэр ......................................................................................... </t>
  </si>
  <si>
    <t>Байшин:</t>
  </si>
  <si>
    <t xml:space="preserve">Орон сууцны байшин................................................................................ </t>
  </si>
  <si>
    <t xml:space="preserve">Бие даасан тохилог сууц ............................................................ </t>
  </si>
  <si>
    <t xml:space="preserve">Сууцны тусдаа байшин ............................................................ </t>
  </si>
  <si>
    <t xml:space="preserve">Нийтийн байр ............................................................ </t>
  </si>
  <si>
    <t>Зориулалтын бус сууц .......................................................</t>
  </si>
  <si>
    <t>Бусад...........................................................................</t>
  </si>
  <si>
    <t>Өрөөний тоо</t>
  </si>
  <si>
    <t>Бетон / цемент……………………………………………………………….</t>
  </si>
  <si>
    <t>Блок.……………………………………………………………….</t>
  </si>
  <si>
    <t>Тоосго……………………………………………………………….</t>
  </si>
  <si>
    <t>Мод, банз, дүнз……………………………………………………………….</t>
  </si>
  <si>
    <t>Хавтан /сэндвич, OSB г.м/ ……………………………………………………………….</t>
  </si>
  <si>
    <t>Бусад……………………………………………………………….</t>
  </si>
  <si>
    <t>Цементэн шавардлага……………………………………………………………….</t>
  </si>
  <si>
    <t>Мод……………………………………………………………….</t>
  </si>
  <si>
    <t>Металл хавтан……………………………………………………………….</t>
  </si>
  <si>
    <t>Хуванцар хавтан /PVC г.м/……………………………………………………………….</t>
  </si>
  <si>
    <t>Чулуун хавтан……………………………………………………………….</t>
  </si>
  <si>
    <t>Тоосго</t>
  </si>
  <si>
    <t>Энгийн……………………………………………………………….</t>
  </si>
  <si>
    <t>Өнгөлгөөний……………………………………………………………….</t>
  </si>
  <si>
    <t>Сүрэл, шар шавар……………………………………………………………….</t>
  </si>
  <si>
    <t>Плита……………………………………………………………….</t>
  </si>
  <si>
    <r>
      <t>Танай өрхийн сууцны дээврийн хучилтын материал юу вэ?</t>
    </r>
    <r>
      <rPr>
        <i/>
        <sz val="10"/>
        <rFont val="Arial"/>
        <family val="2"/>
      </rPr>
      <t xml:space="preserve">  
</t>
    </r>
  </si>
  <si>
    <t>Металл / Төмөр……………………………………………………………….</t>
  </si>
  <si>
    <t>Долгионт хавтан /шифр, черепиц г.м/……………………………………………………………….</t>
  </si>
  <si>
    <t>Хар цаас / Замын хар……………………………………………………………….</t>
  </si>
  <si>
    <t>Зөөлөн дээвэр /битум, уян хатан заамал хавтан г.м/.................................................................</t>
  </si>
  <si>
    <t>Мод, банз……………………………………………………………….</t>
  </si>
  <si>
    <r>
      <t xml:space="preserve">Танай өрхийн сууцны шалны </t>
    </r>
    <r>
      <rPr>
        <b/>
        <sz val="10"/>
        <rFont val="Arial"/>
        <family val="2"/>
      </rPr>
      <t>үндсэн</t>
    </r>
    <r>
      <rPr>
        <sz val="10"/>
        <rFont val="Arial"/>
        <family val="2"/>
      </rPr>
      <t xml:space="preserve"> материал юу вэ?</t>
    </r>
  </si>
  <si>
    <t>Шалгүй</t>
  </si>
  <si>
    <t>Газар / Шороо……………………………………………………………….</t>
  </si>
  <si>
    <t>Бууц……………………………………………………………….</t>
  </si>
  <si>
    <t>Мэдэхгүй……………………………………………………………….</t>
  </si>
  <si>
    <r>
      <t xml:space="preserve">Танай өрхийн сууцны шалны </t>
    </r>
    <r>
      <rPr>
        <b/>
        <sz val="10"/>
        <rFont val="Arial"/>
        <family val="2"/>
      </rPr>
      <t>хучилтын</t>
    </r>
    <r>
      <rPr>
        <sz val="10"/>
        <rFont val="Arial"/>
        <family val="2"/>
      </rPr>
      <t xml:space="preserve"> материал юу вэ?</t>
    </r>
  </si>
  <si>
    <t>Модон паркет, өнгөлсөн мод……………………………………………………………….</t>
  </si>
  <si>
    <t>Шахмал паркет /ламинат/……………………………………………………………….</t>
  </si>
  <si>
    <t>Гэр сууц</t>
  </si>
  <si>
    <t>Танай гэр хэдэн ханатай вэ?</t>
  </si>
  <si>
    <t>Гэрийн ханын тоо</t>
  </si>
  <si>
    <t>Танай гэрийн дээвэр дан уу, давхар уу?</t>
  </si>
  <si>
    <t>Дан ......................................................................................</t>
  </si>
  <si>
    <t>Давхар ................................................................................................</t>
  </si>
  <si>
    <r>
      <t xml:space="preserve">Танай гэрийн дээвэр </t>
    </r>
    <r>
      <rPr>
        <b/>
        <u/>
        <sz val="10"/>
        <rFont val="Arial"/>
        <family val="2"/>
      </rPr>
      <t>хүйтний улиралд</t>
    </r>
    <r>
      <rPr>
        <sz val="10"/>
        <rFont val="Arial"/>
        <family val="2"/>
      </rPr>
      <t xml:space="preserve"> дан байдаг уу, давхар байдаг уу?</t>
    </r>
  </si>
  <si>
    <t>Танай гэрийн туурга дан уу, давхар уу?</t>
  </si>
  <si>
    <r>
      <t xml:space="preserve">Танай гэрийн туурга </t>
    </r>
    <r>
      <rPr>
        <b/>
        <u/>
        <sz val="10"/>
        <rFont val="Arial"/>
        <family val="2"/>
      </rPr>
      <t>хүйтний улиралд</t>
    </r>
    <r>
      <rPr>
        <sz val="10"/>
        <rFont val="Arial"/>
        <family val="2"/>
      </rPr>
      <t xml:space="preserve"> дан байдаг уу, давхар байдаг уу?</t>
    </r>
  </si>
  <si>
    <r>
      <t xml:space="preserve">Танай гэр ямар шалтай вэ? 
</t>
    </r>
    <r>
      <rPr>
        <i/>
        <sz val="10"/>
        <rFont val="Arial"/>
        <family val="2"/>
      </rPr>
      <t>СУУЦЫГ АЖИГЛААД ТОХИРОХЫГ НӨХНӨ.</t>
    </r>
  </si>
  <si>
    <t>Газар/Шороо ................................................................................................</t>
  </si>
  <si>
    <t>Бууц ..................................................................................</t>
  </si>
  <si>
    <t>Хагас боловсруулсан</t>
  </si>
  <si>
    <t>Мод, банз ................................................................................................</t>
  </si>
  <si>
    <t>Бүрэн боловсруулсан</t>
  </si>
  <si>
    <t>Бетон ................................................................................................</t>
  </si>
  <si>
    <r>
      <t xml:space="preserve">Танай гэр </t>
    </r>
    <r>
      <rPr>
        <b/>
        <u/>
        <sz val="10"/>
        <rFont val="Arial"/>
        <family val="2"/>
      </rPr>
      <t>хүйтний улиралд</t>
    </r>
    <r>
      <rPr>
        <sz val="10"/>
        <rFont val="Arial"/>
        <family val="2"/>
      </rPr>
      <t xml:space="preserve"> ямар шалтай вэ?
</t>
    </r>
    <r>
      <rPr>
        <i/>
        <sz val="10"/>
        <rFont val="Arial"/>
        <family val="2"/>
      </rPr>
      <t>СУУЦЫГ АЖИГЛААД ТОХИРОХЫГ НӨХНӨ.</t>
    </r>
  </si>
  <si>
    <t>Танайх энэ сууцанд хэр удаан амьдарч байгаа вэ?</t>
  </si>
  <si>
    <r>
      <t>Та энэ сууцныхаа өмчийн хэлбэрийг хэлнэ үү?</t>
    </r>
    <r>
      <rPr>
        <i/>
        <sz val="10"/>
        <rFont val="Arial"/>
        <family val="2"/>
      </rPr>
      <t xml:space="preserve">
</t>
    </r>
  </si>
  <si>
    <t>Өөрийн эзэмшлийн ................................................................................................</t>
  </si>
  <si>
    <t>Бусдын эзэмшлийн ................................................................................................</t>
  </si>
  <si>
    <t>Төрийн өмчийн ААНБ-ын ................................................................................................</t>
  </si>
  <si>
    <t>Хувийн өмчийн ААНБ-ын ................................................................................................</t>
  </si>
  <si>
    <t>Танай өрх яаж сууцтай болсон бэ?</t>
  </si>
  <si>
    <t>Өвлөж авсан...................................................................</t>
  </si>
  <si>
    <t>Бэлгэнд авсан..............................................................</t>
  </si>
  <si>
    <t>Өөрсдөө барьсан ..................................................................................</t>
  </si>
  <si>
    <t>Худалдаж авсан ..................................................................................</t>
  </si>
  <si>
    <t>Хувьчилж авсан ..................................................................................</t>
  </si>
  <si>
    <t>Бусдын сууц: Түрээсэлж байгаа...........................</t>
  </si>
  <si>
    <t>Tureeselj bgaa hunees zah zeeliin unelgee awah shaardlagatai eseh odoo shuud tureeselej bgaa une bolon gazriin unelgeeg oruulj bn</t>
  </si>
  <si>
    <t>Бусдын сууц: Түрээсгүй амьдардаг.....................</t>
  </si>
  <si>
    <t>Хэрэв танай өрх энэ сууцыг хэн нэгэнд зарж байна гэж бодвол хэдэн сая төгрөгөөр худалдах вэ?</t>
  </si>
  <si>
    <t>Сая төгрөг</t>
  </si>
  <si>
    <t>Байршлын үнэлгээ холилдох уу</t>
  </si>
  <si>
    <t xml:space="preserve">Түрээслэж байгаа өрхийн хувьд </t>
  </si>
  <si>
    <t>Бутархай тоог авах уу? 25.2 буюу 25 сая 2 зуун мянга???</t>
  </si>
  <si>
    <t>Заавал сая төгрөг гэж асуух уу. Хэрэв сая төгрөгт шилжүүлж бичвэл бутархай тоог авах уу? 25.5 сая төгрөг гэх мэт.</t>
  </si>
  <si>
    <t>Бутархай тоог авах уу? 25.2 буюу 25 сая 2 зуун мянга??? Мөн 99 сая төгрөгөөр худалдан авсан бол яах вэ???</t>
  </si>
  <si>
    <t>ХЭРЭВ ТООЦООЛОХ БОЛОМЖГҮЙ БОЛ "99" ГЭЖ ТЭМДЭГЛЭНЭ ҮҮ. Гэдгийг хасах уу. Төлж байгаа түрээсээ мэдэхгүй байна гэж байхгүй байлгүйдээ.</t>
  </si>
  <si>
    <r>
      <t xml:space="preserve">ШАЛГАХ АСУУЛТ: СУУЦАА ӨВЛӨЖ АВСАН, БЭЛГЭНД ЭСВЭЛ БУСДЫН СУУЦАНД АМЬДАРДАГ </t>
    </r>
    <r>
      <rPr>
        <i/>
        <sz val="9"/>
        <color rgb="FFFF0000"/>
        <rFont val="Arial"/>
        <family val="2"/>
      </rPr>
      <t>ЭСЭХИЙГ ТОДОРХОЙЛОХ</t>
    </r>
    <r>
      <rPr>
        <i/>
        <sz val="9"/>
        <rFont val="Arial"/>
        <family val="2"/>
      </rPr>
      <t xml:space="preserve"> (АСУУЛТ 9.21-д 1,2,6,7 АЛЬ НЭГИЙГ СОНГОСОН)</t>
    </r>
  </si>
  <si>
    <t xml:space="preserve">Сууцтай болохын тулд зээл авсан уу?           </t>
  </si>
  <si>
    <t>Lydia version</t>
  </si>
  <si>
    <t>Танай өрх энэ сууц байрлаж буй газраа хэрхэн авсан бэ?</t>
  </si>
  <si>
    <t>Not owned ...............................................................................................</t>
  </si>
  <si>
    <t>1. Not owned</t>
  </si>
  <si>
    <t>Өөрийн эзэмшил/өмчлөл биш</t>
  </si>
  <si>
    <t>Owned by the state ...............................................................................................</t>
  </si>
  <si>
    <t>2. Inherited</t>
  </si>
  <si>
    <t>Төрөөс өмчилж авсан ...............................................................</t>
  </si>
  <si>
    <t>Inherited ...............................................................................................</t>
  </si>
  <si>
    <t>3. Gifted by government</t>
  </si>
  <si>
    <t>Gifted ...............................................................................................</t>
  </si>
  <si>
    <t>4. Gifted by someone else</t>
  </si>
  <si>
    <t>Бэлгэнд авсан.................................................</t>
  </si>
  <si>
    <t>Pudchased ...............................................................................................</t>
  </si>
  <si>
    <t>5. No formal method (squatting)</t>
  </si>
  <si>
    <t>Other ...............................................................................................</t>
  </si>
  <si>
    <t>6. Purchased</t>
  </si>
  <si>
    <r>
      <t>Танай сууцны</t>
    </r>
    <r>
      <rPr>
        <b/>
        <sz val="10"/>
        <rFont val="Arial"/>
        <family val="2"/>
      </rPr>
      <t xml:space="preserve"> хүн амьдрах</t>
    </r>
    <r>
      <rPr>
        <sz val="10"/>
        <rFont val="Arial"/>
        <family val="2"/>
      </rPr>
      <t xml:space="preserve"> талбайн хэмжээ хэд вэ?</t>
    </r>
  </si>
  <si>
    <t>Метр квадрат</t>
  </si>
  <si>
    <r>
      <t>Танай сууцны</t>
    </r>
    <r>
      <rPr>
        <b/>
        <sz val="10"/>
        <rFont val="Arial"/>
        <family val="2"/>
      </rPr>
      <t xml:space="preserve"> нийт талбайн</t>
    </r>
    <r>
      <rPr>
        <sz val="10"/>
        <rFont val="Arial"/>
        <family val="2"/>
      </rPr>
      <t xml:space="preserve"> хэмжээ хэд вэ?</t>
    </r>
  </si>
  <si>
    <r>
      <rPr>
        <i/>
        <sz val="10"/>
        <rFont val="Arial"/>
        <family val="2"/>
      </rPr>
      <t>ЗОРИУЛАЛТЫН БУС СУУЦ:</t>
    </r>
    <r>
      <rPr>
        <sz val="10"/>
        <rFont val="Arial"/>
        <family val="2"/>
      </rPr>
      <t xml:space="preserve"> Танай </t>
    </r>
    <r>
      <rPr>
        <b/>
        <sz val="10"/>
        <rFont val="Arial"/>
        <family val="2"/>
      </rPr>
      <t>өрхийн амьдарч байгаа</t>
    </r>
    <r>
      <rPr>
        <sz val="10"/>
        <rFont val="Arial"/>
        <family val="2"/>
      </rPr>
      <t xml:space="preserve"> сууцны талбайн хэмжээ хэд вэ?</t>
    </r>
  </si>
  <si>
    <t>ХЭСЭГ Б. ӨРХИЙН ЭРЧИМ ХҮЧНИЙ ХЭРЭГЛЭЭ (Одоогийн амьдарч буй сууцны хувьд асууна.)</t>
  </si>
  <si>
    <t>Танай сууцны гэрэлтүүлгийн үндсэн эх үүсвэр юу вэ?</t>
  </si>
  <si>
    <t xml:space="preserve">Төвлөрсөн системийн цахилгаан  ............................................................ </t>
  </si>
  <si>
    <t xml:space="preserve">Дизель станц .................................................................................................................................................. </t>
  </si>
  <si>
    <t xml:space="preserve">Нарны эрчим хүчний үүсгүүр ............................................................ </t>
  </si>
  <si>
    <t xml:space="preserve">Салхины эрчим хүчний үүсгүүр ............................................................ </t>
  </si>
  <si>
    <t xml:space="preserve">Бага оврын цахилгаан үүсгүүр ............................................................ </t>
  </si>
  <si>
    <t xml:space="preserve">Лаа ............................................................................................................................................................ </t>
  </si>
  <si>
    <t>Гэрэлтүүлэггүй ................................................................................................................................</t>
  </si>
  <si>
    <t>Танай гэрийн халаалтын үндсэн эх үүсвэр юу вэ?</t>
  </si>
  <si>
    <t xml:space="preserve">Төвлөрсөн халаалт  ............................................................ </t>
  </si>
  <si>
    <t xml:space="preserve">Цахилгаан халаагуур ............................................................ </t>
  </si>
  <si>
    <t xml:space="preserve">Нам даралтын зуух  ............................................................ </t>
  </si>
  <si>
    <t xml:space="preserve">Сайжруулсан зуух ............................................................ </t>
  </si>
  <si>
    <t>Сайжруулсан зуухны тодорхойлолт</t>
  </si>
  <si>
    <t xml:space="preserve">Энгийн зуух, пийшин ............................................................ </t>
  </si>
  <si>
    <t xml:space="preserve">Тулга/ Ил гал ............................................................................................................................................................ </t>
  </si>
  <si>
    <t>Халаалтын эх үүсвэр байхгүй ................................................................................................................................</t>
  </si>
  <si>
    <t>Шөнийн цагаар халаалтандаа цахилгаан хэрэглэдэг эсэх</t>
  </si>
  <si>
    <r>
      <t xml:space="preserve">Танай өрхийн халаалтандаа </t>
    </r>
    <r>
      <rPr>
        <b/>
        <u/>
        <sz val="10"/>
        <rFont val="Arial"/>
        <family val="2"/>
      </rPr>
      <t>ихэвчлэн</t>
    </r>
    <r>
      <rPr>
        <sz val="10"/>
        <rFont val="Arial"/>
        <family val="2"/>
      </rPr>
      <t xml:space="preserve"> хэрэглэдэг түлш болон эрчим хүчний эх үүсвэр юу вэ?</t>
    </r>
  </si>
  <si>
    <t>Сэргээгдэх эрчим хүч ....................................................................................................................</t>
  </si>
  <si>
    <t>Цахилгаан эрчим хүч ....................................................................................................................</t>
  </si>
  <si>
    <t xml:space="preserve">Нүүрс ................................................................................................................................................ </t>
  </si>
  <si>
    <t xml:space="preserve">Мод .................................................................................................................................................. </t>
  </si>
  <si>
    <t xml:space="preserve">Гишүү/ бургас ............................................................ </t>
  </si>
  <si>
    <t xml:space="preserve">Аргал, хөрзөн / Хомоол ............................................................ </t>
  </si>
  <si>
    <t xml:space="preserve">Сайжруулсан түлш ............................................................................................................................................................ </t>
  </si>
  <si>
    <t>Хог хаягдал / Хуванцар / Дугуй/ Машины хуучин масло ...........................................................</t>
  </si>
  <si>
    <t>Хэдэн цагаар ашигладаг вэ</t>
  </si>
  <si>
    <t>21:00-6:00 хооронд цахилгаанаар халаалтын</t>
  </si>
  <si>
    <t xml:space="preserve">Үртэс ............................................................................................................................................................ </t>
  </si>
  <si>
    <t>Танай өрх ямар төрлийн цахилгааны тоолуур ашигладаг бэ?</t>
  </si>
  <si>
    <t>2 тарифт тоолуур ..............................................................................................</t>
  </si>
  <si>
    <t>Зун хамрагдсан өрхүүдийг яах вэ. Модел гаргаж аваад орлуулах гээд байна уу</t>
  </si>
  <si>
    <t>2 тарифт тоолуурын тодорхойлолт</t>
  </si>
  <si>
    <t>Энгийн тоолуур ..............................................................................................</t>
  </si>
  <si>
    <t>Энгийн тоолуурын тодорхойлолт</t>
  </si>
  <si>
    <t>Тоолуургүй ..............................................................................................</t>
  </si>
  <si>
    <t>Сүүлийн 12 сард танай өрх ямар нэгэн хөнгөлөлттэй эсвэл үнэгүй цахилгаан ашигласан уу?</t>
  </si>
  <si>
    <t>Тийм. Зөвхөн шөнийн цагаар .......................................................................................</t>
  </si>
  <si>
    <t>Тийм. Бүх өдрийн туршид .......................................................................................</t>
  </si>
  <si>
    <t>Үгүй .......................................................................................</t>
  </si>
  <si>
    <t>Сүүлийн 12 сард танайх шөнийн цагаар гэрээ халаах зорилгоор цахилгаан хэрэглэдэг/хэрэглэcэн үү?</t>
  </si>
  <si>
    <t>Дундаж байсан дээр үү, нийт сүүлийн 7 хоногийн хэрэглээ хэрэгтээ юу</t>
  </si>
  <si>
    <t>Энэ бодлого, зөвхөн УБ эсвэл бүх улс даяар уу</t>
  </si>
  <si>
    <t>Гэхдээ энэ асуулт зөвхөн Цахилгаан эрчим хүчээр халаалтаа шийдэж байгаа өрхөөс асуугдаад байгаа. Өвлийн улиралд шөнө халааж таарах байх.</t>
  </si>
  <si>
    <t>Өрх зуслан гэх мэт олон сууцтай байж болно тиймээс бүх сууцны хувьд сүүлийн 1 сараас. Асуух уу, эсвэл сүүлийн 12 сарын хувьд бүх сууцыг бодож хариулах уу</t>
  </si>
  <si>
    <t>Нэг асуулт устгасан</t>
  </si>
  <si>
    <t>Сүүлийн 1 сарын хугацаанд танай өрх цахилгаанд хэчнээн төгрөг зарцуулсан бэ?</t>
  </si>
  <si>
    <r>
      <t xml:space="preserve">Сүүлийн 12 сарын хугацаанд танай өрх цахилгаанд хэчнээн төгрөг зарцуулсан бэ? </t>
    </r>
    <r>
      <rPr>
        <i/>
        <sz val="8"/>
        <color rgb="FFFF0000"/>
        <rFont val="Arial"/>
        <family val="2"/>
      </rPr>
      <t>БҮХ СУУЦАНДАА ЗАРЦУУЛСАН ЦАХИЛГААНЫ ТӨЛБӨРИЙГ БОДОЖ ХАРИУЛНА УУ</t>
    </r>
  </si>
  <si>
    <r>
      <t xml:space="preserve">Сүүлийн 12 сарын хугацаанд танай өрх цахилгааны төлбөрөө бусдаар төлүүлсэн үү? Төлүүлсэн бол нийт хэчнээн төгрөг вэ? 
</t>
    </r>
    <r>
      <rPr>
        <i/>
        <sz val="8"/>
        <color rgb="FFFF0000"/>
        <rFont val="Arial"/>
        <family val="2"/>
      </rPr>
      <t>ТӨЛҮҮЛЭЭГҮЙ БОЛ "0" ГЭЖ НӨХНӨ ҮҮ. 
БҮХ СУУЦАНДАА ЗАРЦУУЛСАН ЦАХИЛГААНЫ ТӨЛБӨРИЙГ БОДОЖ ХАРИУЛНА УУ</t>
    </r>
    <r>
      <rPr>
        <sz val="8"/>
        <color rgb="FFFF0000"/>
        <rFont val="Arial"/>
        <family val="2"/>
      </rPr>
      <t>.</t>
    </r>
  </si>
  <si>
    <t>ХЭСЭГ В. УС, АРИУН ЦЭВРИЙН БАЙГУУЛАМЖ</t>
  </si>
  <si>
    <r>
      <rPr>
        <sz val="10"/>
        <rFont val="Arial"/>
        <family val="2"/>
      </rPr>
      <t xml:space="preserve">Танайх ундны усаа </t>
    </r>
    <r>
      <rPr>
        <b/>
        <u/>
        <sz val="10"/>
        <rFont val="Arial"/>
        <family val="2"/>
      </rPr>
      <t>ихэвчлэн</t>
    </r>
    <r>
      <rPr>
        <sz val="10"/>
        <rFont val="Arial"/>
        <family val="2"/>
      </rPr>
      <t xml:space="preserve"> ямар эх үүсвэрээс авдаг вэ?</t>
    </r>
    <r>
      <rPr>
        <i/>
        <sz val="10"/>
        <rFont val="Arial"/>
        <family val="2"/>
      </rPr>
      <t xml:space="preserve">
ХЭРЭВ ТОДОРХОЙ БИШ БОЛ УНДНЫ УСАНД ИХЭВЧЛЭН ЯВДАГ ӨРХИЙН ГИШҮҮНЭЭС УС АВДАГ ГАЗРЫГ НЬ ТОДРУУЛЖ АСУУНА. 
</t>
    </r>
  </si>
  <si>
    <t>Төвлөрсөн ус хангамж..............................................................................</t>
  </si>
  <si>
    <t>Ундны ус түгээх цэг</t>
  </si>
  <si>
    <t>Төвлөрсөн ус хангамжид холбогдсон ус түгээх байр.......................................................</t>
  </si>
  <si>
    <t>Зөөврийн ус хангамжтай ус түгээх байр.............................................</t>
  </si>
  <si>
    <t>Гүний худгийн ус хангамжтай ус түгээх байр...................................................................</t>
  </si>
  <si>
    <t>Гүний худаг......................................................................................................</t>
  </si>
  <si>
    <t>Гар худаг</t>
  </si>
  <si>
    <t>Хамгаалсан гар худаг........................................................................</t>
  </si>
  <si>
    <t>Хамгаалаагүй гар худаг.....................................................................</t>
  </si>
  <si>
    <t xml:space="preserve">Булаг </t>
  </si>
  <si>
    <t>Хамгаалсан булаг..............................................................................</t>
  </si>
  <si>
    <t>Хамгаалаагүй булаг...........................................................................</t>
  </si>
  <si>
    <t>Савласан ус............................................................................................</t>
  </si>
  <si>
    <t>Зөөврийн усны үйлчилгээ .......................................................................</t>
  </si>
  <si>
    <t>Ус зөөврийн ердийн хөсөг.......................................................................</t>
  </si>
  <si>
    <t>Хурын ус............................................................................................</t>
  </si>
  <si>
    <t>Усны ил эх үүсвэр (гол, мөрөн, нуур, тойром, цөөрөм).....................................................................</t>
  </si>
  <si>
    <t>Танай усны эх үүсвэр хаана байдаг вэ?</t>
  </si>
  <si>
    <t>Өөрийн сууцанд ......................................................................................</t>
  </si>
  <si>
    <t>Өөрийн хашаанд ................................................................................................</t>
  </si>
  <si>
    <t>Өөр газарт............................................................................</t>
  </si>
  <si>
    <t>Минут.....................................</t>
  </si>
  <si>
    <t>Өрхийн гишүүд усанд явдаггүй ......................................................................................</t>
  </si>
  <si>
    <t>000</t>
  </si>
  <si>
    <t>Мэдэхгүй.................................................................................</t>
  </si>
  <si>
    <t>Танайх усаа хэр холоос авдаг вэ?</t>
  </si>
  <si>
    <t>200 метр хүртэл......................................................................................</t>
  </si>
  <si>
    <t>200-1000 метр......................................................................................</t>
  </si>
  <si>
    <t>1000 метрээс дээш......................................................................................</t>
  </si>
  <si>
    <t>Танайх унд болон ахуйн хэрэглээндээ хоногт хэдэн литр ус хэрэглэдэг вэ?</t>
  </si>
  <si>
    <t>Литр</t>
  </si>
  <si>
    <r>
      <rPr>
        <sz val="10"/>
        <rFont val="Arial"/>
        <family val="2"/>
      </rPr>
      <t>Танайх ямар бие засах газар ашигладаг вэ?</t>
    </r>
    <r>
      <rPr>
        <i/>
        <sz val="10"/>
        <rFont val="Arial"/>
        <family val="2"/>
      </rPr>
      <t xml:space="preserve">
"НҮХЭН ЖОРЛОН" БОЛ ТОДРУУЛЖ АСУУХ: 
ХЭРЭВ ТОДОРХОЙЛОХ БОЛОМЖГҮЙ БОЛ ЗӨВШӨӨРӨЛ АВААД, БИЕ ЗАСАХ ГАЗРЫГ АЖИГЛАНА.</t>
    </r>
  </si>
  <si>
    <t>Төвлөрсөн шугам (Ариутгах татуургатай)................................................................................</t>
  </si>
  <si>
    <t>Битүү тунгаагууртай................................................................................</t>
  </si>
  <si>
    <t>Нүхэн жорлон</t>
  </si>
  <si>
    <t>Хагас нэвчилттэй жорлон, угаадасны нүх................................................</t>
  </si>
  <si>
    <t>Нэвчилтгүй жорлон, угаадасны нүх................................................</t>
  </si>
  <si>
    <t>Бохир усны цооногтой.............................................................................</t>
  </si>
  <si>
    <t>Био жорлон............................................................................................</t>
  </si>
  <si>
    <t>Энгийн нүхэн жорлон........................................................................................</t>
  </si>
  <si>
    <t>Задгай жорлон ....................................................................</t>
  </si>
  <si>
    <t>Хээрийн нөхцөл........................................................................</t>
  </si>
  <si>
    <t>Танайх бие засах газраа бусадтай хамтарч ашигладаг уу?</t>
  </si>
  <si>
    <t>Тийм ......................................................................................</t>
  </si>
  <si>
    <t>Үгүй ................................................................................................</t>
  </si>
  <si>
    <t>Бие засах газар чинь хаана байдаг вэ?</t>
  </si>
  <si>
    <r>
      <rPr>
        <sz val="10"/>
        <rFont val="Arial"/>
        <family val="2"/>
      </rPr>
      <t>Танайх ахуйн бохир усаа яаж зайлуулдаг вэ?</t>
    </r>
    <r>
      <rPr>
        <i/>
        <sz val="10"/>
        <rFont val="Arial"/>
        <family val="2"/>
      </rPr>
      <t xml:space="preserve">
</t>
    </r>
  </si>
  <si>
    <t>Төвлөрсөн шугамаар..............................................................................</t>
  </si>
  <si>
    <t>Бохир усны цооногт................................................................................</t>
  </si>
  <si>
    <t>Угаадасны нүхэнд..................................................................................</t>
  </si>
  <si>
    <t>Ил задгай ..............................................................................................</t>
  </si>
  <si>
    <r>
      <rPr>
        <sz val="10"/>
        <rFont val="Arial"/>
        <family val="2"/>
      </rPr>
      <t>Танайх хатуу хог, хаягдлаа яаж зайлуулдаг вэ?</t>
    </r>
    <r>
      <rPr>
        <i/>
        <sz val="10"/>
        <rFont val="Arial"/>
        <family val="2"/>
      </rPr>
      <t xml:space="preserve">
</t>
    </r>
  </si>
  <si>
    <t>Үйлчилгээний байгууллагаар...................................................................</t>
  </si>
  <si>
    <t>Зөвшөөрөгдсөн цэгт...............................................................................</t>
  </si>
  <si>
    <t>Тогтсон газар байхгүй.............................................................................</t>
  </si>
  <si>
    <r>
      <rPr>
        <sz val="10"/>
        <rFont val="Arial"/>
        <family val="2"/>
      </rPr>
      <t xml:space="preserve">Танай өрхийн гишүүдийн гар, нүүрээ </t>
    </r>
    <r>
      <rPr>
        <b/>
        <u/>
        <sz val="10"/>
        <rFont val="Arial"/>
        <family val="2"/>
      </rPr>
      <t>байнга</t>
    </r>
    <r>
      <rPr>
        <sz val="10"/>
        <rFont val="Arial"/>
        <family val="2"/>
      </rPr>
      <t xml:space="preserve"> угаадаг газрыг үзэж болох уу?</t>
    </r>
    <r>
      <rPr>
        <i/>
        <sz val="10"/>
        <rFont val="Arial"/>
        <family val="2"/>
      </rPr>
      <t xml:space="preserve">
АЖИГЛАСАН БҮГДИЙГ ТЭМДЭГЛЭНЭ.
</t>
    </r>
  </si>
  <si>
    <t>Үзсэн</t>
  </si>
  <si>
    <t>Тогтсон гар угаах газар (тосгуур/цорго)</t>
  </si>
  <si>
    <t>Сууцанд.......................................................................................</t>
  </si>
  <si>
    <t>Хашаа/эргэн тойронд..................................................................</t>
  </si>
  <si>
    <t>Тогтсон гар угаах газаргүй (хувин/сэнжтэй аяга/данх)…..............................................................</t>
  </si>
  <si>
    <t>Үзээгүй</t>
  </si>
  <si>
    <t>Гар угаах газар сууц, хашаа, эргэн тойронд байгаагүй..................................................................</t>
  </si>
  <si>
    <t>Үзүүлэхийг хүсээгүй............................................................................</t>
  </si>
  <si>
    <t>ГАР УГААХ ГАЗАРТ УС БАЙГАА ЭСЭХИЙГ АЖИГЛАНА.
(УСНЫ ЦОРГО, ХУВИН, САВ ЗЭРЭГТ УС БАЙГАА ЭСЭХИЙГ НЯГТАЛНА.)</t>
  </si>
  <si>
    <t>Ус байсан ................................................................................</t>
  </si>
  <si>
    <t>Ус байгаагүй................................................................................</t>
  </si>
  <si>
    <t>ГАР УГААХ ГАЗАРТ САВАН, УГААЛГЫН БОДИС БАЙГАА ЭСЭХИЙГ АЖИГЛАНА.</t>
  </si>
  <si>
    <t>Байсан ......................................................................................</t>
  </si>
  <si>
    <t>Байгаагүй ................................................................................................</t>
  </si>
  <si>
    <t>Танайд гараа угаахдаа хэрэглэдэг саван, угаалгын бодис одоо байна уу?</t>
  </si>
  <si>
    <t>Байгаа ......................................................................................</t>
  </si>
  <si>
    <t>Байхгүй ................................................................................................</t>
  </si>
  <si>
    <t>Та надад түүнийгээ үзүүлж болох уу?</t>
  </si>
  <si>
    <t>Үзүүлсэн  ......................................................................................</t>
  </si>
  <si>
    <t>Үзүүлээгүй ................................................................................................</t>
  </si>
  <si>
    <t>ҮЗҮҮЛСЭН БҮГДИЙГ ДУГУЙЛНА.</t>
  </si>
  <si>
    <t>Шахмал, шингэн саван  ......................................................................................</t>
  </si>
  <si>
    <t>A</t>
  </si>
  <si>
    <t>Ариутгагч/Угаалгын нунтаг (нунтаг/шингэн/шахмал) .......................................</t>
  </si>
  <si>
    <t>B</t>
  </si>
  <si>
    <t>ТҮЛШНИЙ ХЭРЭГЛЭЭ</t>
  </si>
  <si>
    <t>ЭХ ҮҮСВЭРИЙН ДУГААР</t>
  </si>
  <si>
    <t xml:space="preserve">Сүүлийн 12 сард танай өрх /ЭХ ҮҮСВЭР/-ийг хэрэглэсэн үү? </t>
  </si>
  <si>
    <t>Танайх ТҮЛШ-ээ яаж бэлтгэдэг вэ?</t>
  </si>
  <si>
    <t>1. Сүүлийн 12 сард хэдий хэмжээний [НЭР ТӨРӨЛ] худалдан авсан бэ/ бэлтгэсэн бэ?</t>
  </si>
  <si>
    <t>2. Сүүлийн 12 сард хэдий хэмжээний [НЭР ТӨРӨЛ] хэрэглэсэн бэ?</t>
  </si>
  <si>
    <t>Сүүлийн 1 сарын хугацаанд танай өрх [НЭР ТӨРӨЛ]-д хэчнээн төгрөг зарцуулсан бэ?</t>
  </si>
  <si>
    <t>Сүүлийн 12 сарын хугацаанд танай өрх [НЭР ТӨРӨЛ]-д хэчнээн төгрөг зарцуулсан бэ?</t>
  </si>
  <si>
    <r>
      <t>Сүүлийн 12 сарын хугацаанд танай өрхийн</t>
    </r>
    <r>
      <rPr>
        <b/>
        <sz val="10"/>
        <color theme="1"/>
        <rFont val="Arial"/>
        <family val="2"/>
      </rPr>
      <t xml:space="preserve"> бусдаас </t>
    </r>
    <r>
      <rPr>
        <sz val="10"/>
        <color theme="1"/>
        <rFont val="Arial"/>
        <family val="2"/>
      </rPr>
      <t>үнэгүй авч хэрэглэсэн [НЭР ТӨРӨЛ] хэчнээн төгрөг вэ?</t>
    </r>
  </si>
  <si>
    <t>Өөрсдөө бэлтгэдэг</t>
  </si>
  <si>
    <t>Худалдаж авдаг</t>
  </si>
  <si>
    <t>Бэлтгэдэг, худалдаж авдаг</t>
  </si>
  <si>
    <t>Дараагийн эх үүсвэр</t>
  </si>
  <si>
    <t>Биет хэмжээ</t>
  </si>
  <si>
    <t>Түлээний мод, куб.метр</t>
  </si>
  <si>
    <t>Түлээний мод, уут</t>
  </si>
  <si>
    <t>Нүүрс, тонн</t>
  </si>
  <si>
    <t>Нүүрс, килограмм</t>
  </si>
  <si>
    <t>Сайжруулсан түлш, уут</t>
  </si>
  <si>
    <t>Аргал, хөрзөн, тонн</t>
  </si>
  <si>
    <t>Аргал, хөрзөн, килограмм</t>
  </si>
  <si>
    <t>Хийн түлш, литр</t>
  </si>
  <si>
    <t>СУУЦНЫ ТӨЛБӨР</t>
  </si>
  <si>
    <t>НЭР ТӨРЛИЙН ДУГААР</t>
  </si>
  <si>
    <t>Танай өрхөд сүүлийн 12 сарын хугацаанд [НЭР ТӨРӨЛ, ҮЙЛЧИЛГЭЭ]-ний зардал гарсан уу?</t>
  </si>
  <si>
    <r>
      <t xml:space="preserve">Сүүлийн 12 сарын хугацаанд танай өрхийн </t>
    </r>
    <r>
      <rPr>
        <b/>
        <sz val="10"/>
        <color theme="1"/>
        <rFont val="Arial"/>
        <family val="2"/>
      </rPr>
      <t>бусдаас</t>
    </r>
    <r>
      <rPr>
        <sz val="10"/>
        <color theme="1"/>
        <rFont val="Arial"/>
        <family val="2"/>
      </rPr>
      <t xml:space="preserve"> үнэгүй авч зарцуулсан [НЭР ТӨРӨЛ] хэчнээн төгрөг вэ?</t>
    </r>
  </si>
  <si>
    <t>Дараагийн нэр төрөл</t>
  </si>
  <si>
    <t>Халаалт</t>
  </si>
  <si>
    <t>Цэвэр ус</t>
  </si>
  <si>
    <t>Халуун ус</t>
  </si>
  <si>
    <t>Бохир ус</t>
  </si>
  <si>
    <t>Хог хаягдал</t>
  </si>
  <si>
    <t>Талбайн хөлс</t>
  </si>
  <si>
    <t>Бусад (лифт: )</t>
  </si>
  <si>
    <t>Бусад төлбөр (сантехник засвар)</t>
  </si>
  <si>
    <t>Зөөврийн ус</t>
  </si>
  <si>
    <t>Сууц түрээсэлсэний хөлс: Гэр</t>
  </si>
  <si>
    <t>Сууц түрээсэлсэний хөлс: Байшин</t>
  </si>
  <si>
    <t>Сууцны засварын хөлс</t>
  </si>
  <si>
    <t>БҮЛЭГ 10. ӨРХИЙН ЗАРИМ ҮЗҮҮЛЭЛТҮҮД</t>
  </si>
  <si>
    <t>Танайх харилцуур утастай юу?</t>
  </si>
  <si>
    <t>Тийм, суурин утастай.........................................................................</t>
  </si>
  <si>
    <t>Тийм, гар утастай....................................................................................</t>
  </si>
  <si>
    <t>Тийм, суурин ба гар утастай....................................................................</t>
  </si>
  <si>
    <t>Үгүй.......................................................................................................</t>
  </si>
  <si>
    <r>
      <t xml:space="preserve">Танайх </t>
    </r>
    <r>
      <rPr>
        <b/>
        <u/>
        <sz val="10"/>
        <rFont val="Arial"/>
        <family val="2"/>
      </rPr>
      <t>гэртээ</t>
    </r>
    <r>
      <rPr>
        <sz val="10"/>
        <rFont val="Arial"/>
        <family val="2"/>
      </rPr>
      <t xml:space="preserve"> интернеттэй юу?                                         
</t>
    </r>
    <r>
      <rPr>
        <sz val="8"/>
        <rFont val="Arial"/>
        <family val="2"/>
      </rPr>
      <t/>
    </r>
  </si>
  <si>
    <r>
      <t xml:space="preserve">ӨРХИЙН </t>
    </r>
    <r>
      <rPr>
        <i/>
        <u/>
        <sz val="8"/>
        <rFont val="Arial"/>
        <family val="2"/>
      </rPr>
      <t>БҮХ ГИШҮҮД</t>
    </r>
    <r>
      <rPr>
        <i/>
        <sz val="8"/>
        <rFont val="Arial"/>
        <family val="2"/>
      </rPr>
      <t xml:space="preserve"> ЯМАР Ч ЦАГ ХУГАЦААНД АШИГЛАХ БОЛОМЖТОЙ ИНТЕРНЕТИЙН ТӨРЛИЙГ ОЙЛГОНО.</t>
    </r>
  </si>
  <si>
    <t>Тийм ..........................................................................................................</t>
  </si>
  <si>
    <t>Үгүй .....................................................................................................</t>
  </si>
  <si>
    <r>
      <t xml:space="preserve">Танай өрхийн хэдэн гишүүд интернет ашигладаг вэ? 
</t>
    </r>
    <r>
      <rPr>
        <i/>
        <sz val="8"/>
        <rFont val="Arial"/>
        <family val="2"/>
      </rPr>
      <t xml:space="preserve">ХЭРЭВ ХЭН Ч АШИГЛАДАГГҮЙ БОЛ </t>
    </r>
    <r>
      <rPr>
        <b/>
        <i/>
        <sz val="8"/>
        <rFont val="Arial"/>
        <family val="2"/>
      </rPr>
      <t xml:space="preserve">"0" </t>
    </r>
    <r>
      <rPr>
        <i/>
        <sz val="8"/>
        <rFont val="Arial"/>
        <family val="2"/>
      </rPr>
      <t>ГЭЖ ТЭМДЭГЛЭНЭ.</t>
    </r>
  </si>
  <si>
    <r>
      <t>Танай өрхийн хэдэн гишүүн</t>
    </r>
    <r>
      <rPr>
        <b/>
        <u/>
        <sz val="10"/>
        <rFont val="Arial"/>
        <family val="2"/>
      </rPr>
      <t xml:space="preserve"> гар утсаараа</t>
    </r>
    <r>
      <rPr>
        <sz val="10"/>
        <rFont val="Arial"/>
        <family val="2"/>
      </rPr>
      <t xml:space="preserve"> интернет ашигладаг вэ? 
</t>
    </r>
    <r>
      <rPr>
        <i/>
        <sz val="8"/>
        <rFont val="Arial"/>
        <family val="2"/>
      </rPr>
      <t xml:space="preserve">ХЭРЭВ ХЭН Ч АШИГЛАДАГГҮЙ БОЛ </t>
    </r>
    <r>
      <rPr>
        <b/>
        <i/>
        <sz val="8"/>
        <rFont val="Arial"/>
        <family val="2"/>
      </rPr>
      <t xml:space="preserve">"0" </t>
    </r>
    <r>
      <rPr>
        <i/>
        <sz val="8"/>
        <rFont val="Arial"/>
        <family val="2"/>
      </rPr>
      <t>ГЭЖ ТЭМДЭГЛЭНЭ.</t>
    </r>
  </si>
  <si>
    <t>Танай өрх болон өрхийн хэн нэг гишүүн газар өмчилдөг үү, эзэмшдэг үү?</t>
  </si>
  <si>
    <t>Тийм .....................................................................................................</t>
  </si>
  <si>
    <t>Үгүй ......................................................................................................</t>
  </si>
  <si>
    <t>Нийт хэдий хэмжээний газар өмчилж, эзэмшдэг вэ?</t>
  </si>
  <si>
    <r>
      <t>Өмчилсөн газар м</t>
    </r>
    <r>
      <rPr>
        <sz val="10"/>
        <rFont val="Calibri"/>
        <family val="2"/>
      </rPr>
      <t>²</t>
    </r>
  </si>
  <si>
    <t>Эзэмшдэг газар м²</t>
  </si>
  <si>
    <t>МЭДЭЭЛЭЛ ЦУГЛУУЛАГЧ: ОДОО БИ ТАНААС ТАНАЙ ӨРХИЙН АМЬДРАХ ОРЧНЫ ТАЛААР ХЭДЭН АСУУЛТ АСУУЯ.</t>
  </si>
  <si>
    <t>Танай өрх амьдрах орчиндоо [НЭР ТӨРӨЛ]-ийн эрүүл мэндийн суурь үйлчилгээг авах боломжтой юу?</t>
  </si>
  <si>
    <t>A. Яаралтай тусламж, үйлчилгээ авах боломжтой эсэх …………………………………………………………………………………</t>
  </si>
  <si>
    <t>Б. Амбулаторийн үйлчилгээ авах боломжтой эсэх …………………………………………………………………………………</t>
  </si>
  <si>
    <t>В. Эмнэлэгт хэвтэн эмчлүүлэх боломжтой эсэх …………………………………………………………………………………</t>
  </si>
  <si>
    <t>Г. Эмчид үзүүлэх боломжтой эсэх …………………………………………………………………………………</t>
  </si>
  <si>
    <t>Д. Шинжилгээний лаборатори байгаа эсэх …………………………………………………………………………………</t>
  </si>
  <si>
    <t>Е. Рентген шинжилгээний үйлчилгээ байгаа эсэх …………………………………………………………………………………</t>
  </si>
  <si>
    <t xml:space="preserve">Ё. Эрүүл мэндийн урьдчилан сэргийлэх үйлчилгээгээр </t>
  </si>
  <si>
    <t>хангагдах боломжтой эсэх …………………………………………………………………………………</t>
  </si>
  <si>
    <t>Та болон танай өрхийн гишүүдэд архи, согтууруулах ундаа ууж үзсэн хүн байдаг уу?</t>
  </si>
  <si>
    <r>
      <t xml:space="preserve">Та болон танай өрхийн хэн нэгэн гишүүн сүүлийн 30 хоногийн дотор </t>
    </r>
    <r>
      <rPr>
        <b/>
        <sz val="10"/>
        <rFont val="Arial"/>
        <family val="2"/>
      </rPr>
      <t>хамгийн багадаа</t>
    </r>
    <r>
      <rPr>
        <sz val="10"/>
        <rFont val="Arial"/>
        <family val="2"/>
      </rPr>
      <t xml:space="preserve"> </t>
    </r>
    <r>
      <rPr>
        <u/>
        <sz val="10"/>
        <rFont val="Arial"/>
        <family val="2"/>
      </rPr>
      <t>нэг лааз эсвэл шил шар айраг, хундага  дарс, архи, коньяк, виски, ром</t>
    </r>
    <r>
      <rPr>
        <sz val="10"/>
        <rFont val="Arial"/>
        <family val="2"/>
      </rPr>
      <t xml:space="preserve">  зэрэг архи, согтууруулах ундааг хэдэн өдөр уусан бэ?</t>
    </r>
  </si>
  <si>
    <t>Уугаагүй …………………………………………………………………………………</t>
  </si>
  <si>
    <t xml:space="preserve">10-аас бага …………………………………………………………………………………  </t>
  </si>
  <si>
    <t>10, түүнээс олон, 20-оос цөөн …………………………………………………………………………………</t>
  </si>
  <si>
    <t>20, түүнээс олон, 30-аас цөөн …………………………………………………………………………………</t>
  </si>
  <si>
    <t>Өдөр бүр/бараг өдөр бүр …………………………………………………………………………………</t>
  </si>
  <si>
    <t>ХЭРЭВ 1-ЭЭС ОЛОН ХҮН АРХИ, СОГТУУРУУЛАХ УНДАА УУСАН БОЛ СҮҮЛИЙН САРД ХАМГИЙН ОЛОН ӨДӨР УУСАН ӨРХИЙН ГИШҮҮНИЙ ХУВЬД ТООЦОЖ ХАРИУЛТЫГ СОНГОНО.</t>
  </si>
  <si>
    <t>Мэдэхгүй ………………………………………………………….....................</t>
  </si>
  <si>
    <r>
      <t xml:space="preserve">Та амьдардаг орчиндоо ганцаараа алхахад </t>
    </r>
    <r>
      <rPr>
        <u/>
        <sz val="10"/>
        <rFont val="Arial"/>
        <family val="2"/>
      </rPr>
      <t>аюулгүй</t>
    </r>
    <r>
      <rPr>
        <sz val="10"/>
        <rFont val="Arial"/>
        <family val="2"/>
      </rPr>
      <t xml:space="preserve"> байдлыг мэдэрдэг үү?                                     </t>
    </r>
    <r>
      <rPr>
        <i/>
        <sz val="8"/>
        <rFont val="Arial"/>
        <family val="2"/>
      </rPr>
      <t>АЮУЛГҮЙ БАЙДЛЫГ МЭДЭРДЭГ БОЛ "ТИЙМ" ГЭЖ ХАРИУЛНА.</t>
    </r>
  </si>
  <si>
    <t>А. Өдрийн цагаар  ………………………………………………………….....................</t>
  </si>
  <si>
    <t>Б. Оройн цагаар  ………………………………………………………….....................</t>
  </si>
  <si>
    <t>Таны амьдарч буй орчинд гэмт хэрэг/ дээрэм эсвэл хүчирхийлэл, халдлага хэр зэрэг гардаг гэж үздэг вэ?</t>
  </si>
  <si>
    <t>Огт гардагггүй…………………………………………………………………………………</t>
  </si>
  <si>
    <t>Бараг гардаггүй...............................................................................................</t>
  </si>
  <si>
    <t>Хааяа гардаг ...............................................................................................</t>
  </si>
  <si>
    <t>Ер нь гардаг ………………………………………………………………………………..</t>
  </si>
  <si>
    <t>Маш их гардаг …………………………………………………………………………</t>
  </si>
  <si>
    <t xml:space="preserve">Сүүлийн 30 хоногт танай гэр бүлийн хэн нэг гишүүн ажиллаж, амьдарч буй орчиндоо гэмт хэрэг/ дээрэм эсвэл хүчирхийлэл, халдлагад өртсөн үү? </t>
  </si>
  <si>
    <t>Тийм ........................................................................................................</t>
  </si>
  <si>
    <t>Үгүй..........................................................................................................</t>
  </si>
  <si>
    <t>Мэдэхгүй.................................................................................................</t>
  </si>
  <si>
    <t>Татгалзсан...............................................................................................</t>
  </si>
  <si>
    <t>Танай өрхөд сүүлийн 12 сарын хугацаанд дараах аюулт үзэгдэл, осол тохиолдсон уу?</t>
  </si>
  <si>
    <t>Байгалийн аюулт үзэгдэл</t>
  </si>
  <si>
    <t>A. Үер ........................................................................................................</t>
  </si>
  <si>
    <t>Б. Ган гачиг ........................................................................................................</t>
  </si>
  <si>
    <t>В. Зуд ........................................................................................................</t>
  </si>
  <si>
    <t>Г. Газар хөдлөлт ........................................................................................................</t>
  </si>
  <si>
    <t xml:space="preserve">Хүний үйл ажиллагаатай холбоотой осол </t>
  </si>
  <si>
    <t>Д. Бичил уурхайн осол ..........................................................................</t>
  </si>
  <si>
    <t>Е. Усны осол..........................................................................</t>
  </si>
  <si>
    <t>Ё. Тээврийн хэрэгслийн осол ..........................................................................</t>
  </si>
  <si>
    <t>Ж. Гал түймэр ........................................................................................................</t>
  </si>
  <si>
    <t>З. Гоц халдварт өвчин (хүний) ........................................................................................................</t>
  </si>
  <si>
    <t>Л. Гоц халдварт өвчин (малын) ........................................................................................................</t>
  </si>
  <si>
    <t>БҮЛЭГ 11.  УДААН ЭДЭЛГЭЭТЭЙ БАРАА, ЭД ХОГШИЛ</t>
  </si>
  <si>
    <t>ЭД  ХОГШЛЫН ДУГААР</t>
  </si>
  <si>
    <t>ЭД ХОГШЛЫН НЭР</t>
  </si>
  <si>
    <t>Танайд [НЭР ТӨРӨЛ] бий юу?</t>
  </si>
  <si>
    <t>Танайх [НЭР ТӨРӨЛ]-ийг хэдий хугацаагаар хэрэглэж байна вэ?</t>
  </si>
  <si>
    <t>Танайх [НЭР ТӨРӨЛ]-ийг худалдан авах үед хэдэн төгрөг зарцуулсан бэ?</t>
  </si>
  <si>
    <t>Хэрэв та өнөөдөр [НЭР ТӨРӨЛ]-ийг зарах бол хэдэн төгрөгөөр үнэлэх вэ?</t>
  </si>
  <si>
    <r>
      <t xml:space="preserve">БАЙГАА БОЛ ТОО ШИРХЭГИЙГ БИЧНЭ.
БАЙХГҮЙ БОЛ "0" ГЭЖ НӨХНӨ.
 → </t>
    </r>
    <r>
      <rPr>
        <b/>
        <i/>
        <sz val="8"/>
        <rFont val="Arial"/>
        <family val="2"/>
      </rPr>
      <t>ДАРААГИЙН ЭД ХОГШИЛ</t>
    </r>
  </si>
  <si>
    <r>
      <t xml:space="preserve">БАЙГАА БОЛ ТОО ШИРХЭГИЙГ БИЧНЭ.
БАЙХГҮЙ БОЛ "0" ГЭЖ НӨХНӨ.
→ </t>
    </r>
    <r>
      <rPr>
        <b/>
        <i/>
        <sz val="8"/>
        <rFont val="Arial"/>
        <family val="2"/>
      </rPr>
      <t>ДАРААГИЙН ЭД ХОГШИЛ</t>
    </r>
  </si>
  <si>
    <t>НЭГЭЭС ИЛҮҮ ЭД ХОГШИЛТОЙ БОЛ ДУНДАЖ ХУГАЦААГ АВНА.</t>
  </si>
  <si>
    <t xml:space="preserve">НЭГЭЭС ИЛҮҮ ЭД ХОГШИЛТОЙ БОЛ ДУНДАЖ ҮНИЙГ АВНА. МЭДЭХГҮЙ БОЛ "0" ГЭЖ НӨХНӨ.  </t>
  </si>
  <si>
    <t>НЭГЭЭС ИЛҮҮ ЭД ХОГШИЛТОЙ БОЛ ДУНДАЖ ҮНЭЭР АВНА.</t>
  </si>
  <si>
    <t>ГЭР АХУЙН ТӨХӨӨРӨМЖ, ЦАХИЛГААН ХЭРЭГСЭЛ</t>
  </si>
  <si>
    <t>БУСАД ЦАХИЛГААН ХЭРЭГСЭЛ</t>
  </si>
  <si>
    <t>Хөргөгч</t>
  </si>
  <si>
    <t>Радио</t>
  </si>
  <si>
    <t>Тоос сорогч</t>
  </si>
  <si>
    <t>Өнгөт зурагт</t>
  </si>
  <si>
    <t>Угаалгын машин</t>
  </si>
  <si>
    <t>Зурагтын антенн</t>
  </si>
  <si>
    <t>Оёдлын машин</t>
  </si>
  <si>
    <t>МР тоглуулагч</t>
  </si>
  <si>
    <t>Цахилгаан болон хийн зуух</t>
  </si>
  <si>
    <t>СД, ВСД, ДВД тоглуулагч</t>
  </si>
  <si>
    <t>Цахилгаан халаагуур</t>
  </si>
  <si>
    <t>Стерео хөгжим</t>
  </si>
  <si>
    <t>Бага оврын цахилгаан үүсгүүр</t>
  </si>
  <si>
    <t>Видео камер</t>
  </si>
  <si>
    <t>Нарны эрчим хүчний үүсгүүр</t>
  </si>
  <si>
    <t>Зургийн аппарат</t>
  </si>
  <si>
    <t>Салхины эрчим хүчний үүсгүүр</t>
  </si>
  <si>
    <t>Компьютер/Нөүтбүүк</t>
  </si>
  <si>
    <t>Цахилгаан индүү</t>
  </si>
  <si>
    <t>Таблет/Ай-пад</t>
  </si>
  <si>
    <t>Шарах шүүгээ</t>
  </si>
  <si>
    <t>Хэвлэгч</t>
  </si>
  <si>
    <t>Битүү чанагч, будаа агшаагч</t>
  </si>
  <si>
    <t>Утас (ухаалаг)</t>
  </si>
  <si>
    <t>Ус цэвэршүүлэгч</t>
  </si>
  <si>
    <t>Утас (ухаалаг биш)</t>
  </si>
  <si>
    <t xml:space="preserve">Зуух, пийшин </t>
  </si>
  <si>
    <t>Бичил долгионы зуух (пэйч)</t>
  </si>
  <si>
    <t>ӨРХИЙН ТЭЭВРИЙН ХЭРЭГСЭЛ, СУУЦ БОЛОН БУСАД</t>
  </si>
  <si>
    <t>Агааржуулагч</t>
  </si>
  <si>
    <t>ТАВИЛГА</t>
  </si>
  <si>
    <t>Ачааны болон хүнд даацын машин /портер г.м/</t>
  </si>
  <si>
    <t>Уламжлалт загварын ор, модон ор</t>
  </si>
  <si>
    <t>Унтлагын иж бүрдэл</t>
  </si>
  <si>
    <t>Суудлын машин</t>
  </si>
  <si>
    <t>Буйдан</t>
  </si>
  <si>
    <t>Төмөр ор</t>
  </si>
  <si>
    <t>Трактор, комбайн</t>
  </si>
  <si>
    <t>Ханын тавилга</t>
  </si>
  <si>
    <t>Гараж</t>
  </si>
  <si>
    <t>Гал тогооны иж бүрдэл</t>
  </si>
  <si>
    <t>Зуны байшин</t>
  </si>
  <si>
    <t>Хувцасны шүүгээ</t>
  </si>
  <si>
    <t>Модон ширээ</t>
  </si>
  <si>
    <t>Модон авдар</t>
  </si>
  <si>
    <t>Хивс</t>
  </si>
  <si>
    <t>БҮЛЭГ 12.  ӨРХИЙН ХҮНСНИЙ БУС ЗАРДАЛ, ХЭРЭГЛЭЭ</t>
  </si>
  <si>
    <t>ХЭРВЭЭ ӨРХИЙН ГИШҮҮН БУС ХҮНД ӨГӨХӨӨР ХУДАЛДАН АВСАН БОЛ 22801-Т БИЧНЭ.</t>
  </si>
  <si>
    <t>НЭР ТӨРЛИЙН КОД</t>
  </si>
  <si>
    <t>АСУУЛТ (12.01)-ИЙГ БҮХ НЭР ТӨРЛӨӨР АСУУЖ, СҮҮЛИЙН 12 САРЫН ДОТОР ХУДАЛДАН АВСАН ЭСЭХИЙГ ТОДОРХОЙЛЖ, ХУДАЛДАН АВСАН  "ТИЙМ-1" ГЭЖ ХАРИУЛСАН БОЛ ЗӨВХӨН ТУХАЙН НЭР ТӨРЛИЙГ ТОДОТГОН АСУУЛТ (12.02 -12.04)-ЫГ АСУУНА.</t>
  </si>
  <si>
    <t>ХУДАЛДАН АВАЛТ</t>
  </si>
  <si>
    <t>БУСДААС ҮНЭГҮЙ АВСАН</t>
  </si>
  <si>
    <t>Сүүлийн 1 сарын хугацаанд танай өрхийн гишүүд [НЭР ТӨРӨЛ]-ийг худалдан авахад хэчнээн төгрөг зарцуулсан бэ?</t>
  </si>
  <si>
    <t>Сүүлийн 12 сарын хугацаанд танай өрхийн гишүүд [НЭР ТӨРӨЛ]-ийг худалдан авахад хэчнээн төгрөг зарцуулсан бэ?</t>
  </si>
  <si>
    <r>
      <t xml:space="preserve">Сүүлийн 12 сарын хугацаанд танай өрхийн гишүүдийн </t>
    </r>
    <r>
      <rPr>
        <b/>
        <sz val="10"/>
        <rFont val="Arial"/>
        <family val="2"/>
      </rPr>
      <t xml:space="preserve">бусдаас </t>
    </r>
    <r>
      <rPr>
        <sz val="10"/>
        <rFont val="Arial"/>
        <family val="2"/>
      </rPr>
      <t>үнэгүй авсан [НЭР ТӨРӨЛ] хэдэн төгрөг болох вэ?</t>
    </r>
  </si>
  <si>
    <t>Танай өрхийн хэн нэгэн гишүүн дараах нэр төрлийн бүтээгдэхүүнийг өөртөө хэрэглэхээр сүүлийн 12 сарын дотор худалдан авсан уу? Мөн бусдаас үнэгүй авсан уу?</t>
  </si>
  <si>
    <t>Тийм       1</t>
  </si>
  <si>
    <r>
      <t>Үгүй        2  →</t>
    </r>
    <r>
      <rPr>
        <b/>
        <sz val="10"/>
        <rFont val="Arial"/>
        <family val="2"/>
      </rPr>
      <t xml:space="preserve"> Дараагийн нэр төрөл</t>
    </r>
  </si>
  <si>
    <t>Бэлэн хувцас (эрэгтэй, эмэгтэй, хүүхэд)</t>
  </si>
  <si>
    <t>Савхин болон илгэн куртка, дээл</t>
  </si>
  <si>
    <t>Нэхий болон үслэг дээл, шуба</t>
  </si>
  <si>
    <t>Өвлийн пальто, куртка</t>
  </si>
  <si>
    <t>Бусад куртка, пальто, цув, пельник</t>
  </si>
  <si>
    <t>Костюм (хос), пиджак</t>
  </si>
  <si>
    <t>Ноосон болон ноолууран цамц</t>
  </si>
  <si>
    <t xml:space="preserve">Бусад цамц (сорочка, кофт, жинсэн г.м) </t>
  </si>
  <si>
    <t>Монгол дээл</t>
  </si>
  <si>
    <t>Платье, юбка</t>
  </si>
  <si>
    <t>Биеийн тамирын хувцас</t>
  </si>
  <si>
    <t>Малгай, ороолт, алчуур</t>
  </si>
  <si>
    <t>Өмд</t>
  </si>
  <si>
    <t>Футболка</t>
  </si>
  <si>
    <t>Дотуур хувцас (майк, трусы г.м)</t>
  </si>
  <si>
    <t>Унтлагын өмд, цамц, гэрийн болон усны халаад</t>
  </si>
  <si>
    <t>Оймс</t>
  </si>
  <si>
    <t>Дотуур өмд, трико</t>
  </si>
  <si>
    <t>0-2 насны хүүхдийн бүх төрлийн хувцас, өлгий, жижиг эдлэл</t>
  </si>
  <si>
    <t>Бусад эрэгтэй, эмэгтэй хүүхдийн бэлэн хувцас</t>
  </si>
  <si>
    <t>Хэсгийн дүн 20101 - 20119</t>
  </si>
  <si>
    <t xml:space="preserve">Жижиг эдлэл, хэрэгсэл </t>
  </si>
  <si>
    <t xml:space="preserve">Ажлын малгай, төрөл бүрийн бээлий </t>
  </si>
  <si>
    <t>Бүс, мөрөвч, зангиа</t>
  </si>
  <si>
    <t>Нусны алчуур</t>
  </si>
  <si>
    <t>Оёдлын, нэхмэлийн утас</t>
  </si>
  <si>
    <t>Бусад жижиг эдлэл (товч, кноп, цахилгаан гэх мэт)</t>
  </si>
  <si>
    <t>Хэсгийн дүн 20201 - 20205</t>
  </si>
  <si>
    <t>Хувцас цэвэрлэгээ, засвар, оёдол, түрээс</t>
  </si>
  <si>
    <t>Хувцас угаалга, хими цэвэрлэгээ</t>
  </si>
  <si>
    <t>Хувцас будах</t>
  </si>
  <si>
    <t>Хувцасны оёдол, засвар</t>
  </si>
  <si>
    <t>Хувцасны түрээсийн хөлс</t>
  </si>
  <si>
    <t>Хэсгийн дүн 20301 - 20304</t>
  </si>
  <si>
    <t>Гутал, хос</t>
  </si>
  <si>
    <t>Өвлийн гутал</t>
  </si>
  <si>
    <t>Хавар, намрын гутал</t>
  </si>
  <si>
    <t>Ботинк</t>
  </si>
  <si>
    <t>Туфли</t>
  </si>
  <si>
    <t>Сандаль, углааш</t>
  </si>
  <si>
    <t>Спортын гутал</t>
  </si>
  <si>
    <t>Гутал (Монгол болон буриад, эсгий гутал)</t>
  </si>
  <si>
    <t>Бусад гутал</t>
  </si>
  <si>
    <t>0-2 насны хүүхдийн бүх төрлийн гутал</t>
  </si>
  <si>
    <t>Хэсгийн дүн 20401 - 20409</t>
  </si>
  <si>
    <t>Гутал цэвэрлэгээ, засвар, түрээс</t>
  </si>
  <si>
    <t>Гутал засвар</t>
  </si>
  <si>
    <t>Гутал тослуулах, цэвэрлүүлэх</t>
  </si>
  <si>
    <t>Гутлын түрээсийн хөлс</t>
  </si>
  <si>
    <t>Хэсгийн дүн 20501 - 20503</t>
  </si>
  <si>
    <t>Бөс бараа</t>
  </si>
  <si>
    <t>Ноосон даавуу (цэмбэ, одончуу гэх мэт)</t>
  </si>
  <si>
    <t>Эрээн даавуу</t>
  </si>
  <si>
    <t>Торго, хоргой, дурдан</t>
  </si>
  <si>
    <t>Нийлэг даавуу</t>
  </si>
  <si>
    <t>Бусад хувцасны материал (даалимба, цагаан ямбуу, сатин, жигүүн, бор хөвөн, зулхай гэх мэт)</t>
  </si>
  <si>
    <t>Хэсгийн дүн 20601 - 20605</t>
  </si>
  <si>
    <t>Гэр ахуйн тавилга, хэрэгсэл, хивс</t>
  </si>
  <si>
    <t>Гэрийн тавилга хэрэгсэл</t>
  </si>
  <si>
    <t>Мебель ор, модон ор</t>
  </si>
  <si>
    <t>Диван, буйдан, кресль</t>
  </si>
  <si>
    <t>Ханын болон хувцасны шүүгээ</t>
  </si>
  <si>
    <t>Ширээ, сандал</t>
  </si>
  <si>
    <t>Угаалгын өрөөний хэрэгсэл</t>
  </si>
  <si>
    <t>Бусад тавилга, хэрэгсэл (төмөр ор, авдар, гэрэл, чийдэн, уран зураг, баримал, толь, хүүхдийн ор, манеж гэх мэт)</t>
  </si>
  <si>
    <t>Тавилга хэрэгслийн засвар, үйлчилгээний хөлс</t>
  </si>
  <si>
    <t>Хивс болон шалны бүрээс</t>
  </si>
  <si>
    <t>Дрож, хивсэнцэр</t>
  </si>
  <si>
    <t>Шалны хулдаас</t>
  </si>
  <si>
    <t>Бусад шалны бүрээс</t>
  </si>
  <si>
    <t>Хивс болон шалны бүрээсийн засвар, үйлчилгээний хөлс</t>
  </si>
  <si>
    <t>Хэсгийн дүн 20701 - 20714</t>
  </si>
  <si>
    <t>Гэр ахуйн оёмол, нэхмэл эдлэл</t>
  </si>
  <si>
    <t>Хөшиг</t>
  </si>
  <si>
    <t>Орны цагаан хэрэглэл</t>
  </si>
  <si>
    <t>Орны бүтээлэг</t>
  </si>
  <si>
    <t>Нүүр, гарын алчуур</t>
  </si>
  <si>
    <t>Ванны алчуур</t>
  </si>
  <si>
    <t>Ширээний бүтээлэг</t>
  </si>
  <si>
    <t>Бусад оёмол, нэхмэл, даавуун эдлэл</t>
  </si>
  <si>
    <t>Гэр ахуйн оёмол, нэхмэл эдлэлийн засвар, үйлчилгээний хөлс</t>
  </si>
  <si>
    <t>Хэсгийн дүн 20801 - 20808</t>
  </si>
  <si>
    <t>Гэр ахуйн цахилгаан хэрэгсэл</t>
  </si>
  <si>
    <t>Гэр ахуйн удаан эдэлгээт цахилгаан хэрэгсэл</t>
  </si>
  <si>
    <t>Хөргөгч, хөлдөөгч</t>
  </si>
  <si>
    <t>Цахилгаан халаагуур, тень</t>
  </si>
  <si>
    <t>Цахилгаан үүсгүүр (нар, салхины эрчим хүчний үүсгүүр, бага оврын цахилгаан үүсгүүр)</t>
  </si>
  <si>
    <t>Цахилгаан сэнс</t>
  </si>
  <si>
    <t>Цахилгаан пийшин (плитка)</t>
  </si>
  <si>
    <t>Сейф</t>
  </si>
  <si>
    <t>Бусад гэр ахуйн удаан эдэлгээт цахилгаан хэрэгсэл (агааржуулагч гэх мэт)</t>
  </si>
  <si>
    <t>Гэр ахуйн удаан эдэлгээт цахилгаан хэрэгслийн засвар, үйлчилгээний хөлс</t>
  </si>
  <si>
    <t>Гэр ахуйн жижиг цахилгаан хэрэгсэл</t>
  </si>
  <si>
    <t>Будаа агшаагч</t>
  </si>
  <si>
    <t>Ус буцалгагч, цахилгаан данх</t>
  </si>
  <si>
    <t>Бусад гэр ахуйн жижиг цахилгаан хэрэгсэл (кофе чанагч, бутлагч, талх шарагч гэх мэт)</t>
  </si>
  <si>
    <t>Гэр ахуйн жижиг цахилгаан хэрэгслийн засвар, үйлчилгээний хөлс</t>
  </si>
  <si>
    <t>Хэсгийн дүн 20901 - 20917</t>
  </si>
  <si>
    <t>Гэр ахуйн шилэн эдлэл, сав суулга, хэрэгсэл</t>
  </si>
  <si>
    <t>Шилэн сав, суулга</t>
  </si>
  <si>
    <t>Шаазан эдлэл, аяга</t>
  </si>
  <si>
    <t>Халуун сав</t>
  </si>
  <si>
    <t>Хутга, халбага, сэрээ</t>
  </si>
  <si>
    <t>Хувин, сав суулга: Хуванцар</t>
  </si>
  <si>
    <t>Хувин, сав суулга: Төмөр, ширэм</t>
  </si>
  <si>
    <t>Бусад сав суулга</t>
  </si>
  <si>
    <t xml:space="preserve">Гэр ахуйн шилэн эдлэл, сав суулга, хэрэгслийн засвар, үйлчилгээний хөлс </t>
  </si>
  <si>
    <t>Хэсгийн дүн 21001 - 21008</t>
  </si>
  <si>
    <t xml:space="preserve">Гэр ахуй, цэцэрлэгийн зориулалттай хөдөлмөрийн багаж хэрэгсэл </t>
  </si>
  <si>
    <t xml:space="preserve">Моторт багаж хэрэгсэл </t>
  </si>
  <si>
    <t>Хөдөлмөрийн зориулалттай моторт багаж хэрэгсэл (цахилгаан хөрөө, цахилгаан харуул, цахилгаан дрилл гэх мэт)</t>
  </si>
  <si>
    <t>Хөдөлмөрийн зориулалттай моторт багаж хэрэгслийн засвар үйлчилгээ, түрээсийн хөлс</t>
  </si>
  <si>
    <t>Гар ажиллагаатай багаж хэрэгсэл</t>
  </si>
  <si>
    <t>Хөдөлмөрийн зориулалттай гар ажиллагаатай багаж хэрэгсэл (гар хөрөө, гар харуул, дрилл, хүрз, сэрээ, тармуур, алх, бахь гэх мэт)</t>
  </si>
  <si>
    <t>Дагалдах хөдөлмөрийн багаж хэрэгсэл</t>
  </si>
  <si>
    <t>Дэнлүү</t>
  </si>
  <si>
    <t>Тэжээлийн зай</t>
  </si>
  <si>
    <t>Бусад гэр ахуйн зориулалттай хөдөлмөрийн багаж хэрэгсэл (гар чийдэн, хонх, хаалганы хэрэгсэл, дохиоллын хэрэгсэл, цахилгаан жижиг хэрэгсэл/разетка, унтраалга, цахилгаан утас/ гэх мэт)</t>
  </si>
  <si>
    <t>Хөдөлмөрийн зориулалттай гар ажиллагаатай багаж хэрэгслийн засвар, үйлчилгээ, түрээсийн хөлс</t>
  </si>
  <si>
    <t>Хэсгийн дүн 21101 - 21107</t>
  </si>
  <si>
    <t>Гэр ахуйн цэвэрлэгээний болон бусад жижиг бараа, гэрийн үйлчилгээ</t>
  </si>
  <si>
    <t>Гэр ахуйн цэвэрлэгээний болон бусад жижиг бараа</t>
  </si>
  <si>
    <t>Эдийн саван</t>
  </si>
  <si>
    <t>Угаалгын нунтаг</t>
  </si>
  <si>
    <t>Шүдэнз</t>
  </si>
  <si>
    <t>Лаа</t>
  </si>
  <si>
    <t>Гутлын тос, өнгөлөгч</t>
  </si>
  <si>
    <t>Ариутгалын бодис</t>
  </si>
  <si>
    <t>Бусад цэвэрлэгээний материал</t>
  </si>
  <si>
    <t>Хогийн шүүр</t>
  </si>
  <si>
    <t>Хогийн тосгуур</t>
  </si>
  <si>
    <t>Сойз зүлгүүр</t>
  </si>
  <si>
    <t>Цавуу, скоч</t>
  </si>
  <si>
    <t>Бусад гэр ахуйн хэрэглээний эд зүйл (хувцасны өлгүүр, оёдол болон нэхмэлийн зүү, хадаас, отвёрка, гайка, эрэг, шураг гэх мэт)</t>
  </si>
  <si>
    <t>Гэрийн үйлчилгээ:</t>
  </si>
  <si>
    <t>Гэрийн үйлчлэгч авч ажиллуулсаны хөлс</t>
  </si>
  <si>
    <t>Ариутгал, халдваргүйжүүлэлтийн зардал, гэр ахуйн хогшил, эдлэлийн түрээсийн хөлс</t>
  </si>
  <si>
    <t>Гэр ахуйн оёмол, даавуун, нэхмэл эдлэл, хивсний цэвэрлэгээ, угаалга, будагны зардал</t>
  </si>
  <si>
    <t>Хэсгийн дүн 21201 - 21215</t>
  </si>
  <si>
    <t>Эм, тариа, эмнэлгийн үйлчилгээ, хэрэгсэл</t>
  </si>
  <si>
    <t xml:space="preserve">Эм тариа, эрүүл мэндийн бүтээгдэхүүн </t>
  </si>
  <si>
    <t>Эм, витамин болон бусад эм бэлдмэл (ургамлын найрлагатай эм гэх мэт)</t>
  </si>
  <si>
    <t>Тариа, вакцин</t>
  </si>
  <si>
    <t>Жирэмсний тест, бэлгэвч, ерөндөг, шархны лент, халууны шил, шприц гэх мэт</t>
  </si>
  <si>
    <t>Харааны шил, линз</t>
  </si>
  <si>
    <t>Бусад хэрэгсэл (сонсголын аппарат, хиймэл эрхтний хэрэгсэл, тэргэнцэр гэх мэт)</t>
  </si>
  <si>
    <t>Засвар, үйлчилгээний хөлс (хиймэл эрхтний хэрэгсэл, тэргэнцэр, сонсголын аппарат, харааны шил гэх мэт )</t>
  </si>
  <si>
    <t>Амбулаторын үйлчилгээ</t>
  </si>
  <si>
    <t>Амбулаторын үзлэг</t>
  </si>
  <si>
    <t>Шүдний эмчилгээ</t>
  </si>
  <si>
    <t>Бусад үйлчилгээ (тариа хийлгэх, шинжилгээ өгөх, эхо, рентген гэх мэт)</t>
  </si>
  <si>
    <t>Эмнэлэгт хэвтэж эмчлүүлсэн</t>
  </si>
  <si>
    <t>Хэсгийн дүн 21301 - 21310</t>
  </si>
  <si>
    <t>Хувийн зориулалтын тээврийн хэрэгслийн үйл ажиллагаа</t>
  </si>
  <si>
    <t>Тээврийн хэрэгсэл:</t>
  </si>
  <si>
    <t>Автобус, ачааны болон хүнд даацын машин</t>
  </si>
  <si>
    <t>Ердийн хөсөг (тэрэг ... )</t>
  </si>
  <si>
    <t>Тээврийн хэрэгслийн сэлбэг, засвар, үйлчилгээ</t>
  </si>
  <si>
    <t>Автомашины дугуй</t>
  </si>
  <si>
    <t>Автомашины сэлбэг хэрэгсэл</t>
  </si>
  <si>
    <t>Бензин, дизель түлш</t>
  </si>
  <si>
    <t>Бусад шатах, тослох материал</t>
  </si>
  <si>
    <t>Тээврийн хэрэгслийн засвар, үйлчилгээ, хөлс</t>
  </si>
  <si>
    <t>Техникийн үзлэг, оношилгоо</t>
  </si>
  <si>
    <t>Гаражийн түрээс</t>
  </si>
  <si>
    <t>Бусад (зам гүүр ашигласны төлбөр, жолооны үнэмлэх, тээврийн хэрэгсэл түрээсэлсний төлбөр гэх мэт)</t>
  </si>
  <si>
    <t>Тээвэр, шуудангийн үйлчилгээ</t>
  </si>
  <si>
    <t>Автобус, троллейбусны зардал</t>
  </si>
  <si>
    <t>Таксины зардал: Хот дотор</t>
  </si>
  <si>
    <t>Авто замын зорчигч тээвэр: Хот хооронд (автобус, микроавтобус, фургон, такси гэх мэт)</t>
  </si>
  <si>
    <t>Авто замын ачаа тээвэр: Хот дотор, хот хооронд</t>
  </si>
  <si>
    <t>Төмөр замын зорчигч тээвэр: Дотоодын</t>
  </si>
  <si>
    <t>Төмөр замын зорчигч тээвэр: Олон улсын</t>
  </si>
  <si>
    <t>Төмөр замын ачаа тээвэр</t>
  </si>
  <si>
    <t>Агаарын зорчигч тээвэр: Дотоодын</t>
  </si>
  <si>
    <t>Агаарын зорчигч тээвэр: Олон улсын</t>
  </si>
  <si>
    <t>Агаарын тээврийн ачааны зардал</t>
  </si>
  <si>
    <t>Усан замаар зорчсон болон ачаа тээврийн зардал</t>
  </si>
  <si>
    <t>Бусад тээвэр</t>
  </si>
  <si>
    <t>Шуудангийн хүргэлт, захидал, илгээмжийн үйлчилгээ</t>
  </si>
  <si>
    <t>Хэсгийн дүн 21401 - 21426</t>
  </si>
  <si>
    <t>Харилцаа холбоо</t>
  </si>
  <si>
    <t>Харилцаа холбооны тоног төхөөрөмж</t>
  </si>
  <si>
    <t>Суурин утас, гар утас, факсын аппарат</t>
  </si>
  <si>
    <t>Суурин утас, гар утас, факсын аппаратын засвар, үйлчилгээний хөлс</t>
  </si>
  <si>
    <t>Харилцаа холбооны үйлчилгээ</t>
  </si>
  <si>
    <t>Хот хооронд болон олон улсын яриа</t>
  </si>
  <si>
    <t>Суурин утасны төлбөр</t>
  </si>
  <si>
    <t>Гар утасны хэрэглээний төлбөр</t>
  </si>
  <si>
    <t>Ярианы карт</t>
  </si>
  <si>
    <t>Интернетийн үйлчилгээний хөлс</t>
  </si>
  <si>
    <t>Бусад харилцаа холбооны үйлчилгээ (телеграф, телекс, факсын үйлчилгээний төлбөр, суурин утас, факсын аппаратын түрээсийн төлбөр, аппарат төхөөрөмж суурилуулахад төлсөн төлбөр гэх мэт)</t>
  </si>
  <si>
    <t>Мэдээлэл боловсруулах тоног төхөөрөмж</t>
  </si>
  <si>
    <t>Суурин болон зөөврийн компьютер, таблет</t>
  </si>
  <si>
    <t>Бусад мэдээлэл боловсруулах тоног төхөөрөмж (принтер, сканер, дэлгэц, проектер, модем, рутер, компьютерийн гар, хулгана, тооны машин)</t>
  </si>
  <si>
    <t>Дуу, дүрс хүлээн авах, бичих, хуулбарлах тоног төхөөрөмж, бусад хэрэгсэл</t>
  </si>
  <si>
    <t>Радио хүлээн авагч</t>
  </si>
  <si>
    <t>Магнитофон, систем хөгжим, видео тоглуулагч</t>
  </si>
  <si>
    <t>Аудио болон видео хуурцаг, CD</t>
  </si>
  <si>
    <t>Фото зургийн хальс</t>
  </si>
  <si>
    <t>Бусад (компьютерийн эд анги, флаш, USB, утасны цэнэглэгч, power bank, хар цагаан зурагт гэх мэт)</t>
  </si>
  <si>
    <t>Харилцаа холбооны тоног төхөөрөмжийн засвар, үйлчилгээний хөлс</t>
  </si>
  <si>
    <t>Хэсгийн дүн 21501 - 21518</t>
  </si>
  <si>
    <t>Чөлөөт цаг, соёл, спорт</t>
  </si>
  <si>
    <t>Гэрэл зураг, кино зургийн тоног төхөөрөмж, оптик багаж</t>
  </si>
  <si>
    <t>Дуран</t>
  </si>
  <si>
    <t>Бусад гэрэл зураг, кино зургийн тоног төхөөрөмж, оптик багаж, тоног төхөөрөмж</t>
  </si>
  <si>
    <t>Чөлөөт цагт зориулсан удаан эдэлгээт хэрэгсэл</t>
  </si>
  <si>
    <t xml:space="preserve">Биллиардын ширээ </t>
  </si>
  <si>
    <t>Шатар, хөлөгт тоглоом</t>
  </si>
  <si>
    <t>Хүүхэлдэй</t>
  </si>
  <si>
    <t>Тоглоомон машин</t>
  </si>
  <si>
    <t>Өрдөг эвлүүлдэг болон цахилгаан тоглоом</t>
  </si>
  <si>
    <t>Бусад тоглоом, чимэглэл (хөзөр гэх мэт)</t>
  </si>
  <si>
    <t>Тоглоомтой хуурцаг, CD</t>
  </si>
  <si>
    <t>Ангийн буу</t>
  </si>
  <si>
    <t>Амралт, чөлөөт цагт зориулсан бусад бараа (аялал, зугаалгаар явахад зориулсан хэрэгсэл /завь, дельтаплан гэх мэт/, хөгжмийн зэмсэг /гитар, төгөлдөр хуур гэх мэт/, майхан, цуглуулга /марк-цуглуулга гэх мэт/, спортын хэрэгсэл /цана, чарга гэх мэт/)</t>
  </si>
  <si>
    <t>Цэцэрлэгт хүрээлэнгийн бүтээгдэхүүн болон гэрийн тэжээвэр амьтад</t>
  </si>
  <si>
    <t>Цэцэрлэгт хүрээлэнгийн ургамал, цэцэг</t>
  </si>
  <si>
    <t>Шинэ жилийн гацуур мод</t>
  </si>
  <si>
    <t>Гэрийн тэжээвэр амьтад</t>
  </si>
  <si>
    <t>Гэрийн тэжээвэр амьтдын хоол хүнс</t>
  </si>
  <si>
    <t>Гэрийн тэжээвэр амьтдын байр, уяа, сав хэрэгсэл</t>
  </si>
  <si>
    <t>Гэрийн тэжээвэр амьтадтай холбоотой үйлчилгээ (асаргаа, эмчилгээ гэх мэт)</t>
  </si>
  <si>
    <t>Чөлөөт цаг болон соёлын үйлчилгээ</t>
  </si>
  <si>
    <t>Спортын курс, дугуйлангийн төлбөр, спортын хэрэгсэл түрээсэлсний хөлс</t>
  </si>
  <si>
    <t>Үзвэрийн хөлс (кино, жүжиг, концерт, музей)</t>
  </si>
  <si>
    <t>Тоглоомын газруудаар үйлчлүүлсэн хөлс, сугалаа, хонжворт тоглоом</t>
  </si>
  <si>
    <t>Радио, телевизийн хураамж (кабелийн ТВ)</t>
  </si>
  <si>
    <t>Фото зургийн хальс угаалгах, цаасан дээр буулгах</t>
  </si>
  <si>
    <t>Гэрэл зураг, кино зургийн хэрэгсэл, оптик багаж хэрэгслийн засвар, түрээс</t>
  </si>
  <si>
    <t>Ном, сонин, бичгийн хэрэгсэл</t>
  </si>
  <si>
    <t>Сонин, сэтгүүл</t>
  </si>
  <si>
    <t>Дэвтэр</t>
  </si>
  <si>
    <t>Үзэг, бал</t>
  </si>
  <si>
    <t>Харандаа</t>
  </si>
  <si>
    <t>Ном, толь бичиг</t>
  </si>
  <si>
    <t>Бичгийн цаас</t>
  </si>
  <si>
    <t>Бусад хэвлэмэл зүйлс (ил захидал, хуанли гэх мэт)</t>
  </si>
  <si>
    <t>Бичгийн бусад хэрэгсэл (бэх, баллуур, бичгийн хавтас гэх мэт)</t>
  </si>
  <si>
    <t>Амралт, аялал, жуулчлал</t>
  </si>
  <si>
    <t>Амралт, аялал, жуулчлалын багц үйлчилгээ</t>
  </si>
  <si>
    <t>Хэсгийн дүн 21601 - 21634</t>
  </si>
  <si>
    <t>Сургалтын төлбөр: Ясли, цэцэрлэгийн</t>
  </si>
  <si>
    <t>Сургалтын төлбөр: Бага сургуулийн</t>
  </si>
  <si>
    <t>Сургалтын төлбөр: Насанд хүрэгчдийн бичиг үсэгт сурсан</t>
  </si>
  <si>
    <t>Сургалтын төлбөр: Ерөнхий боловсрол, Мэргэжлийн тусгай дунд сургуулийн</t>
  </si>
  <si>
    <t>Сургалтын төлбөр: Дээд боловсролын</t>
  </si>
  <si>
    <t>Сургалтын төлбөр: Боловсролын бусад төрлийн сургалтын үйлчилгээ (курс, дамжаа гэх мэт)</t>
  </si>
  <si>
    <t>Жолооны курс</t>
  </si>
  <si>
    <t>Хэсгийн дүн 21701 - 21707</t>
  </si>
  <si>
    <t>Зочид буудал, дотуур байр, зоогийн газар</t>
  </si>
  <si>
    <t>Зоогийн газар, кафе, үүнтэй ижил зэрэглэлийн үйлчилгээний газар</t>
  </si>
  <si>
    <t>Цайны газар, гуанз</t>
  </si>
  <si>
    <t>Зочид буудлын хөлс</t>
  </si>
  <si>
    <t>Амралтын газрын байрны хөлс</t>
  </si>
  <si>
    <t>Сургуулийн дотуур байр</t>
  </si>
  <si>
    <t>Хэсгийн дүн 21801 - 21805</t>
  </si>
  <si>
    <t>Хувь хүнд хандсан үйлчилгээ</t>
  </si>
  <si>
    <t>Шүдний сойз</t>
  </si>
  <si>
    <t>Шүдний оо</t>
  </si>
  <si>
    <t>Гар нүүрийн саван</t>
  </si>
  <si>
    <t>Ариун цэврийн цаас</t>
  </si>
  <si>
    <t>Ариун цэврийн хэрэглэл/дамск</t>
  </si>
  <si>
    <t>Үсчин, гоо сайхан:</t>
  </si>
  <si>
    <t xml:space="preserve">Үс засуулах </t>
  </si>
  <si>
    <t>Гоо сайхны үйлчилгээ (массаж, саун, халуун ус, гар, хөлийн хумс засах гэх мэт)</t>
  </si>
  <si>
    <t>Гоо сайхны зориулалттай цахилгаан хэрэгсэл:</t>
  </si>
  <si>
    <t>Гоо сайхны аппарат, үсний сэнс, үсний машин, сахлын машин гэх мэт гоо сайхны зориулалттай цахилгаан хэрэгсэл</t>
  </si>
  <si>
    <t>Гоо сайхны зориулалттай цахилгаан хэрэгслийн засвар, үйлчилгээний хөлс</t>
  </si>
  <si>
    <t>Гоо сайхны хэрэгцээнд зориулсан бусад зүйлс:</t>
  </si>
  <si>
    <t>Татуурга</t>
  </si>
  <si>
    <t>Ариун цэврийн бусад хэрэгсэл (сам, бигуди, хумс засагч, жин хэмжигч гэх мэт)</t>
  </si>
  <si>
    <t>Оо энгэсэг</t>
  </si>
  <si>
    <t>Сүрчиг</t>
  </si>
  <si>
    <t>Шампунь</t>
  </si>
  <si>
    <t>Гоо сайхны бусад бүтээгдэхүүн (уруулын будаг, хумсны хэрэглэл, лосьон гэх мэт)</t>
  </si>
  <si>
    <t>Хэсгийн дүн 21901 - 21915</t>
  </si>
  <si>
    <t>Хувь хүний үнэт зүйл, хэрэглэл</t>
  </si>
  <si>
    <t>Хувь хүний үнэт эдлэл:</t>
  </si>
  <si>
    <t>Үнэт эдлэл</t>
  </si>
  <si>
    <t>Бүх төрлийн цаг</t>
  </si>
  <si>
    <t>Дээрх ангид нэр заагдаагүй хэрэглэл:</t>
  </si>
  <si>
    <t>Чемодан</t>
  </si>
  <si>
    <t>Цүнх</t>
  </si>
  <si>
    <t>Хэтэвч</t>
  </si>
  <si>
    <t>Хүүхдийн тэрэг, сандал</t>
  </si>
  <si>
    <t>Гаанс, асаагуур, үнсний сав</t>
  </si>
  <si>
    <t>Нарны шил, шүхэр</t>
  </si>
  <si>
    <t>Шашин болон зан үйлийн тэмдэглэлт өдөрт зориулсан шашны эд зүйлс</t>
  </si>
  <si>
    <t>Оршуулганд зориулсан хэрэглэл (авс, чулуу гэх мэт)</t>
  </si>
  <si>
    <t>Дээрх зүйлсийн засвар, үйлчилгээний хөлс</t>
  </si>
  <si>
    <t>Хэсгийн дүн 22001 - 22011</t>
  </si>
  <si>
    <t>Нийгмийн хамгааллын үйлчилгээ</t>
  </si>
  <si>
    <t>Хүүхэд, өндөр настан, тахир дутуу хүмүүсийг асрах үйлчилгээний төлбөр</t>
  </si>
  <si>
    <t>Хэсгийн дүн 22100</t>
  </si>
  <si>
    <t>Даатгал</t>
  </si>
  <si>
    <t>Эрүүл мэндийн даатгал</t>
  </si>
  <si>
    <t>Тээврийн хэрэгслийн даатгал</t>
  </si>
  <si>
    <t>Орон сууцны даатгал</t>
  </si>
  <si>
    <t>Бусад даатгал (амь болон бусад даатгал)</t>
  </si>
  <si>
    <t>Хэсгийн дүн 22201 - 22204</t>
  </si>
  <si>
    <t>Санхүүгийн үйлчилгээ</t>
  </si>
  <si>
    <t>Санхүүгийн зөвлөгөөний төлбөр</t>
  </si>
  <si>
    <t>Банк болон санхүүгийн бусад байгууллагаар үйлчлүүлсэн төлбөр</t>
  </si>
  <si>
    <t>Хэсгийн дүн 22301 - 22302</t>
  </si>
  <si>
    <t>Бусад үйлчилгээ</t>
  </si>
  <si>
    <t>Гэрлэсэн, төрсөн, нас барсан зэрэг албаны бичиг баримтын төлбөр</t>
  </si>
  <si>
    <t>Өмч хөрөнгө худалдан авах, борлуулахтай холбогдон гарах зардал</t>
  </si>
  <si>
    <t>Хуулийн зөвлөгөө, хөдөлмөр зуучлах албаны үйлчилгээний хөлс</t>
  </si>
  <si>
    <t>Лизингийн үйлчилгээний хөлс</t>
  </si>
  <si>
    <t>Бусад үйлчилгээ (зар, хувийн мөрдөгч, бичиг баримт хувилах гэх мэт)</t>
  </si>
  <si>
    <t>Хэсгийн дүн 22401 - 22405</t>
  </si>
  <si>
    <t>Барилгын материал</t>
  </si>
  <si>
    <t>Ханын цаас, рулон, боодол</t>
  </si>
  <si>
    <t>Тосон будаг, эмульс</t>
  </si>
  <si>
    <t>Цемент</t>
  </si>
  <si>
    <t>Шил</t>
  </si>
  <si>
    <t>Бусад материал</t>
  </si>
  <si>
    <t>Хэсгийн дүн 22501 - 22506</t>
  </si>
  <si>
    <t>Сууц, сууцны удаан эдэлгээт бараатай холбоотой зардал</t>
  </si>
  <si>
    <t>Орон сууц</t>
  </si>
  <si>
    <t>Байшин</t>
  </si>
  <si>
    <t>Гэр (иж бүрэн)</t>
  </si>
  <si>
    <t>Гэрийн мод</t>
  </si>
  <si>
    <t>Гэрийн бүрээс</t>
  </si>
  <si>
    <t>Хашаа</t>
  </si>
  <si>
    <t xml:space="preserve">Бусад сууц, сууцны удаан эдэлгээт бараа (зуух, пийшин гэх мэт) </t>
  </si>
  <si>
    <t>Хэсгийн дүн 22601 - 22607</t>
  </si>
  <si>
    <t>Татвар хураамж</t>
  </si>
  <si>
    <t>Хүн амын орлогын албан татвар</t>
  </si>
  <si>
    <t>Малын татвар</t>
  </si>
  <si>
    <t>Газрын татвар</t>
  </si>
  <si>
    <t>Бусад татвар</t>
  </si>
  <si>
    <t>Хэсгийн дүн 22701 - 22704</t>
  </si>
  <si>
    <t>Бусдад өгсөн бэлэг, тусламж, баяр ёслолын зардал</t>
  </si>
  <si>
    <t>Хувь хүнд өгсөн бэлэг, тусламж, хандив, шилжүүлэг</t>
  </si>
  <si>
    <t>Хуримын зардал</t>
  </si>
  <si>
    <t>Шинэ жилийн баяр тэмдэглэхэд гарсан зардал</t>
  </si>
  <si>
    <t>Цагаан сар тэмдэглэхэд гарсан зардал</t>
  </si>
  <si>
    <t>Төрсөн өдөр тэмдэглэхэд гарсан зардал</t>
  </si>
  <si>
    <t>Бусад баяр ёслолын зардал</t>
  </si>
  <si>
    <t>Сүм хийдэд</t>
  </si>
  <si>
    <t>Бусад бэлэг, хандив, тусламж</t>
  </si>
  <si>
    <t>Хэсгийн дүн 22801 - 22808</t>
  </si>
  <si>
    <r>
      <t xml:space="preserve">Зээл авах шаардлага хангаагүйгээс зээлээ авч чадаагүй тохиолдол гарсан уу? 
</t>
    </r>
    <r>
      <rPr>
        <i/>
        <sz val="8"/>
        <rFont val="Arial"/>
        <family val="2"/>
      </rPr>
      <t>ХЭРЭВ БИЗНЕС ХИЙХ ЗОРИЛГООР ЗЭЭЛ АВАХ ГЭЖ ОРОЛДСОН БОЛ ОРОХГҮЙ.</t>
    </r>
  </si>
  <si>
    <t>Үндэсний статистикийн хорооны даргын 2024 оны 01 дүгээр</t>
  </si>
  <si>
    <t>сарын … -ний өдрийн …/... дугаар тушаалын I хавсралтаар батлав.</t>
  </si>
  <si>
    <t xml:space="preserve">Хөгжлийн бэрхшээл-тэй иргэний тэтгэвэр              </t>
  </si>
  <si>
    <t xml:space="preserve">Хөдөлмөр-ийн чадвар түр алдсаны тэтгэмж </t>
  </si>
  <si>
    <t>Булцуут ургамал (цэцэгт байцаа, чинжүү, хулуу г.м)</t>
  </si>
  <si>
    <t>Навчит ургамал (яншуй, бууцай, салатны навч г.м)</t>
  </si>
  <si>
    <t>Бусад (арвай, овъёос, хөх тариа г.м)</t>
  </si>
  <si>
    <t>(9.41-9.43)-Р АСУУЛТАД ТАНАЙ ӨРХӨД ХАМААРАЛТАЙ БҮХ СУУЦНЫ ХУВЬД БОДОЖ ХАРИУЛНА УУ.</t>
  </si>
  <si>
    <t>ШИЛЖҮҮЛГИЙН ДУГААР</t>
  </si>
  <si>
    <t xml:space="preserve">БОЛОВСРОЛЫН ЗОРИУЛАЛТААР /СУРГАЛТЫН ТӨЛБӨРӨӨС БУСАД ЗАРДАЛ/ АВСАН БЭЛЭГ, ТУСЛАМЖИЙГ ЭНД ОРУУЛАХ БӨГӨӨД БУЦААЖ ТӨЛӨХ МӨНГӨН БОЛОН МӨНГӨН БУС ТУСЛАМЖИЙГ ЭНД ОРУУЛАХГҮЙ. </t>
  </si>
  <si>
    <t>Бэлэг, тусламж, хандив шилжүүлэгч-ийн хүйсийг хэлнэ үү?</t>
  </si>
  <si>
    <t>МЭДЭХГҮЙ БОЛ "98" ГЭЖ НӨХНӨ ҮҮ.</t>
  </si>
  <si>
    <t>БҮЛЭГ 1 БУЮУ ӨРХИЙН АМ БҮЛИЙН БАЙДАЛ БҮЛЭГТ БҮРТГЭГДСЭН ХҮМҮҮС БАЙНА.</t>
  </si>
  <si>
    <t>Танай өрхийн хэн гэдэг гишүүн бусдаас бэлэг, тусламж, хандив хүлээн авсан бэ?</t>
  </si>
  <si>
    <t>ӨРХӨД ИРҮҮЛСЭН ШИЛЖҮҮЛЭГ БҮРИЙН ХУВЬД ТУС ТУСАД НЬ САЛГАЖ БҮРТГЭНЭ.</t>
  </si>
  <si>
    <t>Байгууллага</t>
  </si>
  <si>
    <t>МЭДЭХГҮЙ БОЛ "0098" ГЭЖ НӨХНӨ ҮҮ.</t>
  </si>
  <si>
    <t>Сүүлийн 12 сард танай өрхийн гишүүдэд гадаадаас эсвэл Монголд байгаа хувь хүн, хамаатан, найз нөхөд, тусламжийн байгууллагаас мөнгөн болон мөнгөн бус хэлбэрээр бэлэг, тусламж, хандив илгээсэн үү?</t>
  </si>
  <si>
    <t xml:space="preserve">Танай өрхөд бэлэг, тусламж, хандив хаанаас ирсэн бэ? Байгууллагаас уу эсвэл хувь хүн үү?  </t>
  </si>
  <si>
    <t xml:space="preserve">Гадаадад: </t>
  </si>
  <si>
    <t>Түр хугацаагаар</t>
  </si>
  <si>
    <t>ШИЛЖҮҮЛЭГЧ НЬ ГАДААДАД АМЬДАРДАГ БУЮУ 5.53-Р АСУУЛТАД "5" ГЭЖ ХАРИУЛСНЫГ  ЭСЭХИЙГ ШАЛГА.</t>
  </si>
  <si>
    <r>
      <t xml:space="preserve">Бэлэг, тусламж, хандивыг ямар байдлаар </t>
    </r>
    <r>
      <rPr>
        <sz val="10"/>
        <color rgb="FFFF0000"/>
        <rFont val="Arial"/>
        <family val="2"/>
      </rPr>
      <t>илгээсэн</t>
    </r>
    <r>
      <rPr>
        <sz val="10"/>
        <rFont val="Arial"/>
        <family val="2"/>
      </rPr>
      <t xml:space="preserve"> бэ?</t>
    </r>
  </si>
  <si>
    <r>
      <t xml:space="preserve">Сүүлийн 12 сард ойролцоогоор хэчнээн төгрөг </t>
    </r>
    <r>
      <rPr>
        <sz val="10"/>
        <color rgb="FFFF0000"/>
        <rFont val="Arial"/>
        <family val="2"/>
      </rPr>
      <t>илгээсэн</t>
    </r>
    <r>
      <rPr>
        <sz val="10"/>
        <rFont val="Arial"/>
        <family val="2"/>
      </rPr>
      <t xml:space="preserve"> бэ?</t>
    </r>
  </si>
  <si>
    <r>
      <t xml:space="preserve">Энэ бэлэг, тусламж, хандивыг тогтмол хугацаанд </t>
    </r>
    <r>
      <rPr>
        <sz val="10"/>
        <color rgb="FFFF0000"/>
        <rFont val="Arial"/>
        <family val="2"/>
      </rPr>
      <t>илгээдэг</t>
    </r>
    <r>
      <rPr>
        <sz val="10"/>
        <rFont val="Arial"/>
        <family val="2"/>
      </rPr>
      <t xml:space="preserve"> үү?</t>
    </r>
  </si>
  <si>
    <t>Өрхийн гишүүн биш</t>
  </si>
  <si>
    <r>
      <t xml:space="preserve">Танай сууц хэдэн өрөөтэй вэ?               
</t>
    </r>
    <r>
      <rPr>
        <i/>
        <sz val="8"/>
        <rFont val="Arial"/>
        <family val="2"/>
      </rPr>
      <t>ГАЛ ТОГОО, КОРИДОР, УГААЛГЫН ӨРӨӨГ ОРУУЛАХГҮЙ.</t>
    </r>
  </si>
  <si>
    <r>
      <t xml:space="preserve">Танай өрхийн сууцны ханын үндсэн материал юу вэ? 
</t>
    </r>
    <r>
      <rPr>
        <sz val="8"/>
        <rFont val="Arial"/>
        <family val="2"/>
      </rPr>
      <t xml:space="preserve">
</t>
    </r>
    <r>
      <rPr>
        <i/>
        <sz val="8"/>
        <rFont val="Arial"/>
        <family val="2"/>
      </rPr>
      <t>СУУЦЫГ АЖИГЛААД ТОХИРОХЫГ НӨХНӨ.
ШААРДЛАГАТАЙ БОЛ ТОДРУУЛЖ АСУУНА.</t>
    </r>
  </si>
  <si>
    <r>
      <t xml:space="preserve">Танай өрхийн сууцны ханын гадна өнгөлгөө, фасадны материал юу вэ? 
</t>
    </r>
    <r>
      <rPr>
        <i/>
        <sz val="8"/>
        <rFont val="Arial"/>
        <family val="2"/>
      </rPr>
      <t>СУУЦЫГ АЖИГЛААД ТОХИРОХЫГ НӨХНӨ.
ШААРДЛАГАТАЙ БОЛ ТОДРУУЛЖ АСУУНА.</t>
    </r>
  </si>
  <si>
    <r>
      <t xml:space="preserve">Танай энэ сууц тань ашиглалтад ороод хэдэн жил болж байна вэ? 
</t>
    </r>
    <r>
      <rPr>
        <sz val="8"/>
        <rFont val="Arial"/>
        <family val="2"/>
      </rPr>
      <t>Х</t>
    </r>
    <r>
      <rPr>
        <i/>
        <sz val="8"/>
        <rFont val="Arial"/>
        <family val="2"/>
      </rPr>
      <t xml:space="preserve">ЭРЭВ МЭДЭХГҮЙ БОЛ </t>
    </r>
    <r>
      <rPr>
        <b/>
        <i/>
        <sz val="8"/>
        <rFont val="Arial"/>
        <family val="2"/>
      </rPr>
      <t xml:space="preserve">"98" </t>
    </r>
    <r>
      <rPr>
        <i/>
        <sz val="8"/>
        <rFont val="Arial"/>
        <family val="2"/>
      </rPr>
      <t>ГЭЖ ТЭМДЭГЛЭНЭ ҮҮ.</t>
    </r>
  </si>
  <si>
    <r>
      <t xml:space="preserve">Танайх сууцаа худалдан авах үед хэдэн сая төгрөг зарцуулсан бэ? 
</t>
    </r>
    <r>
      <rPr>
        <i/>
        <sz val="8"/>
        <color rgb="FFFF0000"/>
        <rFont val="Arial"/>
        <family val="2"/>
      </rPr>
      <t>ХЭРЭВ ТООЦООЛОХ БОЛОМЖГҮЙ БОЛ "98" ГЭЖ ТЭМДЭГЛЭНЭ ҮҮ.</t>
    </r>
  </si>
  <si>
    <r>
      <t xml:space="preserve">Хэрэв танай өрх энэ сууцыг өнөөдөр зарж байна гэж бодвол хэдэн сая төгрөг олох боломжтой вэ?       </t>
    </r>
    <r>
      <rPr>
        <i/>
        <sz val="8"/>
        <color rgb="FFFF0000"/>
        <rFont val="Arial"/>
        <family val="2"/>
      </rPr>
      <t>ХЭРЭВ ТООЦООЛОХ БОЛОМЖГҮЙ БОЛ "98" ГЭЖ ТЭМДЭГЛЭНЭ ҮҮ.</t>
    </r>
  </si>
  <si>
    <r>
      <t xml:space="preserve">Хэрэв танай өрх энэ сууцыг </t>
    </r>
    <r>
      <rPr>
        <sz val="10"/>
        <color rgb="FFFF0000"/>
        <rFont val="Arial"/>
        <family val="2"/>
      </rPr>
      <t>өнөөдөр</t>
    </r>
    <r>
      <rPr>
        <sz val="10"/>
        <rFont val="Arial"/>
        <family val="2"/>
      </rPr>
      <t xml:space="preserve"> хэн нэгнээс түрээсэлж байна гэж бодвол сард хэдэн төгрөг төлөх вэ? </t>
    </r>
    <r>
      <rPr>
        <i/>
        <sz val="8"/>
        <rFont val="Arial"/>
        <family val="2"/>
      </rPr>
      <t xml:space="preserve">ХЭРЭВ ТООЦООЛОХ БОЛОМЖГҮЙ БОЛ </t>
    </r>
    <r>
      <rPr>
        <b/>
        <i/>
        <sz val="8"/>
        <rFont val="Arial"/>
        <family val="2"/>
      </rPr>
      <t>"98"</t>
    </r>
    <r>
      <rPr>
        <i/>
        <sz val="8"/>
        <rFont val="Arial"/>
        <family val="2"/>
      </rPr>
      <t xml:space="preserve"> ГЭЖ ТЭМДЭГЛЭНЭ ҮҮ.</t>
    </r>
  </si>
  <si>
    <r>
      <t xml:space="preserve">Та сууцаа сард хэдэн төгрөгөөр түрээсэлдэг вэ?   
</t>
    </r>
    <r>
      <rPr>
        <i/>
        <sz val="8"/>
        <rFont val="Arial"/>
        <family val="2"/>
      </rPr>
      <t xml:space="preserve">ХЭРЭВ ТООЦООЛОХ БОЛОМЖГҮЙ БОЛ </t>
    </r>
    <r>
      <rPr>
        <b/>
        <i/>
        <sz val="8"/>
        <rFont val="Arial"/>
        <family val="2"/>
      </rPr>
      <t>"98"</t>
    </r>
    <r>
      <rPr>
        <i/>
        <sz val="8"/>
        <rFont val="Arial"/>
        <family val="2"/>
      </rPr>
      <t xml:space="preserve"> ГЭЖ ТЭМДЭГЛЭНЭ ҮҮ.</t>
    </r>
  </si>
  <si>
    <r>
      <t xml:space="preserve">Хэрэв танай өрх энэ сууц байрлаж буй газраа </t>
    </r>
    <r>
      <rPr>
        <sz val="10"/>
        <color rgb="FF002060"/>
        <rFont val="Arial"/>
        <family val="2"/>
      </rPr>
      <t>өнөөдөр</t>
    </r>
    <r>
      <rPr>
        <sz val="10"/>
        <color rgb="FFFF0000"/>
        <rFont val="Arial"/>
        <family val="2"/>
      </rPr>
      <t xml:space="preserve"> зарж байна гэж бодвол хэдэн сая </t>
    </r>
    <r>
      <rPr>
        <sz val="10"/>
        <color rgb="FF002060"/>
        <rFont val="Arial"/>
        <family val="2"/>
      </rPr>
      <t>төгрөг</t>
    </r>
    <r>
      <rPr>
        <sz val="10"/>
        <color rgb="FFFF0000"/>
        <rFont val="Arial"/>
        <family val="2"/>
      </rPr>
      <t xml:space="preserve"> </t>
    </r>
    <r>
      <rPr>
        <sz val="10"/>
        <color rgb="FF002060"/>
        <rFont val="Arial"/>
        <family val="2"/>
      </rPr>
      <t>олох боломжтой</t>
    </r>
    <r>
      <rPr>
        <sz val="10"/>
        <color rgb="FFFF0000"/>
        <rFont val="Arial"/>
        <family val="2"/>
      </rPr>
      <t xml:space="preserve"> вэ? </t>
    </r>
    <r>
      <rPr>
        <i/>
        <sz val="8"/>
        <color rgb="FFFF0000"/>
        <rFont val="Arial"/>
        <family val="2"/>
      </rPr>
      <t>ХЭРЭВ ТООЦООЛОХ БОЛОМЖГҮЙ БОЛ "98" ГЭЖ ТЭМДЭГЛЭНЭ ҮҮ.</t>
    </r>
  </si>
  <si>
    <r>
      <t xml:space="preserve">Танай өрх энэ сууц байрлаж буй газраа хэдэн сая төгрөгөөр худалдаж авсан бэ? </t>
    </r>
    <r>
      <rPr>
        <i/>
        <sz val="8"/>
        <color rgb="FFFF0000"/>
        <rFont val="Arial"/>
        <family val="2"/>
      </rPr>
      <t>ХЭРЭВ ТООЦООЛОХ БОЛОМЖГҮЙ БОЛ "98" ГЭЖ ТЭМДЭГЛЭНЭ ҮҮ.</t>
    </r>
  </si>
  <si>
    <r>
      <t xml:space="preserve">Гэртээ ус авчрахад хэдэн минут зарцуулдаг вэ?
</t>
    </r>
    <r>
      <rPr>
        <i/>
        <sz val="8"/>
        <rFont val="Arial"/>
        <family val="2"/>
      </rPr>
      <t xml:space="preserve">УС АВЧРАХААР ЯВААД ИРЭХ, ДУГААРЛАЖ ЗОГСОХ ХУГАЦААГ ОРУУЛНА. ӨРХИЙН ГИШҮҮД УСАНД ЯВААГҮЙ БОЛ </t>
    </r>
    <r>
      <rPr>
        <b/>
        <i/>
        <sz val="8"/>
        <rFont val="Arial"/>
        <family val="2"/>
      </rPr>
      <t xml:space="preserve">"000" </t>
    </r>
    <r>
      <rPr>
        <i/>
        <sz val="8"/>
        <rFont val="Arial"/>
        <family val="2"/>
      </rPr>
      <t>ГЭЖ ТЭМДЭГЛЭНЭ.</t>
    </r>
    <r>
      <rPr>
        <sz val="10"/>
        <rFont val="Arial"/>
        <family val="2"/>
      </rPr>
      <t xml:space="preserve">
</t>
    </r>
  </si>
  <si>
    <t xml:space="preserve">Бэлэг, тусламж, хандив шилжүүлэгч хэдэн оноос хойш гадаадад ажиллаж/ амьдарч байна вэ?   </t>
  </si>
  <si>
    <r>
      <t xml:space="preserve">ШАЛГАХ АСУУЛТ: ТУХАЙН ӨРХИЙН СУУЦНЫ ТӨРӨЛ: ОРОН СУУЦНЫ БАЙШИН ЭСВЭЛ НИЙТИЙН БАЙРАНД АМЬДАРДАГ </t>
    </r>
    <r>
      <rPr>
        <i/>
        <sz val="9"/>
        <color rgb="FFFF0000"/>
        <rFont val="Arial"/>
        <family val="2"/>
      </rPr>
      <t>ЭСЭХИЙГ ТОДОРХОЙЛОХ</t>
    </r>
    <r>
      <rPr>
        <i/>
        <sz val="9"/>
        <rFont val="Arial"/>
        <family val="2"/>
      </rPr>
      <t xml:space="preserve"> (АСУУЛТ 9.04-Т "2", "5" ГЭЖ СОНГОСОН)</t>
    </r>
  </si>
  <si>
    <r>
      <t xml:space="preserve">ШАЛГАХ АСУУЛТ: ТУХАЙН ӨРХИЙН СУУЦНЫ ТӨРӨЛ: ЗОРИУЛАЛТЫН БУС СУУЦАНД АМЬДАРДАГ </t>
    </r>
    <r>
      <rPr>
        <i/>
        <sz val="9"/>
        <color rgb="FFFF0000"/>
        <rFont val="Arial"/>
        <family val="2"/>
      </rPr>
      <t>ЭСЭХИЙГ ТОДОРХОЙЛОХ</t>
    </r>
    <r>
      <rPr>
        <i/>
        <sz val="9"/>
        <rFont val="Arial"/>
        <family val="2"/>
      </rPr>
      <t xml:space="preserve"> (АСУУЛТ 9.04-Т "6" ГЭЖ СОНГОСОН)</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</si>
</sst>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0_);\(0\)"/>
    <numFmt numFmtId="165" formatCode="00"/>
    <numFmt numFmtId="166" formatCode="0.00_);\(0.00\)"/>
    <numFmt numFmtId="167" formatCode="0000"/>
    <numFmt numFmtId="168" formatCode="\(0.00\)"/>
    <numFmt numFmtId="169" formatCode="0.00000_);\(0.00000\)"/>
  </numFmts>
  <fonts count="83">
    <font>
      <sz val="10"/>
      <name val="Arial"/>
    </font>
    <font>
      <sz val="10"/>
      <color theme="1"/>
      <name val="Arial"/>
      <family val="2"/>
    </font>
    <font>
      <sz val="10"/>
      <name val="Arial"/>
      <family val="2"/>
    </font>
    <font>
      <sz val="8"/>
      <name val="Arial Narrow"/>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Arial"/>
      <family val="2"/>
    </font>
    <font>
      <sz val="8"/>
      <name val="Arial Narrow"/>
      <family val="2"/>
    </font>
    <font>
      <b/>
      <sz val="10"/>
      <name val="Arial"/>
      <family val="2"/>
    </font>
    <font>
      <sz val="9"/>
      <name val="Arial"/>
      <family val="2"/>
    </font>
    <font>
      <b/>
      <sz val="12"/>
      <name val="Arial"/>
      <family val="2"/>
    </font>
    <font>
      <sz val="6"/>
      <name val="Arial"/>
      <family val="2"/>
    </font>
    <font>
      <sz val="7"/>
      <name val="Arial"/>
      <family val="2"/>
    </font>
    <font>
      <b/>
      <sz val="8"/>
      <name val="Arial"/>
      <family val="2"/>
    </font>
    <font>
      <sz val="12"/>
      <name val="Arial"/>
      <family val="2"/>
    </font>
    <font>
      <i/>
      <sz val="8"/>
      <name val="Arial"/>
      <family val="2"/>
    </font>
    <font>
      <i/>
      <sz val="7"/>
      <name val="Arial"/>
      <family val="2"/>
    </font>
    <font>
      <i/>
      <sz val="10"/>
      <name val="Arial"/>
      <family val="2"/>
    </font>
    <font>
      <b/>
      <i/>
      <sz val="8"/>
      <name val="Arial"/>
      <family val="2"/>
    </font>
    <font>
      <b/>
      <sz val="11"/>
      <name val="Arial"/>
      <family val="2"/>
    </font>
    <font>
      <b/>
      <sz val="14"/>
      <name val="Arial"/>
      <family val="2"/>
    </font>
    <font>
      <sz val="8"/>
      <color theme="1"/>
      <name val="Arial"/>
      <family val="2"/>
    </font>
    <font>
      <sz val="10"/>
      <color theme="1"/>
      <name val="Arial"/>
      <family val="2"/>
    </font>
    <font>
      <b/>
      <sz val="12"/>
      <color theme="1"/>
      <name val="Arial"/>
      <family val="2"/>
    </font>
    <font>
      <b/>
      <sz val="8"/>
      <color theme="1"/>
      <name val="Arial"/>
      <family val="2"/>
    </font>
    <font>
      <i/>
      <sz val="8"/>
      <color theme="1"/>
      <name val="Arial"/>
      <family val="2"/>
    </font>
    <font>
      <b/>
      <sz val="9"/>
      <color theme="1"/>
      <name val="Arial"/>
      <family val="2"/>
    </font>
    <font>
      <b/>
      <sz val="10"/>
      <color theme="1"/>
      <name val="Arial"/>
      <family val="2"/>
    </font>
    <font>
      <sz val="14"/>
      <name val="Arial"/>
      <family val="2"/>
    </font>
    <font>
      <vertAlign val="superscript"/>
      <sz val="10"/>
      <name val="Arial"/>
      <family val="2"/>
    </font>
    <font>
      <i/>
      <sz val="8"/>
      <color rgb="FFC00000"/>
      <name val="Arial"/>
      <family val="2"/>
    </font>
    <font>
      <b/>
      <i/>
      <sz val="7"/>
      <name val="Arial"/>
      <family val="2"/>
    </font>
    <font>
      <b/>
      <i/>
      <sz val="8"/>
      <color theme="1"/>
      <name val="Arial"/>
      <family val="2"/>
    </font>
    <font>
      <sz val="9"/>
      <color indexed="81"/>
      <name val="Tahoma"/>
      <family val="2"/>
    </font>
    <font>
      <b/>
      <sz val="9"/>
      <color indexed="81"/>
      <name val="Tahoma"/>
      <family val="2"/>
    </font>
    <font>
      <b/>
      <sz val="10"/>
      <color theme="0"/>
      <name val="Arial"/>
      <family val="2"/>
    </font>
    <font>
      <sz val="10"/>
      <color rgb="FFFF0000"/>
      <name val="Arial"/>
      <family val="2"/>
    </font>
    <font>
      <b/>
      <sz val="10"/>
      <color rgb="FFFF0000"/>
      <name val="Arial"/>
      <family val="2"/>
    </font>
    <font>
      <u/>
      <sz val="10"/>
      <name val="Arial"/>
      <family val="2"/>
    </font>
    <font>
      <sz val="10"/>
      <name val="Calibri"/>
      <family val="2"/>
    </font>
    <font>
      <b/>
      <u/>
      <sz val="10"/>
      <name val="Arial"/>
      <family val="2"/>
    </font>
    <font>
      <sz val="8"/>
      <name val="Arial "/>
    </font>
    <font>
      <b/>
      <sz val="12"/>
      <name val="Arial "/>
    </font>
    <font>
      <b/>
      <sz val="8"/>
      <name val="Arial "/>
    </font>
    <font>
      <i/>
      <sz val="8"/>
      <name val="Arial "/>
    </font>
    <font>
      <i/>
      <sz val="9"/>
      <name val="Arial "/>
    </font>
    <font>
      <sz val="10"/>
      <name val="Arial "/>
    </font>
    <font>
      <i/>
      <sz val="9"/>
      <name val="Arial"/>
      <family val="2"/>
    </font>
    <font>
      <u/>
      <sz val="10"/>
      <color theme="1"/>
      <name val="Arial"/>
      <family val="2"/>
    </font>
    <font>
      <i/>
      <u/>
      <sz val="8"/>
      <name val="Arial"/>
      <family val="2"/>
    </font>
    <font>
      <b/>
      <sz val="10"/>
      <color theme="7"/>
      <name val="Arial"/>
      <family val="2"/>
    </font>
    <font>
      <sz val="10"/>
      <color rgb="FFC00000"/>
      <name val="Arial"/>
      <family val="2"/>
    </font>
    <font>
      <sz val="10"/>
      <name val="Arial Mon"/>
      <family val="2"/>
    </font>
    <font>
      <b/>
      <sz val="9"/>
      <color rgb="FF000000"/>
      <name val="Tahoma"/>
      <family val="2"/>
    </font>
    <font>
      <sz val="9"/>
      <color rgb="FF000000"/>
      <name val="Tahoma"/>
      <family val="2"/>
    </font>
    <font>
      <i/>
      <sz val="8"/>
      <color rgb="FFFF0000"/>
      <name val="Arial"/>
      <family val="2"/>
    </font>
    <font>
      <sz val="8"/>
      <color rgb="FFFF0000"/>
      <name val="Arial"/>
      <family val="2"/>
    </font>
    <font>
      <i/>
      <sz val="10"/>
      <color rgb="FFFF0000"/>
      <name val="Arial"/>
      <family val="2"/>
    </font>
    <font>
      <b/>
      <sz val="10"/>
      <name val="Arial "/>
    </font>
    <font>
      <b/>
      <sz val="12"/>
      <color theme="0"/>
      <name val="Arial"/>
      <family val="2"/>
    </font>
    <font>
      <sz val="11"/>
      <color rgb="FFFF0000"/>
      <name val="Arial"/>
      <family val="2"/>
    </font>
    <font>
      <i/>
      <sz val="9"/>
      <color rgb="FFFF0000"/>
      <name val="Arial"/>
      <family val="2"/>
    </font>
    <font>
      <sz val="9"/>
      <name val="Segoe UI"/>
      <family val="2"/>
    </font>
    <font>
      <sz val="10"/>
      <color rgb="FF002060"/>
      <name val="Arial"/>
      <family val="2"/>
    </font>
    <font>
      <sz val="18"/>
      <color rgb="FFFF0000"/>
      <name val="Arial"/>
      <family val="2"/>
    </font>
    <font>
      <b/>
      <sz val="9"/>
      <name val="Arial"/>
      <family val="2"/>
    </font>
    <font>
      <sz val="9"/>
      <color rgb="FFFF0000"/>
      <name val="Arial"/>
      <family val="2"/>
    </font>
    <font>
      <b/>
      <sz val="8"/>
      <color rgb="FFFF0000"/>
      <name val="Arial"/>
      <family val="2"/>
    </font>
  </fonts>
  <fills count="3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22"/>
        <bgColor indexed="64"/>
      </patternFill>
    </fill>
    <fill>
      <patternFill patternType="gray0625"/>
    </fill>
    <fill>
      <patternFill patternType="solid">
        <fgColor theme="0"/>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0" tint="-4.9989318521683403E-2"/>
        <bgColor indexed="64"/>
      </patternFill>
    </fill>
    <fill>
      <patternFill patternType="solid">
        <fgColor rgb="FFFFFFFF"/>
        <bgColor indexed="64"/>
      </patternFill>
    </fill>
    <fill>
      <patternFill patternType="solid">
        <fgColor theme="9" tint="0.79998168889431442"/>
        <bgColor indexed="64"/>
      </patternFill>
    </fill>
    <fill>
      <patternFill patternType="solid">
        <fgColor theme="0" tint="-0.249977111117893"/>
        <bgColor indexed="64"/>
      </patternFill>
    </fill>
  </fills>
  <borders count="16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style="thin">
        <color indexed="64"/>
      </right>
      <top/>
      <bottom/>
      <diagonal/>
    </border>
    <border>
      <left/>
      <right style="thin">
        <color indexed="64"/>
      </right>
      <top style="hair">
        <color indexed="64"/>
      </top>
      <bottom style="hair">
        <color indexed="64"/>
      </bottom>
      <diagonal/>
    </border>
    <border>
      <left style="thin">
        <color indexed="64"/>
      </left>
      <right style="thin">
        <color indexed="64"/>
      </right>
      <top/>
      <bottom/>
      <diagonal/>
    </border>
    <border>
      <left style="thin">
        <color indexed="64"/>
      </left>
      <right/>
      <top style="hair">
        <color indexed="64"/>
      </top>
      <bottom/>
      <diagonal/>
    </border>
    <border>
      <left style="thin">
        <color indexed="64"/>
      </left>
      <right/>
      <top style="hair">
        <color indexed="64"/>
      </top>
      <bottom style="hair">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hair">
        <color indexed="64"/>
      </top>
      <bottom/>
      <diagonal/>
    </border>
    <border>
      <left/>
      <right/>
      <top style="hair">
        <color indexed="64"/>
      </top>
      <bottom style="hair">
        <color indexed="64"/>
      </bottom>
      <diagonal/>
    </border>
    <border>
      <left style="thin">
        <color indexed="64"/>
      </left>
      <right/>
      <top/>
      <bottom style="hair">
        <color indexed="64"/>
      </bottom>
      <diagonal/>
    </border>
    <border>
      <left/>
      <right style="thin">
        <color indexed="64"/>
      </right>
      <top/>
      <bottom style="hair">
        <color indexed="64"/>
      </bottom>
      <diagonal/>
    </border>
    <border>
      <left/>
      <right/>
      <top style="hair">
        <color indexed="64"/>
      </top>
      <bottom/>
      <diagonal/>
    </border>
    <border>
      <left/>
      <right/>
      <top/>
      <bottom style="hair">
        <color indexed="64"/>
      </bottom>
      <diagonal/>
    </border>
    <border>
      <left/>
      <right style="thin">
        <color indexed="64"/>
      </right>
      <top style="hair">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thin">
        <color indexed="64"/>
      </right>
      <top style="hair">
        <color indexed="64"/>
      </top>
      <bottom/>
      <diagonal/>
    </border>
    <border>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style="thin">
        <color indexed="64"/>
      </left>
      <right/>
      <top style="hair">
        <color indexed="64"/>
      </top>
      <bottom style="thin">
        <color indexed="64"/>
      </bottom>
      <diagonal/>
    </border>
    <border>
      <left style="double">
        <color indexed="64"/>
      </left>
      <right/>
      <top/>
      <bottom style="thin">
        <color indexed="64"/>
      </bottom>
      <diagonal/>
    </border>
    <border>
      <left/>
      <right style="double">
        <color indexed="64"/>
      </right>
      <top/>
      <bottom style="thin">
        <color indexed="64"/>
      </bottom>
      <diagonal/>
    </border>
    <border>
      <left/>
      <right style="double">
        <color indexed="64"/>
      </right>
      <top/>
      <bottom/>
      <diagonal/>
    </border>
    <border>
      <left/>
      <right style="double">
        <color indexed="64"/>
      </right>
      <top style="thin">
        <color indexed="64"/>
      </top>
      <bottom style="thin">
        <color indexed="64"/>
      </bottom>
      <diagonal/>
    </border>
    <border>
      <left/>
      <right style="hair">
        <color indexed="64"/>
      </right>
      <top style="thin">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diagonal/>
    </border>
    <border>
      <left/>
      <right style="double">
        <color indexed="64"/>
      </right>
      <top style="thin">
        <color indexed="64"/>
      </top>
      <bottom/>
      <diagonal/>
    </border>
    <border>
      <left/>
      <right/>
      <top style="thin">
        <color indexed="64"/>
      </top>
      <bottom style="hair">
        <color indexed="64"/>
      </bottom>
      <diagonal/>
    </border>
    <border>
      <left style="thin">
        <color indexed="64"/>
      </left>
      <right style="hair">
        <color indexed="64"/>
      </right>
      <top style="thin">
        <color indexed="64"/>
      </top>
      <bottom style="thin">
        <color indexed="64"/>
      </bottom>
      <diagonal/>
    </border>
    <border>
      <left/>
      <right style="hair">
        <color indexed="64"/>
      </right>
      <top style="hair">
        <color indexed="64"/>
      </top>
      <bottom/>
      <diagonal/>
    </border>
    <border>
      <left/>
      <right style="thin">
        <color indexed="64"/>
      </right>
      <top/>
      <bottom style="double">
        <color indexed="64"/>
      </bottom>
      <diagonal/>
    </border>
    <border>
      <left style="hair">
        <color indexed="64"/>
      </left>
      <right style="thin">
        <color indexed="64"/>
      </right>
      <top/>
      <bottom style="thin">
        <color indexed="64"/>
      </bottom>
      <diagonal/>
    </border>
    <border>
      <left style="hair">
        <color indexed="64"/>
      </left>
      <right style="thin">
        <color indexed="64"/>
      </right>
      <top/>
      <bottom style="hair">
        <color indexed="64"/>
      </bottom>
      <diagonal/>
    </border>
    <border>
      <left style="hair">
        <color indexed="64"/>
      </left>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hair">
        <color indexed="64"/>
      </right>
      <top style="thin">
        <color indexed="64"/>
      </top>
      <bottom style="double">
        <color indexed="64"/>
      </bottom>
      <diagonal/>
    </border>
    <border>
      <left style="hair">
        <color indexed="64"/>
      </left>
      <right style="hair">
        <color indexed="64"/>
      </right>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thin">
        <color indexed="64"/>
      </right>
      <top style="thin">
        <color indexed="64"/>
      </top>
      <bottom style="double">
        <color indexed="64"/>
      </bottom>
      <diagonal/>
    </border>
    <border>
      <left style="thin">
        <color indexed="64"/>
      </left>
      <right style="hair">
        <color indexed="64"/>
      </right>
      <top style="thin">
        <color indexed="64"/>
      </top>
      <bottom style="double">
        <color indexed="64"/>
      </bottom>
      <diagonal/>
    </border>
    <border>
      <left style="thin">
        <color indexed="64"/>
      </left>
      <right style="hair">
        <color indexed="64"/>
      </right>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double">
        <color indexed="64"/>
      </bottom>
      <diagonal/>
    </border>
    <border>
      <left/>
      <right/>
      <top/>
      <bottom style="double">
        <color indexed="64"/>
      </bottom>
      <diagonal/>
    </border>
    <border>
      <left style="double">
        <color indexed="64"/>
      </left>
      <right style="double">
        <color indexed="64"/>
      </right>
      <top style="thin">
        <color indexed="64"/>
      </top>
      <bottom/>
      <diagonal/>
    </border>
    <border>
      <left style="double">
        <color indexed="64"/>
      </left>
      <right style="double">
        <color indexed="64"/>
      </right>
      <top/>
      <bottom style="thin">
        <color indexed="64"/>
      </bottom>
      <diagonal/>
    </border>
    <border>
      <left style="thin">
        <color indexed="64"/>
      </left>
      <right style="thin">
        <color theme="1"/>
      </right>
      <top style="thin">
        <color indexed="64"/>
      </top>
      <bottom style="thin">
        <color theme="1"/>
      </bottom>
      <diagonal/>
    </border>
    <border>
      <left style="thin">
        <color theme="1"/>
      </left>
      <right style="thin">
        <color theme="1"/>
      </right>
      <top style="thin">
        <color indexed="64"/>
      </top>
      <bottom style="thin">
        <color theme="1"/>
      </bottom>
      <diagonal/>
    </border>
    <border>
      <left style="thin">
        <color theme="1"/>
      </left>
      <right style="thin">
        <color indexed="64"/>
      </right>
      <top style="thin">
        <color indexed="64"/>
      </top>
      <bottom style="thin">
        <color theme="1"/>
      </bottom>
      <diagonal/>
    </border>
    <border>
      <left/>
      <right style="thin">
        <color theme="1"/>
      </right>
      <top style="thin">
        <color indexed="64"/>
      </top>
      <bottom style="thin">
        <color theme="1"/>
      </bottom>
      <diagonal/>
    </border>
    <border>
      <left style="thin">
        <color indexed="64"/>
      </left>
      <right style="thin">
        <color theme="1"/>
      </right>
      <top style="thin">
        <color theme="1"/>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right style="thin">
        <color indexed="64"/>
      </right>
      <top style="thin">
        <color theme="1"/>
      </top>
      <bottom/>
      <diagonal/>
    </border>
    <border>
      <left style="thin">
        <color indexed="64"/>
      </left>
      <right style="thin">
        <color theme="1"/>
      </right>
      <top/>
      <bottom/>
      <diagonal/>
    </border>
    <border>
      <left style="thin">
        <color theme="1"/>
      </left>
      <right/>
      <top/>
      <bottom/>
      <diagonal/>
    </border>
    <border>
      <left/>
      <right style="thin">
        <color theme="1"/>
      </right>
      <top/>
      <bottom/>
      <diagonal/>
    </border>
    <border>
      <left style="thin">
        <color indexed="64"/>
      </left>
      <right style="thin">
        <color theme="1"/>
      </right>
      <top/>
      <bottom style="thin">
        <color theme="1"/>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bottom style="thin">
        <color indexed="64"/>
      </bottom>
      <diagonal/>
    </border>
    <border>
      <left style="thin">
        <color indexed="64"/>
      </left>
      <right style="thin">
        <color theme="1"/>
      </right>
      <top/>
      <bottom style="thin">
        <color indexed="64"/>
      </bottom>
      <diagonal/>
    </border>
    <border>
      <left/>
      <right style="thin">
        <color theme="1"/>
      </right>
      <top/>
      <bottom style="thin">
        <color indexed="64"/>
      </bottom>
      <diagonal/>
    </border>
    <border>
      <left style="thin">
        <color indexed="64"/>
      </left>
      <right style="thin">
        <color theme="1"/>
      </right>
      <top style="thin">
        <color indexed="64"/>
      </top>
      <bottom/>
      <diagonal/>
    </border>
    <border>
      <left style="thin">
        <color theme="1"/>
      </left>
      <right/>
      <top style="thin">
        <color indexed="64"/>
      </top>
      <bottom/>
      <diagonal/>
    </border>
    <border>
      <left/>
      <right style="thin">
        <color theme="1"/>
      </right>
      <top style="thin">
        <color indexed="64"/>
      </top>
      <bottom/>
      <diagonal/>
    </border>
    <border>
      <left/>
      <right style="thin">
        <color indexed="64"/>
      </right>
      <top/>
      <bottom style="thin">
        <color theme="1"/>
      </bottom>
      <diagonal/>
    </border>
    <border>
      <left/>
      <right style="thin">
        <color indexed="64"/>
      </right>
      <top style="thin">
        <color indexed="64"/>
      </top>
      <bottom style="thin">
        <color theme="1"/>
      </bottom>
      <diagonal/>
    </border>
    <border>
      <left style="thin">
        <color theme="1"/>
      </left>
      <right/>
      <top style="thin">
        <color indexed="64"/>
      </top>
      <bottom style="thin">
        <color theme="1"/>
      </bottom>
      <diagonal/>
    </border>
    <border>
      <left/>
      <right style="hair">
        <color indexed="64"/>
      </right>
      <top/>
      <bottom/>
      <diagonal/>
    </border>
    <border>
      <left style="hair">
        <color indexed="64"/>
      </left>
      <right style="thin">
        <color indexed="64"/>
      </right>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style="thin">
        <color indexed="64"/>
      </top>
      <bottom/>
      <diagonal/>
    </border>
    <border>
      <left style="thin">
        <color indexed="64"/>
      </left>
      <right/>
      <top style="thin">
        <color theme="1"/>
      </top>
      <bottom style="thin">
        <color theme="1"/>
      </bottom>
      <diagonal/>
    </border>
    <border>
      <left/>
      <right/>
      <top style="thin">
        <color theme="1"/>
      </top>
      <bottom style="thin">
        <color theme="1"/>
      </bottom>
      <diagonal/>
    </border>
    <border>
      <left/>
      <right style="thin">
        <color indexed="64"/>
      </right>
      <top style="thin">
        <color theme="1"/>
      </top>
      <bottom style="thin">
        <color theme="1"/>
      </bottom>
      <diagonal/>
    </border>
    <border>
      <left/>
      <right style="hair">
        <color indexed="64"/>
      </right>
      <top/>
      <bottom style="thin">
        <color indexed="64"/>
      </bottom>
      <diagonal/>
    </border>
    <border>
      <left/>
      <right style="hair">
        <color indexed="64"/>
      </right>
      <top style="thin">
        <color indexed="64"/>
      </top>
      <bottom style="double">
        <color indexed="64"/>
      </bottom>
      <diagonal/>
    </border>
    <border>
      <left style="thin">
        <color indexed="64"/>
      </left>
      <right style="thin">
        <color theme="1"/>
      </right>
      <top/>
      <bottom style="double">
        <color indexed="64"/>
      </bottom>
      <diagonal/>
    </border>
    <border>
      <left style="thin">
        <color theme="1"/>
      </left>
      <right/>
      <top/>
      <bottom style="double">
        <color indexed="64"/>
      </bottom>
      <diagonal/>
    </border>
    <border>
      <left/>
      <right style="thin">
        <color theme="1"/>
      </right>
      <top/>
      <bottom style="double">
        <color indexed="64"/>
      </bottom>
      <diagonal/>
    </border>
    <border>
      <left style="thin">
        <color indexed="64"/>
      </left>
      <right/>
      <top style="thin">
        <color rgb="FF000000"/>
      </top>
      <bottom/>
      <diagonal/>
    </border>
    <border>
      <left/>
      <right/>
      <top style="thin">
        <color rgb="FF000000"/>
      </top>
      <bottom/>
      <diagonal/>
    </border>
    <border>
      <left/>
      <right style="thin">
        <color indexed="64"/>
      </right>
      <top style="thin">
        <color rgb="FF000000"/>
      </top>
      <bottom style="thin">
        <color indexed="64"/>
      </bottom>
      <diagonal/>
    </border>
    <border>
      <left/>
      <right style="thin">
        <color rgb="FF000000"/>
      </right>
      <top style="thin">
        <color rgb="FF000000"/>
      </top>
      <bottom/>
      <diagonal/>
    </border>
    <border>
      <left/>
      <right style="thin">
        <color rgb="FF000000"/>
      </right>
      <top/>
      <bottom/>
      <diagonal/>
    </border>
    <border>
      <left/>
      <right style="thin">
        <color rgb="FF000000"/>
      </right>
      <top style="hair">
        <color indexed="64"/>
      </top>
      <bottom/>
      <diagonal/>
    </border>
    <border>
      <left/>
      <right style="thin">
        <color rgb="FF000000"/>
      </right>
      <top/>
      <bottom style="hair">
        <color indexed="64"/>
      </bottom>
      <diagonal/>
    </border>
    <border>
      <left/>
      <right style="thin">
        <color rgb="FF000000"/>
      </right>
      <top style="thin">
        <color indexed="64"/>
      </top>
      <bottom style="thin">
        <color indexed="64"/>
      </bottom>
      <diagonal/>
    </border>
    <border>
      <left/>
      <right style="thin">
        <color rgb="FF000000"/>
      </right>
      <top/>
      <bottom style="thin">
        <color indexed="64"/>
      </bottom>
      <diagonal/>
    </border>
    <border>
      <left style="thin">
        <color indexed="64"/>
      </left>
      <right/>
      <top style="thin">
        <color indexed="64"/>
      </top>
      <bottom style="thin">
        <color rgb="FF000000"/>
      </bottom>
      <diagonal/>
    </border>
    <border>
      <left/>
      <right style="thin">
        <color indexed="64"/>
      </right>
      <top style="thin">
        <color indexed="64"/>
      </top>
      <bottom style="thin">
        <color rgb="FF000000"/>
      </bottom>
      <diagonal/>
    </border>
    <border>
      <left style="hair">
        <color indexed="64"/>
      </left>
      <right style="hair">
        <color indexed="64"/>
      </right>
      <top style="thin">
        <color indexed="64"/>
      </top>
      <bottom style="thin">
        <color rgb="FF000000"/>
      </bottom>
      <diagonal/>
    </border>
    <border>
      <left style="hair">
        <color indexed="64"/>
      </left>
      <right style="thin">
        <color indexed="64"/>
      </right>
      <top style="thin">
        <color indexed="64"/>
      </top>
      <bottom style="thin">
        <color rgb="FF000000"/>
      </bottom>
      <diagonal/>
    </border>
    <border>
      <left style="thin">
        <color indexed="64"/>
      </left>
      <right style="hair">
        <color indexed="64"/>
      </right>
      <top style="thin">
        <color indexed="64"/>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style="hair">
        <color indexed="64"/>
      </top>
      <bottom/>
      <diagonal/>
    </border>
    <border>
      <left style="thin">
        <color rgb="FF000000"/>
      </left>
      <right/>
      <top/>
      <bottom style="hair">
        <color indexed="64"/>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indexed="64"/>
      </top>
      <bottom style="thin">
        <color indexed="64"/>
      </bottom>
      <diagonal/>
    </border>
    <border>
      <left style="thin">
        <color rgb="FF000000"/>
      </left>
      <right/>
      <top style="thin">
        <color indexed="64"/>
      </top>
      <bottom style="thin">
        <color rgb="FF000000"/>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theme="1"/>
      </top>
      <bottom/>
      <diagonal/>
    </border>
    <border>
      <left style="thin">
        <color indexed="64"/>
      </left>
      <right/>
      <top/>
      <bottom style="thin">
        <color theme="1"/>
      </bottom>
      <diagonal/>
    </border>
    <border>
      <left style="hair">
        <color indexed="64"/>
      </left>
      <right/>
      <top style="hair">
        <color indexed="64"/>
      </top>
      <bottom style="thin">
        <color indexed="64"/>
      </bottom>
      <diagonal/>
    </border>
    <border>
      <left style="thin">
        <color rgb="FF000000"/>
      </left>
      <right/>
      <top style="thin">
        <color indexed="64"/>
      </top>
      <bottom/>
      <diagonal/>
    </border>
    <border>
      <left/>
      <right/>
      <top style="dotted">
        <color rgb="FF000000"/>
      </top>
      <bottom/>
      <diagonal/>
    </border>
    <border>
      <left style="thin">
        <color rgb="FF000000"/>
      </left>
      <right/>
      <top style="dotted">
        <color rgb="FF000000"/>
      </top>
      <bottom/>
      <diagonal/>
    </border>
    <border>
      <left/>
      <right style="thin">
        <color rgb="FF000000"/>
      </right>
      <top style="dotted">
        <color rgb="FF000000"/>
      </top>
      <bottom/>
      <diagonal/>
    </border>
    <border>
      <left style="thin">
        <color rgb="FF000000"/>
      </left>
      <right/>
      <top style="hair">
        <color indexed="64"/>
      </top>
      <bottom style="thin">
        <color rgb="FF000000"/>
      </bottom>
      <diagonal/>
    </border>
    <border>
      <left/>
      <right/>
      <top style="hair">
        <color indexed="64"/>
      </top>
      <bottom style="thin">
        <color rgb="FF000000"/>
      </bottom>
      <diagonal/>
    </border>
    <border>
      <left/>
      <right style="thin">
        <color rgb="FF000000"/>
      </right>
      <top style="hair">
        <color indexed="64"/>
      </top>
      <bottom style="thin">
        <color rgb="FF000000"/>
      </bottom>
      <diagonal/>
    </border>
    <border>
      <left style="thin">
        <color rgb="FF000000"/>
      </left>
      <right/>
      <top style="hair">
        <color indexed="64"/>
      </top>
      <bottom style="hair">
        <color indexed="64"/>
      </bottom>
      <diagonal/>
    </border>
    <border>
      <left/>
      <right style="thin">
        <color rgb="FF000000"/>
      </right>
      <top style="hair">
        <color indexed="64"/>
      </top>
      <bottom style="hair">
        <color indexed="64"/>
      </bottom>
      <diagonal/>
    </border>
    <border>
      <left style="thin">
        <color indexed="64"/>
      </left>
      <right/>
      <top/>
      <bottom style="thin">
        <color rgb="FF000000"/>
      </bottom>
      <diagonal/>
    </border>
    <border>
      <left/>
      <right style="thin">
        <color indexed="64"/>
      </right>
      <top/>
      <bottom style="thin">
        <color rgb="FF000000"/>
      </bottom>
      <diagonal/>
    </border>
  </borders>
  <cellStyleXfs count="50">
    <xf numFmtId="0" fontId="0" fillId="0" borderId="0"/>
    <xf numFmtId="0" fontId="4"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5" fillId="12"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9" borderId="0" applyNumberFormat="0" applyBorder="0" applyAlignment="0" applyProtection="0"/>
    <xf numFmtId="0" fontId="6" fillId="3" borderId="0" applyNumberFormat="0" applyBorder="0" applyAlignment="0" applyProtection="0"/>
    <xf numFmtId="0" fontId="7" fillId="20" borderId="1" applyNumberFormat="0" applyAlignment="0" applyProtection="0"/>
    <xf numFmtId="0" fontId="8" fillId="21" borderId="2" applyNumberFormat="0" applyAlignment="0" applyProtection="0"/>
    <xf numFmtId="0" fontId="9" fillId="0" borderId="0" applyNumberFormat="0" applyFill="0" applyBorder="0" applyAlignment="0" applyProtection="0"/>
    <xf numFmtId="0" fontId="10" fillId="4" borderId="0" applyNumberFormat="0" applyBorder="0" applyAlignment="0" applyProtection="0"/>
    <xf numFmtId="0" fontId="11" fillId="0" borderId="3" applyNumberFormat="0" applyFill="0" applyAlignment="0" applyProtection="0"/>
    <xf numFmtId="0" fontId="12" fillId="0" borderId="4" applyNumberFormat="0" applyFill="0" applyAlignment="0" applyProtection="0"/>
    <xf numFmtId="0" fontId="13" fillId="0" borderId="5" applyNumberFormat="0" applyFill="0" applyAlignment="0" applyProtection="0"/>
    <xf numFmtId="0" fontId="13" fillId="0" borderId="0" applyNumberFormat="0" applyFill="0" applyBorder="0" applyAlignment="0" applyProtection="0"/>
    <xf numFmtId="0" fontId="14" fillId="7" borderId="1" applyNumberFormat="0" applyAlignment="0" applyProtection="0"/>
    <xf numFmtId="0" fontId="15" fillId="0" borderId="6" applyNumberFormat="0" applyFill="0" applyAlignment="0" applyProtection="0"/>
    <xf numFmtId="0" fontId="16" fillId="22" borderId="0" applyNumberFormat="0" applyBorder="0" applyAlignment="0" applyProtection="0"/>
    <xf numFmtId="0" fontId="2" fillId="0" borderId="0"/>
    <xf numFmtId="0" fontId="22" fillId="0" borderId="0"/>
    <xf numFmtId="0" fontId="2" fillId="0" borderId="0"/>
    <xf numFmtId="0" fontId="3" fillId="0" borderId="0"/>
    <xf numFmtId="0" fontId="2" fillId="23" borderId="7" applyNumberFormat="0" applyFont="0" applyAlignment="0" applyProtection="0"/>
    <xf numFmtId="0" fontId="17" fillId="20" borderId="8" applyNumberFormat="0" applyAlignment="0" applyProtection="0"/>
    <xf numFmtId="0" fontId="18" fillId="0" borderId="0" applyNumberFormat="0" applyFill="0" applyBorder="0" applyAlignment="0" applyProtection="0"/>
    <xf numFmtId="0" fontId="19" fillId="0" borderId="9" applyNumberFormat="0" applyFill="0" applyAlignment="0" applyProtection="0"/>
    <xf numFmtId="0" fontId="20" fillId="0" borderId="0" applyNumberFormat="0" applyFill="0" applyBorder="0" applyAlignment="0" applyProtection="0"/>
    <xf numFmtId="43" fontId="2" fillId="0" borderId="0" applyFont="0" applyFill="0" applyBorder="0" applyAlignment="0" applyProtection="0"/>
    <xf numFmtId="0" fontId="2" fillId="0" borderId="0"/>
    <xf numFmtId="0" fontId="3" fillId="0" borderId="0"/>
    <xf numFmtId="0" fontId="67" fillId="0" borderId="0"/>
  </cellStyleXfs>
  <cellXfs count="3360">
    <xf numFmtId="0" fontId="0" fillId="0" borderId="0" xfId="0"/>
    <xf numFmtId="0" fontId="25" fillId="0" borderId="0" xfId="37" applyFont="1" applyAlignment="1">
      <alignment vertical="center"/>
    </xf>
    <xf numFmtId="0" fontId="21" fillId="0" borderId="0" xfId="0" applyFont="1" applyAlignment="1">
      <alignment vertical="center"/>
    </xf>
    <xf numFmtId="0" fontId="25" fillId="0" borderId="0" xfId="0" applyFont="1" applyAlignment="1">
      <alignment vertical="center"/>
    </xf>
    <xf numFmtId="0" fontId="24" fillId="0" borderId="0" xfId="0" applyFont="1" applyAlignment="1">
      <alignment vertical="center"/>
    </xf>
    <xf numFmtId="0" fontId="21" fillId="0" borderId="10" xfId="0" applyFont="1" applyBorder="1" applyAlignment="1">
      <alignment vertical="center"/>
    </xf>
    <xf numFmtId="0" fontId="21" fillId="0" borderId="21" xfId="0" applyFont="1" applyBorder="1" applyAlignment="1">
      <alignment vertical="center"/>
    </xf>
    <xf numFmtId="0" fontId="21" fillId="0" borderId="28" xfId="0" applyFont="1" applyBorder="1" applyAlignment="1">
      <alignment vertical="center"/>
    </xf>
    <xf numFmtId="0" fontId="21" fillId="0" borderId="23" xfId="0" applyFont="1" applyBorder="1" applyAlignment="1">
      <alignment vertical="center"/>
    </xf>
    <xf numFmtId="0" fontId="21" fillId="0" borderId="22" xfId="0" applyFont="1" applyBorder="1" applyAlignment="1">
      <alignment vertical="center"/>
    </xf>
    <xf numFmtId="0" fontId="21" fillId="0" borderId="20" xfId="0" applyFont="1" applyBorder="1" applyAlignment="1">
      <alignment vertical="center"/>
    </xf>
    <xf numFmtId="0" fontId="21" fillId="0" borderId="24" xfId="0" applyFont="1" applyBorder="1" applyAlignment="1">
      <alignment vertical="center"/>
    </xf>
    <xf numFmtId="0" fontId="21" fillId="0" borderId="33" xfId="0" applyFont="1" applyBorder="1" applyAlignment="1">
      <alignment vertical="center"/>
    </xf>
    <xf numFmtId="0" fontId="21" fillId="0" borderId="25" xfId="0" applyFont="1" applyBorder="1" applyAlignment="1">
      <alignment vertical="center"/>
    </xf>
    <xf numFmtId="0" fontId="21" fillId="0" borderId="34" xfId="0" applyFont="1" applyBorder="1" applyAlignment="1">
      <alignment vertical="center"/>
    </xf>
    <xf numFmtId="0" fontId="21" fillId="0" borderId="35" xfId="0" applyFont="1" applyBorder="1" applyAlignment="1">
      <alignment vertical="center"/>
    </xf>
    <xf numFmtId="0" fontId="21" fillId="0" borderId="36" xfId="0" applyFont="1" applyBorder="1" applyAlignment="1">
      <alignment vertical="center"/>
    </xf>
    <xf numFmtId="0" fontId="21" fillId="0" borderId="19" xfId="0" applyFont="1" applyBorder="1" applyAlignment="1">
      <alignment vertical="center"/>
    </xf>
    <xf numFmtId="0" fontId="29" fillId="0" borderId="0" xfId="0" applyFont="1" applyAlignment="1">
      <alignment vertical="center"/>
    </xf>
    <xf numFmtId="0" fontId="21" fillId="0" borderId="27" xfId="0" applyFont="1" applyBorder="1" applyAlignment="1">
      <alignment horizontal="center" vertical="center"/>
    </xf>
    <xf numFmtId="0" fontId="21" fillId="0" borderId="27" xfId="0" applyFont="1" applyBorder="1" applyAlignment="1">
      <alignment vertical="center"/>
    </xf>
    <xf numFmtId="0" fontId="21" fillId="0" borderId="31" xfId="0" applyFont="1" applyBorder="1" applyAlignment="1">
      <alignment vertical="center"/>
    </xf>
    <xf numFmtId="0" fontId="21" fillId="0" borderId="29" xfId="0" applyFont="1" applyBorder="1" applyAlignment="1">
      <alignment vertical="center"/>
    </xf>
    <xf numFmtId="0" fontId="21" fillId="0" borderId="22" xfId="37" applyFont="1" applyBorder="1" applyAlignment="1">
      <alignment vertical="center"/>
    </xf>
    <xf numFmtId="0" fontId="21" fillId="0" borderId="0" xfId="37" applyFont="1" applyAlignment="1">
      <alignment vertical="center"/>
    </xf>
    <xf numFmtId="0" fontId="21" fillId="0" borderId="27" xfId="37" applyFont="1" applyBorder="1" applyAlignment="1">
      <alignment vertical="center"/>
    </xf>
    <xf numFmtId="165" fontId="21" fillId="0" borderId="0" xfId="37" applyNumberFormat="1" applyFont="1" applyAlignment="1">
      <alignment horizontal="center" vertical="center"/>
    </xf>
    <xf numFmtId="0" fontId="21" fillId="0" borderId="21" xfId="37" applyFont="1" applyBorder="1" applyAlignment="1">
      <alignment vertical="center"/>
    </xf>
    <xf numFmtId="0" fontId="21" fillId="0" borderId="10" xfId="37" applyFont="1" applyBorder="1" applyAlignment="1">
      <alignment vertical="center"/>
    </xf>
    <xf numFmtId="0" fontId="21" fillId="0" borderId="12" xfId="37" applyFont="1" applyBorder="1" applyAlignment="1">
      <alignment vertical="top" wrapText="1"/>
    </xf>
    <xf numFmtId="0" fontId="30" fillId="0" borderId="21" xfId="37" applyFont="1" applyBorder="1" applyAlignment="1">
      <alignment vertical="center" wrapText="1"/>
    </xf>
    <xf numFmtId="0" fontId="21" fillId="0" borderId="23" xfId="37" applyFont="1" applyBorder="1" applyAlignment="1">
      <alignment vertical="center"/>
    </xf>
    <xf numFmtId="0" fontId="21" fillId="0" borderId="20" xfId="37" applyFont="1" applyBorder="1" applyAlignment="1">
      <alignment vertical="center"/>
    </xf>
    <xf numFmtId="0" fontId="21" fillId="0" borderId="28" xfId="37" applyFont="1" applyBorder="1"/>
    <xf numFmtId="0" fontId="21" fillId="0" borderId="31" xfId="37" applyFont="1" applyBorder="1"/>
    <xf numFmtId="0" fontId="21" fillId="0" borderId="31" xfId="37" applyFont="1" applyBorder="1" applyAlignment="1">
      <alignment vertical="center"/>
    </xf>
    <xf numFmtId="165" fontId="21" fillId="0" borderId="31" xfId="37" applyNumberFormat="1" applyFont="1" applyBorder="1" applyAlignment="1">
      <alignment horizontal="center" vertical="center"/>
    </xf>
    <xf numFmtId="0" fontId="21" fillId="0" borderId="22" xfId="37" applyFont="1" applyBorder="1" applyAlignment="1">
      <alignment horizontal="right" vertical="center"/>
    </xf>
    <xf numFmtId="166" fontId="21" fillId="0" borderId="20" xfId="37" applyNumberFormat="1" applyFont="1" applyBorder="1" applyAlignment="1">
      <alignment vertical="center"/>
    </xf>
    <xf numFmtId="0" fontId="21" fillId="0" borderId="33" xfId="37" applyFont="1" applyBorder="1" applyAlignment="1">
      <alignment vertical="center"/>
    </xf>
    <xf numFmtId="0" fontId="21" fillId="0" borderId="34" xfId="37" applyFont="1" applyBorder="1" applyAlignment="1">
      <alignment vertical="center"/>
    </xf>
    <xf numFmtId="0" fontId="21" fillId="0" borderId="24" xfId="37" applyFont="1" applyBorder="1" applyAlignment="1">
      <alignment vertical="center"/>
    </xf>
    <xf numFmtId="0" fontId="21" fillId="0" borderId="25" xfId="37" applyFont="1" applyBorder="1" applyAlignment="1">
      <alignment vertical="center"/>
    </xf>
    <xf numFmtId="0" fontId="21" fillId="0" borderId="38" xfId="37" applyFont="1" applyBorder="1" applyAlignment="1">
      <alignment vertical="center"/>
    </xf>
    <xf numFmtId="0" fontId="21" fillId="0" borderId="35" xfId="37" applyFont="1" applyBorder="1" applyAlignment="1">
      <alignment vertical="center"/>
    </xf>
    <xf numFmtId="0" fontId="21" fillId="0" borderId="37" xfId="37" applyFont="1" applyBorder="1" applyAlignment="1">
      <alignment vertical="center"/>
    </xf>
    <xf numFmtId="0" fontId="2" fillId="0" borderId="0" xfId="0" applyFont="1" applyAlignment="1">
      <alignment vertical="top" wrapText="1"/>
    </xf>
    <xf numFmtId="0" fontId="2" fillId="0" borderId="0" xfId="0" applyFont="1" applyAlignment="1">
      <alignment vertical="center"/>
    </xf>
    <xf numFmtId="165" fontId="23" fillId="0" borderId="24" xfId="0" applyNumberFormat="1" applyFont="1" applyBorder="1" applyAlignment="1">
      <alignment horizontal="center" vertical="center"/>
    </xf>
    <xf numFmtId="0" fontId="2" fillId="0" borderId="34" xfId="0" applyFont="1" applyBorder="1" applyAlignment="1">
      <alignment vertical="center"/>
    </xf>
    <xf numFmtId="0" fontId="2" fillId="0" borderId="0" xfId="37" applyAlignment="1">
      <alignment vertical="center"/>
    </xf>
    <xf numFmtId="0" fontId="28" fillId="0" borderId="21" xfId="37" applyFont="1" applyBorder="1" applyAlignment="1">
      <alignment horizontal="center" vertical="center"/>
    </xf>
    <xf numFmtId="165" fontId="21" fillId="0" borderId="0" xfId="37" applyNumberFormat="1" applyFont="1" applyAlignment="1">
      <alignment vertical="center"/>
    </xf>
    <xf numFmtId="0" fontId="28" fillId="0" borderId="0" xfId="0" applyFont="1" applyAlignment="1">
      <alignment vertical="center"/>
    </xf>
    <xf numFmtId="166" fontId="24" fillId="0" borderId="0" xfId="0" applyNumberFormat="1" applyFont="1" applyAlignment="1">
      <alignment horizontal="center" vertical="center"/>
    </xf>
    <xf numFmtId="0" fontId="30" fillId="0" borderId="0" xfId="0" applyFont="1" applyAlignment="1">
      <alignment vertical="top"/>
    </xf>
    <xf numFmtId="0" fontId="21" fillId="0" borderId="0" xfId="0" applyFont="1" applyAlignment="1">
      <alignment vertical="top" wrapText="1"/>
    </xf>
    <xf numFmtId="0" fontId="21" fillId="0" borderId="16" xfId="0" applyFont="1" applyBorder="1" applyAlignment="1">
      <alignment vertical="center"/>
    </xf>
    <xf numFmtId="0" fontId="33" fillId="0" borderId="21" xfId="0" applyFont="1" applyBorder="1" applyAlignment="1">
      <alignment vertical="center"/>
    </xf>
    <xf numFmtId="0" fontId="33" fillId="0" borderId="10" xfId="0" applyFont="1" applyBorder="1" applyAlignment="1">
      <alignment vertical="center"/>
    </xf>
    <xf numFmtId="0" fontId="21" fillId="0" borderId="17" xfId="0" applyFont="1" applyBorder="1" applyAlignment="1">
      <alignment vertical="center"/>
    </xf>
    <xf numFmtId="0" fontId="25" fillId="0" borderId="0" xfId="40" applyFont="1" applyAlignment="1">
      <alignment vertical="top"/>
    </xf>
    <xf numFmtId="0" fontId="25" fillId="0" borderId="0" xfId="40" applyFont="1" applyAlignment="1">
      <alignment horizontal="left" vertical="center"/>
    </xf>
    <xf numFmtId="0" fontId="28" fillId="0" borderId="0" xfId="40" applyFont="1" applyAlignment="1">
      <alignment vertical="center"/>
    </xf>
    <xf numFmtId="166" fontId="21" fillId="0" borderId="0" xfId="40" applyNumberFormat="1" applyFont="1" applyAlignment="1">
      <alignment horizontal="right" vertical="center"/>
    </xf>
    <xf numFmtId="0" fontId="25" fillId="0" borderId="0" xfId="40" applyFont="1" applyAlignment="1">
      <alignment vertical="center"/>
    </xf>
    <xf numFmtId="0" fontId="25" fillId="0" borderId="0" xfId="40" applyFont="1" applyAlignment="1">
      <alignment horizontal="left" vertical="center" wrapText="1"/>
    </xf>
    <xf numFmtId="166" fontId="21" fillId="0" borderId="0" xfId="40" applyNumberFormat="1" applyFont="1" applyAlignment="1">
      <alignment horizontal="left" vertical="center" wrapText="1"/>
    </xf>
    <xf numFmtId="0" fontId="26" fillId="0" borderId="0" xfId="40" applyFont="1" applyAlignment="1">
      <alignment horizontal="right" vertical="center" wrapText="1"/>
    </xf>
    <xf numFmtId="0" fontId="27" fillId="0" borderId="0" xfId="40" applyFont="1" applyAlignment="1">
      <alignment vertical="center" wrapText="1"/>
    </xf>
    <xf numFmtId="166" fontId="2" fillId="0" borderId="0" xfId="40" applyNumberFormat="1" applyFont="1" applyAlignment="1">
      <alignment horizontal="center" vertical="center"/>
    </xf>
    <xf numFmtId="0" fontId="21" fillId="0" borderId="0" xfId="40" applyFont="1" applyAlignment="1">
      <alignment horizontal="left" vertical="center"/>
    </xf>
    <xf numFmtId="0" fontId="21" fillId="0" borderId="0" xfId="40" applyFont="1" applyAlignment="1">
      <alignment vertical="center"/>
    </xf>
    <xf numFmtId="0" fontId="21" fillId="0" borderId="0" xfId="40" applyFont="1" applyAlignment="1">
      <alignment horizontal="center" vertical="center"/>
    </xf>
    <xf numFmtId="0" fontId="21" fillId="0" borderId="33" xfId="40" applyFont="1" applyBorder="1" applyAlignment="1">
      <alignment vertical="center"/>
    </xf>
    <xf numFmtId="0" fontId="21" fillId="0" borderId="25" xfId="40" applyFont="1" applyBorder="1" applyAlignment="1">
      <alignment vertical="center"/>
    </xf>
    <xf numFmtId="0" fontId="2" fillId="0" borderId="34" xfId="40" applyFont="1" applyBorder="1" applyAlignment="1">
      <alignment vertical="center"/>
    </xf>
    <xf numFmtId="0" fontId="2" fillId="0" borderId="34" xfId="40" applyFont="1" applyBorder="1" applyAlignment="1">
      <alignment vertical="center" wrapText="1"/>
    </xf>
    <xf numFmtId="0" fontId="21" fillId="0" borderId="34" xfId="40" applyFont="1" applyBorder="1" applyAlignment="1">
      <alignment vertical="center"/>
    </xf>
    <xf numFmtId="166" fontId="2" fillId="0" borderId="34" xfId="40" applyNumberFormat="1" applyFont="1" applyBorder="1" applyAlignment="1">
      <alignment horizontal="left" vertical="center"/>
    </xf>
    <xf numFmtId="166" fontId="2" fillId="0" borderId="17" xfId="40" applyNumberFormat="1" applyFont="1" applyBorder="1" applyAlignment="1">
      <alignment horizontal="center" vertical="center"/>
    </xf>
    <xf numFmtId="0" fontId="2" fillId="0" borderId="18" xfId="40" applyFont="1" applyBorder="1" applyAlignment="1">
      <alignment horizontal="left" vertical="center"/>
    </xf>
    <xf numFmtId="0" fontId="2" fillId="0" borderId="34" xfId="40" applyFont="1" applyBorder="1" applyAlignment="1">
      <alignment horizontal="left" vertical="center"/>
    </xf>
    <xf numFmtId="0" fontId="2" fillId="0" borderId="18" xfId="40" applyFont="1" applyBorder="1" applyAlignment="1">
      <alignment vertical="center"/>
    </xf>
    <xf numFmtId="165" fontId="2" fillId="0" borderId="33" xfId="40" applyNumberFormat="1" applyFont="1" applyBorder="1" applyAlignment="1">
      <alignment horizontal="center" vertical="center"/>
    </xf>
    <xf numFmtId="0" fontId="21" fillId="0" borderId="58" xfId="40" applyFont="1" applyBorder="1" applyAlignment="1">
      <alignment horizontal="left" vertical="center"/>
    </xf>
    <xf numFmtId="166" fontId="2" fillId="0" borderId="21" xfId="40" applyNumberFormat="1" applyFont="1" applyBorder="1" applyAlignment="1">
      <alignment horizontal="center" vertical="center"/>
    </xf>
    <xf numFmtId="0" fontId="2" fillId="0" borderId="0" xfId="40" applyFont="1" applyAlignment="1">
      <alignment vertical="center"/>
    </xf>
    <xf numFmtId="0" fontId="2" fillId="0" borderId="56" xfId="40" applyFont="1" applyBorder="1" applyAlignment="1">
      <alignment horizontal="right" vertical="center"/>
    </xf>
    <xf numFmtId="0" fontId="21" fillId="0" borderId="59" xfId="40" applyFont="1" applyBorder="1" applyAlignment="1">
      <alignment horizontal="left" vertical="center"/>
    </xf>
    <xf numFmtId="166" fontId="2" fillId="0" borderId="23" xfId="40" applyNumberFormat="1" applyFont="1" applyBorder="1" applyAlignment="1">
      <alignment horizontal="center" vertical="center"/>
    </xf>
    <xf numFmtId="0" fontId="2" fillId="0" borderId="22" xfId="40" applyFont="1" applyBorder="1" applyAlignment="1">
      <alignment vertical="center"/>
    </xf>
    <xf numFmtId="0" fontId="23" fillId="0" borderId="22" xfId="40" applyFont="1" applyBorder="1" applyAlignment="1">
      <alignment vertical="center"/>
    </xf>
    <xf numFmtId="0" fontId="23" fillId="0" borderId="34" xfId="40" applyFont="1" applyBorder="1" applyAlignment="1">
      <alignment vertical="center"/>
    </xf>
    <xf numFmtId="0" fontId="2" fillId="0" borderId="34" xfId="40" applyFont="1" applyBorder="1" applyAlignment="1">
      <alignment horizontal="right" vertical="center"/>
    </xf>
    <xf numFmtId="0" fontId="23" fillId="0" borderId="34" xfId="40" applyFont="1" applyBorder="1" applyAlignment="1">
      <alignment horizontal="right" vertical="center"/>
    </xf>
    <xf numFmtId="0" fontId="21" fillId="0" borderId="57" xfId="40" applyFont="1" applyBorder="1" applyAlignment="1">
      <alignment vertical="center"/>
    </xf>
    <xf numFmtId="0" fontId="2" fillId="0" borderId="0" xfId="0" applyFont="1" applyAlignment="1">
      <alignment horizontal="left" vertical="center"/>
    </xf>
    <xf numFmtId="0" fontId="25" fillId="26" borderId="0" xfId="37" applyFont="1" applyFill="1" applyAlignment="1">
      <alignment vertical="center"/>
    </xf>
    <xf numFmtId="0" fontId="21" fillId="26" borderId="0" xfId="37" applyFont="1" applyFill="1" applyAlignment="1">
      <alignment vertical="center"/>
    </xf>
    <xf numFmtId="0" fontId="2" fillId="26" borderId="0" xfId="37" applyFill="1"/>
    <xf numFmtId="0" fontId="2" fillId="26" borderId="0" xfId="37" applyFill="1" applyAlignment="1">
      <alignment horizontal="center" vertical="center"/>
    </xf>
    <xf numFmtId="0" fontId="2" fillId="0" borderId="0" xfId="37"/>
    <xf numFmtId="0" fontId="2" fillId="26" borderId="24" xfId="37" applyFill="1" applyBorder="1"/>
    <xf numFmtId="0" fontId="2" fillId="0" borderId="0" xfId="37" applyAlignment="1">
      <alignment horizontal="center" vertical="center"/>
    </xf>
    <xf numFmtId="0" fontId="2" fillId="26" borderId="25" xfId="37" applyFill="1" applyBorder="1"/>
    <xf numFmtId="0" fontId="2" fillId="26" borderId="18" xfId="37" applyFill="1" applyBorder="1" applyAlignment="1">
      <alignment horizontal="left" vertical="center"/>
    </xf>
    <xf numFmtId="0" fontId="2" fillId="26" borderId="18" xfId="37" applyFill="1" applyBorder="1" applyAlignment="1">
      <alignment horizontal="center" vertical="center"/>
    </xf>
    <xf numFmtId="0" fontId="2" fillId="26" borderId="21" xfId="37" applyFill="1" applyBorder="1" applyAlignment="1">
      <alignment horizontal="center" vertical="center"/>
    </xf>
    <xf numFmtId="0" fontId="2" fillId="26" borderId="10" xfId="37" applyFill="1" applyBorder="1" applyAlignment="1">
      <alignment horizontal="center" vertical="center"/>
    </xf>
    <xf numFmtId="0" fontId="21" fillId="26" borderId="27" xfId="37" applyFont="1" applyFill="1" applyBorder="1" applyAlignment="1">
      <alignment horizontal="left" vertical="center"/>
    </xf>
    <xf numFmtId="0" fontId="21" fillId="0" borderId="27" xfId="37" applyFont="1" applyBorder="1"/>
    <xf numFmtId="0" fontId="21" fillId="26" borderId="27" xfId="37" applyFont="1" applyFill="1" applyBorder="1" applyAlignment="1">
      <alignment horizontal="center" vertical="center"/>
    </xf>
    <xf numFmtId="0" fontId="21" fillId="26" borderId="0" xfId="37" applyFont="1" applyFill="1" applyAlignment="1">
      <alignment horizontal="center" vertical="center"/>
    </xf>
    <xf numFmtId="0" fontId="2" fillId="26" borderId="23" xfId="37" applyFill="1" applyBorder="1" applyAlignment="1">
      <alignment horizontal="center" vertical="center"/>
    </xf>
    <xf numFmtId="0" fontId="21" fillId="0" borderId="22" xfId="37" applyFont="1" applyBorder="1"/>
    <xf numFmtId="0" fontId="21" fillId="26" borderId="22" xfId="37" applyFont="1" applyFill="1" applyBorder="1" applyAlignment="1">
      <alignment horizontal="center" vertical="center"/>
    </xf>
    <xf numFmtId="0" fontId="2" fillId="26" borderId="22" xfId="37" applyFill="1" applyBorder="1" applyAlignment="1">
      <alignment horizontal="center" vertical="center"/>
    </xf>
    <xf numFmtId="0" fontId="2" fillId="26" borderId="20" xfId="37" applyFill="1" applyBorder="1" applyAlignment="1">
      <alignment horizontal="center" vertical="center"/>
    </xf>
    <xf numFmtId="0" fontId="2" fillId="26" borderId="18" xfId="37" applyFill="1" applyBorder="1"/>
    <xf numFmtId="0" fontId="2" fillId="26" borderId="18" xfId="37" applyFill="1" applyBorder="1" applyAlignment="1">
      <alignment horizontal="right" vertical="center"/>
    </xf>
    <xf numFmtId="0" fontId="2" fillId="0" borderId="61" xfId="37" applyBorder="1"/>
    <xf numFmtId="0" fontId="2" fillId="26" borderId="21" xfId="37" applyFill="1" applyBorder="1"/>
    <xf numFmtId="0" fontId="2" fillId="26" borderId="10" xfId="37" applyFill="1" applyBorder="1"/>
    <xf numFmtId="0" fontId="2" fillId="26" borderId="22" xfId="37" applyFill="1" applyBorder="1"/>
    <xf numFmtId="0" fontId="2" fillId="26" borderId="22" xfId="37" applyFill="1" applyBorder="1" applyAlignment="1">
      <alignment horizontal="right" vertical="center"/>
    </xf>
    <xf numFmtId="0" fontId="2" fillId="26" borderId="23" xfId="37" applyFill="1" applyBorder="1"/>
    <xf numFmtId="0" fontId="2" fillId="26" borderId="20" xfId="37" applyFill="1" applyBorder="1"/>
    <xf numFmtId="0" fontId="2" fillId="26" borderId="18" xfId="37" applyFill="1" applyBorder="1" applyAlignment="1">
      <alignment vertical="center"/>
    </xf>
    <xf numFmtId="0" fontId="2" fillId="26" borderId="17" xfId="37" applyFill="1" applyBorder="1"/>
    <xf numFmtId="0" fontId="2" fillId="26" borderId="16" xfId="37" applyFill="1" applyBorder="1"/>
    <xf numFmtId="0" fontId="2" fillId="0" borderId="22" xfId="37" applyBorder="1" applyAlignment="1">
      <alignment vertical="top"/>
    </xf>
    <xf numFmtId="0" fontId="2" fillId="26" borderId="22" xfId="37" applyFill="1" applyBorder="1" applyAlignment="1">
      <alignment vertical="top"/>
    </xf>
    <xf numFmtId="0" fontId="2" fillId="26" borderId="22" xfId="37" applyFill="1" applyBorder="1" applyAlignment="1">
      <alignment horizontal="right" vertical="top"/>
    </xf>
    <xf numFmtId="0" fontId="2" fillId="26" borderId="23" xfId="37" applyFill="1" applyBorder="1" applyAlignment="1">
      <alignment vertical="top"/>
    </xf>
    <xf numFmtId="0" fontId="2" fillId="26" borderId="20" xfId="37" applyFill="1" applyBorder="1" applyAlignment="1">
      <alignment vertical="top"/>
    </xf>
    <xf numFmtId="0" fontId="2" fillId="0" borderId="0" xfId="37" applyAlignment="1">
      <alignment vertical="top"/>
    </xf>
    <xf numFmtId="0" fontId="2" fillId="26" borderId="0" xfId="37" applyFill="1" applyAlignment="1">
      <alignment horizontal="right" vertical="center"/>
    </xf>
    <xf numFmtId="0" fontId="2" fillId="26" borderId="21" xfId="37" applyFill="1" applyBorder="1" applyAlignment="1">
      <alignment horizontal="center"/>
    </xf>
    <xf numFmtId="0" fontId="21" fillId="26" borderId="27" xfId="37" applyFont="1" applyFill="1" applyBorder="1"/>
    <xf numFmtId="0" fontId="21" fillId="26" borderId="20" xfId="37" applyFont="1" applyFill="1" applyBorder="1" applyAlignment="1">
      <alignment horizontal="center" vertical="center"/>
    </xf>
    <xf numFmtId="0" fontId="21" fillId="26" borderId="39" xfId="37" applyFont="1" applyFill="1" applyBorder="1"/>
    <xf numFmtId="0" fontId="2" fillId="26" borderId="28" xfId="37" applyFill="1" applyBorder="1" applyAlignment="1">
      <alignment horizontal="center"/>
    </xf>
    <xf numFmtId="0" fontId="2" fillId="26" borderId="31" xfId="37" applyFill="1" applyBorder="1"/>
    <xf numFmtId="0" fontId="2" fillId="26" borderId="29" xfId="37" applyFill="1" applyBorder="1"/>
    <xf numFmtId="0" fontId="2" fillId="0" borderId="21" xfId="37" applyBorder="1"/>
    <xf numFmtId="0" fontId="2" fillId="26" borderId="28" xfId="37" applyFill="1" applyBorder="1" applyAlignment="1">
      <alignment horizontal="center" vertical="top"/>
    </xf>
    <xf numFmtId="0" fontId="30" fillId="0" borderId="22" xfId="0" applyFont="1" applyBorder="1" applyAlignment="1">
      <alignment vertical="center"/>
    </xf>
    <xf numFmtId="0" fontId="2" fillId="26" borderId="0" xfId="37" applyFill="1" applyAlignment="1">
      <alignment vertical="center"/>
    </xf>
    <xf numFmtId="0" fontId="30" fillId="0" borderId="0" xfId="0" applyFont="1"/>
    <xf numFmtId="0" fontId="21" fillId="0" borderId="23" xfId="37" applyFont="1" applyBorder="1" applyAlignment="1">
      <alignment horizontal="center" vertical="center"/>
    </xf>
    <xf numFmtId="0" fontId="21" fillId="0" borderId="20" xfId="37" applyFont="1" applyBorder="1" applyAlignment="1">
      <alignment horizontal="center" vertical="center"/>
    </xf>
    <xf numFmtId="0" fontId="21" fillId="0" borderId="34" xfId="37" applyFont="1" applyBorder="1" applyAlignment="1">
      <alignment horizontal="center" vertical="center"/>
    </xf>
    <xf numFmtId="0" fontId="21" fillId="0" borderId="38" xfId="37" applyFont="1" applyBorder="1" applyAlignment="1">
      <alignment horizontal="center" vertical="center"/>
    </xf>
    <xf numFmtId="0" fontId="21" fillId="0" borderId="22" xfId="37" applyFont="1" applyBorder="1" applyAlignment="1">
      <alignment horizontal="center" vertical="center"/>
    </xf>
    <xf numFmtId="0" fontId="2" fillId="0" borderId="0" xfId="0" applyFont="1"/>
    <xf numFmtId="0" fontId="21" fillId="0" borderId="10" xfId="0" applyFont="1" applyBorder="1" applyAlignment="1">
      <alignment horizontal="center"/>
    </xf>
    <xf numFmtId="166" fontId="21" fillId="0" borderId="29" xfId="37" applyNumberFormat="1" applyFont="1" applyBorder="1" applyAlignment="1">
      <alignment vertical="center"/>
    </xf>
    <xf numFmtId="0" fontId="2" fillId="0" borderId="0" xfId="40" applyFont="1" applyAlignment="1">
      <alignment horizontal="left" vertical="center"/>
    </xf>
    <xf numFmtId="0" fontId="30" fillId="0" borderId="0" xfId="0" applyFont="1" applyAlignment="1">
      <alignment vertical="center"/>
    </xf>
    <xf numFmtId="0" fontId="30" fillId="0" borderId="0" xfId="37" applyFont="1" applyAlignment="1">
      <alignment vertical="center" wrapText="1"/>
    </xf>
    <xf numFmtId="0" fontId="30" fillId="0" borderId="10" xfId="37" applyFont="1" applyBorder="1" applyAlignment="1">
      <alignment vertical="center" wrapText="1"/>
    </xf>
    <xf numFmtId="0" fontId="21" fillId="0" borderId="28" xfId="37" applyFont="1" applyBorder="1" applyAlignment="1">
      <alignment vertical="center"/>
    </xf>
    <xf numFmtId="0" fontId="31" fillId="0" borderId="31" xfId="37" applyFont="1" applyBorder="1" applyAlignment="1">
      <alignment vertical="center" wrapText="1"/>
    </xf>
    <xf numFmtId="0" fontId="31" fillId="0" borderId="29" xfId="37" applyFont="1" applyBorder="1" applyAlignment="1">
      <alignment vertical="center" wrapText="1"/>
    </xf>
    <xf numFmtId="0" fontId="31" fillId="0" borderId="28" xfId="37" applyFont="1" applyBorder="1" applyAlignment="1">
      <alignment vertical="center" wrapText="1"/>
    </xf>
    <xf numFmtId="166" fontId="28" fillId="0" borderId="10" xfId="37" applyNumberFormat="1" applyFont="1" applyBorder="1" applyAlignment="1">
      <alignment vertical="center" wrapText="1"/>
    </xf>
    <xf numFmtId="166" fontId="21" fillId="0" borderId="0" xfId="37" applyNumberFormat="1" applyFont="1" applyAlignment="1">
      <alignment horizontal="center" vertical="center"/>
    </xf>
    <xf numFmtId="0" fontId="25" fillId="0" borderId="0" xfId="37" applyFont="1" applyAlignment="1">
      <alignment horizontal="right" vertical="center"/>
    </xf>
    <xf numFmtId="0" fontId="21" fillId="0" borderId="34" xfId="0" applyFont="1" applyBorder="1" applyAlignment="1">
      <alignment horizontal="center" vertical="center"/>
    </xf>
    <xf numFmtId="0" fontId="24" fillId="0" borderId="0" xfId="0" applyFont="1" applyAlignment="1">
      <alignment vertical="top" wrapText="1"/>
    </xf>
    <xf numFmtId="0" fontId="23" fillId="0" borderId="0" xfId="0" applyFont="1" applyAlignment="1">
      <alignment vertical="center"/>
    </xf>
    <xf numFmtId="0" fontId="2" fillId="0" borderId="12" xfId="0" applyFont="1" applyBorder="1" applyAlignment="1">
      <alignment vertical="top"/>
    </xf>
    <xf numFmtId="0" fontId="2" fillId="0" borderId="21" xfId="0" applyFont="1" applyBorder="1" applyAlignment="1">
      <alignment vertical="top"/>
    </xf>
    <xf numFmtId="0" fontId="21" fillId="0" borderId="12" xfId="0" applyFont="1" applyBorder="1" applyAlignment="1">
      <alignment vertical="center"/>
    </xf>
    <xf numFmtId="0" fontId="21" fillId="0" borderId="37" xfId="0" applyFont="1" applyBorder="1" applyAlignment="1">
      <alignment vertical="center"/>
    </xf>
    <xf numFmtId="0" fontId="21" fillId="0" borderId="38" xfId="0" applyFont="1" applyBorder="1" applyAlignment="1">
      <alignment vertical="center"/>
    </xf>
    <xf numFmtId="0" fontId="21" fillId="0" borderId="0" xfId="0" applyFont="1" applyAlignment="1">
      <alignment horizontal="center" vertical="center"/>
    </xf>
    <xf numFmtId="166" fontId="27" fillId="0" borderId="0" xfId="0" applyNumberFormat="1" applyFont="1" applyAlignment="1">
      <alignment horizontal="center" vertical="center"/>
    </xf>
    <xf numFmtId="0" fontId="27" fillId="0" borderId="21" xfId="0" applyFont="1" applyBorder="1" applyAlignment="1">
      <alignment vertical="top" wrapText="1"/>
    </xf>
    <xf numFmtId="0" fontId="21" fillId="0" borderId="28" xfId="0" applyFont="1" applyBorder="1" applyAlignment="1">
      <alignment vertical="top"/>
    </xf>
    <xf numFmtId="0" fontId="21" fillId="0" borderId="37" xfId="0" applyFont="1" applyBorder="1" applyAlignment="1">
      <alignment horizontal="center" vertical="center"/>
    </xf>
    <xf numFmtId="0" fontId="21" fillId="0" borderId="67" xfId="40" applyFont="1" applyBorder="1" applyAlignment="1">
      <alignment horizontal="center" vertical="center"/>
    </xf>
    <xf numFmtId="0" fontId="21" fillId="26" borderId="31" xfId="37" applyFont="1" applyFill="1" applyBorder="1" applyAlignment="1">
      <alignment horizontal="center" vertical="center"/>
    </xf>
    <xf numFmtId="0" fontId="21" fillId="0" borderId="30" xfId="37" applyFont="1" applyBorder="1"/>
    <xf numFmtId="0" fontId="21" fillId="26" borderId="30" xfId="37" applyFont="1" applyFill="1" applyBorder="1" applyAlignment="1">
      <alignment horizontal="center" vertical="center"/>
    </xf>
    <xf numFmtId="0" fontId="2" fillId="26" borderId="34" xfId="37" applyFill="1" applyBorder="1" applyAlignment="1">
      <alignment vertical="center"/>
    </xf>
    <xf numFmtId="0" fontId="2" fillId="26" borderId="34" xfId="37" applyFill="1" applyBorder="1"/>
    <xf numFmtId="0" fontId="2" fillId="26" borderId="34" xfId="37" applyFill="1" applyBorder="1" applyAlignment="1">
      <alignment horizontal="right" vertical="center"/>
    </xf>
    <xf numFmtId="0" fontId="2" fillId="26" borderId="33" xfId="37" applyFill="1" applyBorder="1"/>
    <xf numFmtId="0" fontId="38" fillId="0" borderId="0" xfId="0" applyFont="1" applyAlignment="1">
      <alignment vertical="center"/>
    </xf>
    <xf numFmtId="0" fontId="38" fillId="0" borderId="0" xfId="37" applyFont="1" applyAlignment="1">
      <alignment vertical="center"/>
    </xf>
    <xf numFmtId="0" fontId="36" fillId="0" borderId="0" xfId="37" applyFont="1" applyAlignment="1">
      <alignment vertical="center"/>
    </xf>
    <xf numFmtId="0" fontId="38" fillId="0" borderId="0" xfId="37" applyFont="1" applyAlignment="1">
      <alignment horizontal="right" vertical="center"/>
    </xf>
    <xf numFmtId="0" fontId="42" fillId="0" borderId="0" xfId="37" applyFont="1" applyAlignment="1">
      <alignment horizontal="right" vertical="center"/>
    </xf>
    <xf numFmtId="166" fontId="36" fillId="0" borderId="0" xfId="37" applyNumberFormat="1" applyFont="1" applyAlignment="1">
      <alignment vertical="center"/>
    </xf>
    <xf numFmtId="0" fontId="40" fillId="0" borderId="0" xfId="37" applyFont="1" applyAlignment="1">
      <alignment vertical="center"/>
    </xf>
    <xf numFmtId="166" fontId="36" fillId="0" borderId="0" xfId="37" applyNumberFormat="1" applyFont="1" applyAlignment="1">
      <alignment horizontal="center" vertical="center"/>
    </xf>
    <xf numFmtId="0" fontId="36" fillId="0" borderId="27" xfId="37" applyFont="1" applyBorder="1" applyAlignment="1">
      <alignment vertical="center"/>
    </xf>
    <xf numFmtId="0" fontId="36" fillId="0" borderId="24" xfId="37" applyFont="1" applyBorder="1" applyAlignment="1">
      <alignment vertical="center"/>
    </xf>
    <xf numFmtId="0" fontId="36" fillId="0" borderId="18" xfId="37" applyFont="1" applyBorder="1" applyAlignment="1">
      <alignment vertical="center"/>
    </xf>
    <xf numFmtId="0" fontId="36" fillId="0" borderId="16" xfId="37" applyFont="1" applyBorder="1" applyAlignment="1">
      <alignment vertical="center"/>
    </xf>
    <xf numFmtId="0" fontId="39" fillId="0" borderId="0" xfId="37" applyFont="1" applyAlignment="1">
      <alignment vertical="center"/>
    </xf>
    <xf numFmtId="0" fontId="36" fillId="0" borderId="0" xfId="37" applyFont="1" applyAlignment="1">
      <alignment horizontal="center" vertical="center"/>
    </xf>
    <xf numFmtId="0" fontId="36" fillId="0" borderId="21" xfId="37" applyFont="1" applyBorder="1" applyAlignment="1">
      <alignment vertical="center"/>
    </xf>
    <xf numFmtId="0" fontId="40" fillId="0" borderId="0" xfId="37" applyFont="1" applyAlignment="1">
      <alignment vertical="top" wrapText="1"/>
    </xf>
    <xf numFmtId="166" fontId="36" fillId="0" borderId="0" xfId="37" applyNumberFormat="1" applyFont="1" applyAlignment="1">
      <alignment horizontal="left" vertical="center"/>
    </xf>
    <xf numFmtId="0" fontId="36" fillId="0" borderId="0" xfId="37" applyFont="1" applyAlignment="1">
      <alignment horizontal="left" vertical="center"/>
    </xf>
    <xf numFmtId="0" fontId="36" fillId="0" borderId="0" xfId="37" applyFont="1" applyAlignment="1">
      <alignment horizontal="left" vertical="top"/>
    </xf>
    <xf numFmtId="0" fontId="36" fillId="0" borderId="0" xfId="37" applyFont="1" applyAlignment="1">
      <alignment vertical="top"/>
    </xf>
    <xf numFmtId="0" fontId="36" fillId="0" borderId="22" xfId="37" applyFont="1" applyBorder="1" applyAlignment="1">
      <alignment vertical="center"/>
    </xf>
    <xf numFmtId="0" fontId="36" fillId="0" borderId="20" xfId="37" applyFont="1" applyBorder="1" applyAlignment="1">
      <alignment vertical="center"/>
    </xf>
    <xf numFmtId="0" fontId="39" fillId="0" borderId="0" xfId="37" applyFont="1" applyAlignment="1">
      <alignment vertical="top"/>
    </xf>
    <xf numFmtId="0" fontId="36" fillId="0" borderId="34" xfId="37" applyFont="1" applyBorder="1" applyAlignment="1">
      <alignment vertical="center"/>
    </xf>
    <xf numFmtId="0" fontId="36" fillId="0" borderId="25" xfId="37" applyFont="1" applyBorder="1" applyAlignment="1">
      <alignment vertical="center"/>
    </xf>
    <xf numFmtId="0" fontId="36" fillId="0" borderId="33" xfId="37" applyFont="1" applyBorder="1" applyAlignment="1">
      <alignment vertical="center"/>
    </xf>
    <xf numFmtId="0" fontId="23" fillId="0" borderId="0" xfId="37" applyFont="1" applyAlignment="1">
      <alignment vertical="center"/>
    </xf>
    <xf numFmtId="0" fontId="23" fillId="0" borderId="0" xfId="37" applyFont="1" applyAlignment="1">
      <alignment vertical="top"/>
    </xf>
    <xf numFmtId="0" fontId="23" fillId="0" borderId="0" xfId="37" applyFont="1" applyAlignment="1">
      <alignment horizontal="center" vertical="top"/>
    </xf>
    <xf numFmtId="0" fontId="43" fillId="0" borderId="0" xfId="37" applyFont="1" applyAlignment="1">
      <alignment vertical="center"/>
    </xf>
    <xf numFmtId="0" fontId="23" fillId="0" borderId="0" xfId="37" applyFont="1" applyAlignment="1">
      <alignment horizontal="center" vertical="center"/>
    </xf>
    <xf numFmtId="0" fontId="34" fillId="0" borderId="0" xfId="37" applyFont="1" applyAlignment="1">
      <alignment vertical="top"/>
    </xf>
    <xf numFmtId="0" fontId="2" fillId="0" borderId="12" xfId="37" applyBorder="1" applyAlignment="1">
      <alignment vertical="top" wrapText="1"/>
    </xf>
    <xf numFmtId="0" fontId="43" fillId="0" borderId="24" xfId="37" applyFont="1" applyBorder="1" applyAlignment="1">
      <alignment vertical="center"/>
    </xf>
    <xf numFmtId="0" fontId="43" fillId="0" borderId="33" xfId="37" applyFont="1" applyBorder="1" applyAlignment="1">
      <alignment vertical="center"/>
    </xf>
    <xf numFmtId="0" fontId="34" fillId="0" borderId="0" xfId="0" applyFont="1" applyAlignment="1">
      <alignment vertical="top"/>
    </xf>
    <xf numFmtId="0" fontId="43" fillId="0" borderId="0" xfId="0" applyFont="1" applyAlignment="1">
      <alignment vertical="center"/>
    </xf>
    <xf numFmtId="0" fontId="23" fillId="0" borderId="0" xfId="0" applyFont="1" applyAlignment="1">
      <alignment vertical="top"/>
    </xf>
    <xf numFmtId="0" fontId="43" fillId="0" borderId="24" xfId="0" applyFont="1" applyBorder="1" applyAlignment="1">
      <alignment vertical="center"/>
    </xf>
    <xf numFmtId="0" fontId="43" fillId="0" borderId="23" xfId="37" applyFont="1" applyBorder="1" applyAlignment="1">
      <alignment vertical="center"/>
    </xf>
    <xf numFmtId="0" fontId="27" fillId="0" borderId="0" xfId="0" applyFont="1" applyAlignment="1">
      <alignment horizontal="center" vertical="center"/>
    </xf>
    <xf numFmtId="0" fontId="21" fillId="0" borderId="25" xfId="0" applyFont="1" applyBorder="1" applyAlignment="1">
      <alignment horizontal="center" vertical="center"/>
    </xf>
    <xf numFmtId="0" fontId="21" fillId="0" borderId="29" xfId="0" applyFont="1" applyBorder="1" applyAlignment="1">
      <alignment horizontal="center" vertical="center"/>
    </xf>
    <xf numFmtId="0" fontId="23" fillId="0" borderId="0" xfId="0" applyFont="1" applyAlignment="1">
      <alignment horizontal="right" vertical="center"/>
    </xf>
    <xf numFmtId="0" fontId="31" fillId="0" borderId="0" xfId="0" applyFont="1" applyAlignment="1">
      <alignment vertical="center" wrapText="1"/>
    </xf>
    <xf numFmtId="0" fontId="28" fillId="0" borderId="41" xfId="0" applyFont="1" applyBorder="1" applyAlignment="1">
      <alignment horizontal="center" vertical="center"/>
    </xf>
    <xf numFmtId="0" fontId="27" fillId="0" borderId="10" xfId="0" applyFont="1" applyBorder="1" applyAlignment="1">
      <alignment horizontal="center" vertical="center"/>
    </xf>
    <xf numFmtId="166" fontId="27" fillId="0" borderId="12" xfId="0" applyNumberFormat="1" applyFont="1" applyBorder="1" applyAlignment="1">
      <alignment horizontal="center" vertical="center"/>
    </xf>
    <xf numFmtId="0" fontId="21" fillId="0" borderId="46" xfId="0" applyFont="1" applyBorder="1" applyAlignment="1">
      <alignment vertical="center"/>
    </xf>
    <xf numFmtId="166" fontId="27" fillId="0" borderId="12" xfId="0" applyNumberFormat="1" applyFont="1" applyBorder="1" applyAlignment="1">
      <alignment horizontal="right" vertical="center" wrapText="1"/>
    </xf>
    <xf numFmtId="0" fontId="21" fillId="0" borderId="65" xfId="0" applyFont="1" applyBorder="1" applyAlignment="1">
      <alignment vertical="center"/>
    </xf>
    <xf numFmtId="0" fontId="30" fillId="0" borderId="23" xfId="0" applyFont="1" applyBorder="1" applyAlignment="1">
      <alignment vertical="center" wrapText="1"/>
    </xf>
    <xf numFmtId="0" fontId="30" fillId="0" borderId="22" xfId="0" applyFont="1" applyBorder="1" applyAlignment="1">
      <alignment vertical="center" wrapText="1"/>
    </xf>
    <xf numFmtId="0" fontId="2" fillId="0" borderId="10" xfId="0" applyFont="1" applyBorder="1" applyAlignment="1">
      <alignment horizontal="center" vertical="top" wrapText="1"/>
    </xf>
    <xf numFmtId="0" fontId="21" fillId="0" borderId="38" xfId="0" applyFont="1" applyBorder="1" applyAlignment="1">
      <alignment horizontal="center" vertical="center"/>
    </xf>
    <xf numFmtId="0" fontId="23" fillId="0" borderId="0" xfId="37" applyFont="1" applyAlignment="1">
      <alignment horizontal="right" vertical="center"/>
    </xf>
    <xf numFmtId="165" fontId="23" fillId="0" borderId="19" xfId="0" applyNumberFormat="1" applyFont="1" applyBorder="1" applyAlignment="1">
      <alignment horizontal="center" vertical="center"/>
    </xf>
    <xf numFmtId="165" fontId="23" fillId="0" borderId="24" xfId="37" applyNumberFormat="1" applyFont="1" applyBorder="1" applyAlignment="1">
      <alignment horizontal="center" vertical="center"/>
    </xf>
    <xf numFmtId="165" fontId="23" fillId="0" borderId="19" xfId="37" applyNumberFormat="1" applyFont="1" applyBorder="1" applyAlignment="1">
      <alignment horizontal="center" vertical="center"/>
    </xf>
    <xf numFmtId="0" fontId="43" fillId="0" borderId="19" xfId="37" applyFont="1" applyBorder="1" applyAlignment="1">
      <alignment vertical="center"/>
    </xf>
    <xf numFmtId="0" fontId="43" fillId="0" borderId="19" xfId="0" applyFont="1" applyBorder="1" applyAlignment="1">
      <alignment vertical="center"/>
    </xf>
    <xf numFmtId="0" fontId="43" fillId="0" borderId="35" xfId="37" applyFont="1" applyBorder="1" applyAlignment="1">
      <alignment vertical="center"/>
    </xf>
    <xf numFmtId="0" fontId="43" fillId="0" borderId="35" xfId="0" applyFont="1" applyBorder="1" applyAlignment="1">
      <alignment vertical="center"/>
    </xf>
    <xf numFmtId="166" fontId="21" fillId="0" borderId="28" xfId="37" applyNumberFormat="1" applyFont="1" applyBorder="1" applyAlignment="1">
      <alignment vertical="center"/>
    </xf>
    <xf numFmtId="0" fontId="43" fillId="0" borderId="21" xfId="37" applyFont="1" applyBorder="1" applyAlignment="1">
      <alignment vertical="center"/>
    </xf>
    <xf numFmtId="0" fontId="43" fillId="0" borderId="10" xfId="37" applyFont="1" applyBorder="1" applyAlignment="1">
      <alignment vertical="center"/>
    </xf>
    <xf numFmtId="0" fontId="21" fillId="0" borderId="10" xfId="0" applyFont="1" applyBorder="1" applyAlignment="1">
      <alignment vertical="top" wrapText="1"/>
    </xf>
    <xf numFmtId="1" fontId="42" fillId="0" borderId="24" xfId="37" applyNumberFormat="1" applyFont="1" applyBorder="1" applyAlignment="1">
      <alignment horizontal="center" vertical="center"/>
    </xf>
    <xf numFmtId="1" fontId="42" fillId="0" borderId="0" xfId="37" applyNumberFormat="1" applyFont="1" applyAlignment="1">
      <alignment horizontal="center" vertical="center"/>
    </xf>
    <xf numFmtId="165" fontId="42" fillId="0" borderId="24" xfId="37" applyNumberFormat="1" applyFont="1" applyBorder="1" applyAlignment="1">
      <alignment horizontal="center" vertical="center"/>
    </xf>
    <xf numFmtId="0" fontId="2" fillId="0" borderId="0" xfId="0" applyFont="1" applyAlignment="1">
      <alignment horizontal="right" vertical="top" wrapText="1"/>
    </xf>
    <xf numFmtId="0" fontId="2" fillId="0" borderId="21" xfId="0" applyFont="1" applyBorder="1" applyAlignment="1">
      <alignment vertical="top" wrapText="1"/>
    </xf>
    <xf numFmtId="0" fontId="2" fillId="0" borderId="10" xfId="0" applyFont="1" applyBorder="1" applyAlignment="1">
      <alignment vertical="top" wrapText="1"/>
    </xf>
    <xf numFmtId="0" fontId="21" fillId="0" borderId="0" xfId="37" applyFont="1" applyAlignment="1">
      <alignment vertical="center" wrapText="1"/>
    </xf>
    <xf numFmtId="0" fontId="30" fillId="0" borderId="0" xfId="0" applyFont="1" applyAlignment="1">
      <alignment horizontal="right" vertical="center"/>
    </xf>
    <xf numFmtId="0" fontId="2" fillId="0" borderId="18" xfId="0" applyFont="1" applyBorder="1" applyAlignment="1">
      <alignment horizontal="left" vertical="center"/>
    </xf>
    <xf numFmtId="0" fontId="2" fillId="0" borderId="28" xfId="0" applyFont="1" applyBorder="1" applyAlignment="1">
      <alignment vertical="center"/>
    </xf>
    <xf numFmtId="0" fontId="30" fillId="0" borderId="21" xfId="0" applyFont="1" applyBorder="1" applyAlignment="1">
      <alignment vertical="top" wrapText="1"/>
    </xf>
    <xf numFmtId="0" fontId="2" fillId="0" borderId="16" xfId="0" applyFont="1" applyBorder="1" applyAlignment="1">
      <alignment horizontal="left" vertical="center"/>
    </xf>
    <xf numFmtId="0" fontId="2" fillId="26" borderId="0" xfId="0" applyFont="1" applyFill="1"/>
    <xf numFmtId="0" fontId="21" fillId="0" borderId="68" xfId="0" applyFont="1" applyBorder="1" applyAlignment="1">
      <alignment vertical="center"/>
    </xf>
    <xf numFmtId="0" fontId="21" fillId="0" borderId="69" xfId="0" applyFont="1" applyBorder="1" applyAlignment="1">
      <alignment vertical="center"/>
    </xf>
    <xf numFmtId="0" fontId="21" fillId="0" borderId="70" xfId="0" applyFont="1" applyBorder="1" applyAlignment="1">
      <alignment vertical="center"/>
    </xf>
    <xf numFmtId="0" fontId="21" fillId="0" borderId="71" xfId="0" applyFont="1" applyBorder="1" applyAlignment="1">
      <alignment vertical="center"/>
    </xf>
    <xf numFmtId="0" fontId="21" fillId="0" borderId="62" xfId="0" applyFont="1" applyBorder="1" applyAlignment="1">
      <alignment vertical="center"/>
    </xf>
    <xf numFmtId="0" fontId="21" fillId="0" borderId="72" xfId="0" applyFont="1" applyBorder="1" applyAlignment="1">
      <alignment vertical="center"/>
    </xf>
    <xf numFmtId="0" fontId="21" fillId="0" borderId="73" xfId="0" applyFont="1" applyBorder="1" applyAlignment="1">
      <alignment vertical="center"/>
    </xf>
    <xf numFmtId="0" fontId="21" fillId="0" borderId="74" xfId="0" applyFont="1" applyBorder="1" applyAlignment="1">
      <alignment vertical="center"/>
    </xf>
    <xf numFmtId="166" fontId="2" fillId="0" borderId="15" xfId="0" applyNumberFormat="1" applyFont="1" applyBorder="1" applyAlignment="1">
      <alignment horizontal="left" vertical="center"/>
    </xf>
    <xf numFmtId="166" fontId="2" fillId="0" borderId="17" xfId="0" applyNumberFormat="1" applyFont="1" applyBorder="1" applyAlignment="1">
      <alignment horizontal="left" vertical="center"/>
    </xf>
    <xf numFmtId="164" fontId="21" fillId="0" borderId="0" xfId="0" applyNumberFormat="1" applyFont="1" applyAlignment="1">
      <alignment horizontal="left" vertical="center"/>
    </xf>
    <xf numFmtId="0" fontId="2" fillId="0" borderId="29" xfId="0" applyFont="1" applyBorder="1" applyAlignment="1">
      <alignment horizontal="center" vertical="center"/>
    </xf>
    <xf numFmtId="0" fontId="30" fillId="26" borderId="10" xfId="0" applyFont="1" applyFill="1" applyBorder="1" applyAlignment="1">
      <alignment vertical="top" wrapText="1"/>
    </xf>
    <xf numFmtId="166" fontId="21" fillId="0" borderId="11" xfId="0" applyNumberFormat="1" applyFont="1" applyBorder="1" applyAlignment="1">
      <alignment horizontal="center" vertical="center"/>
    </xf>
    <xf numFmtId="0" fontId="30" fillId="0" borderId="21" xfId="0" applyFont="1" applyBorder="1"/>
    <xf numFmtId="0" fontId="21" fillId="0" borderId="23" xfId="0" applyFont="1" applyBorder="1" applyAlignment="1">
      <alignment horizontal="center" vertical="center" wrapText="1"/>
    </xf>
    <xf numFmtId="0" fontId="21" fillId="0" borderId="22" xfId="0" applyFont="1" applyBorder="1" applyAlignment="1">
      <alignment horizontal="center" vertical="center" wrapText="1"/>
    </xf>
    <xf numFmtId="0" fontId="21" fillId="0" borderId="20" xfId="0" applyFont="1" applyBorder="1" applyAlignment="1">
      <alignment horizontal="center" vertical="center" wrapText="1"/>
    </xf>
    <xf numFmtId="0" fontId="31" fillId="0" borderId="23" xfId="0" applyFont="1" applyBorder="1" applyAlignment="1">
      <alignment vertical="center" wrapText="1"/>
    </xf>
    <xf numFmtId="0" fontId="23" fillId="0" borderId="30" xfId="0" applyFont="1" applyBorder="1" applyAlignment="1">
      <alignment vertical="top"/>
    </xf>
    <xf numFmtId="166" fontId="28" fillId="0" borderId="26" xfId="0" applyNumberFormat="1" applyFont="1" applyBorder="1" applyAlignment="1">
      <alignment vertical="center"/>
    </xf>
    <xf numFmtId="0" fontId="23" fillId="0" borderId="30" xfId="0" applyFont="1" applyBorder="1" applyAlignment="1">
      <alignment horizontal="center" vertical="top"/>
    </xf>
    <xf numFmtId="0" fontId="28" fillId="0" borderId="26" xfId="0" applyFont="1" applyBorder="1" applyAlignment="1">
      <alignment vertical="center"/>
    </xf>
    <xf numFmtId="166" fontId="28" fillId="0" borderId="10" xfId="0" applyNumberFormat="1" applyFont="1" applyBorder="1" applyAlignment="1">
      <alignment horizontal="center" vertical="top"/>
    </xf>
    <xf numFmtId="0" fontId="23" fillId="0" borderId="31" xfId="0" applyFont="1" applyBorder="1" applyAlignment="1">
      <alignment horizontal="center" vertical="top"/>
    </xf>
    <xf numFmtId="0" fontId="28" fillId="0" borderId="29" xfId="0" applyFont="1" applyBorder="1" applyAlignment="1">
      <alignment horizontal="center" vertical="top"/>
    </xf>
    <xf numFmtId="0" fontId="23" fillId="0" borderId="27" xfId="0" applyFont="1" applyBorder="1" applyAlignment="1">
      <alignment vertical="top"/>
    </xf>
    <xf numFmtId="166" fontId="27" fillId="0" borderId="0" xfId="0" applyNumberFormat="1" applyFont="1" applyAlignment="1">
      <alignment horizontal="right" vertical="center" wrapText="1"/>
    </xf>
    <xf numFmtId="0" fontId="30" fillId="0" borderId="19" xfId="0" applyFont="1" applyBorder="1" applyAlignment="1">
      <alignment vertical="top" wrapText="1"/>
    </xf>
    <xf numFmtId="0" fontId="2" fillId="0" borderId="47" xfId="0" applyFont="1" applyBorder="1" applyAlignment="1">
      <alignment horizontal="center" vertical="center"/>
    </xf>
    <xf numFmtId="166" fontId="2" fillId="0" borderId="15" xfId="37" quotePrefix="1" applyNumberFormat="1" applyBorder="1" applyAlignment="1">
      <alignment horizontal="left" vertical="center"/>
    </xf>
    <xf numFmtId="166" fontId="2" fillId="0" borderId="15" xfId="37" quotePrefix="1" applyNumberFormat="1" applyBorder="1" applyAlignment="1">
      <alignment horizontal="left" vertical="center" wrapText="1"/>
    </xf>
    <xf numFmtId="0" fontId="2" fillId="0" borderId="0" xfId="37" applyAlignment="1">
      <alignment horizontal="left" vertical="center"/>
    </xf>
    <xf numFmtId="0" fontId="2" fillId="0" borderId="12" xfId="37" applyBorder="1"/>
    <xf numFmtId="0" fontId="21" fillId="0" borderId="46" xfId="37" applyFont="1" applyBorder="1" applyAlignment="1">
      <alignment vertical="center"/>
    </xf>
    <xf numFmtId="165" fontId="21" fillId="0" borderId="29" xfId="37" applyNumberFormat="1" applyFont="1" applyBorder="1" applyAlignment="1">
      <alignment horizontal="center" vertical="center"/>
    </xf>
    <xf numFmtId="166" fontId="21" fillId="0" borderId="10" xfId="37" applyNumberFormat="1" applyFont="1" applyBorder="1" applyAlignment="1">
      <alignment vertical="center" wrapText="1"/>
    </xf>
    <xf numFmtId="0" fontId="30" fillId="0" borderId="0" xfId="37" applyFont="1" applyAlignment="1">
      <alignment vertical="center"/>
    </xf>
    <xf numFmtId="166" fontId="30" fillId="0" borderId="10" xfId="0" applyNumberFormat="1" applyFont="1" applyBorder="1" applyAlignment="1">
      <alignment vertical="top" wrapText="1"/>
    </xf>
    <xf numFmtId="166" fontId="30" fillId="0" borderId="21" xfId="0" applyNumberFormat="1" applyFont="1" applyBorder="1" applyAlignment="1">
      <alignment vertical="top" wrapText="1"/>
    </xf>
    <xf numFmtId="0" fontId="30" fillId="0" borderId="21" xfId="37" applyFont="1" applyBorder="1" applyAlignment="1">
      <alignment vertical="top" wrapText="1"/>
    </xf>
    <xf numFmtId="0" fontId="30" fillId="0" borderId="0" xfId="37" applyFont="1" applyAlignment="1">
      <alignment vertical="top" wrapText="1"/>
    </xf>
    <xf numFmtId="0" fontId="30" fillId="0" borderId="10" xfId="37" applyFont="1" applyBorder="1" applyAlignment="1">
      <alignment vertical="top" wrapText="1"/>
    </xf>
    <xf numFmtId="0" fontId="21" fillId="26" borderId="22" xfId="37" applyFont="1" applyFill="1" applyBorder="1" applyAlignment="1">
      <alignment vertical="center"/>
    </xf>
    <xf numFmtId="0" fontId="21" fillId="26" borderId="23" xfId="37" applyFont="1" applyFill="1" applyBorder="1" applyAlignment="1">
      <alignment vertical="center"/>
    </xf>
    <xf numFmtId="0" fontId="21" fillId="26" borderId="20" xfId="37" applyFont="1" applyFill="1" applyBorder="1" applyAlignment="1">
      <alignment vertical="center"/>
    </xf>
    <xf numFmtId="0" fontId="21" fillId="26" borderId="34" xfId="37" applyFont="1" applyFill="1" applyBorder="1" applyAlignment="1">
      <alignment vertical="center"/>
    </xf>
    <xf numFmtId="0" fontId="21" fillId="26" borderId="25" xfId="37" applyFont="1" applyFill="1" applyBorder="1" applyAlignment="1">
      <alignment horizontal="center" vertical="center"/>
    </xf>
    <xf numFmtId="0" fontId="21" fillId="26" borderId="33" xfId="37" applyFont="1" applyFill="1" applyBorder="1" applyAlignment="1">
      <alignment vertical="center"/>
    </xf>
    <xf numFmtId="0" fontId="21" fillId="26" borderId="25" xfId="37" applyFont="1" applyFill="1" applyBorder="1" applyAlignment="1">
      <alignment vertical="center"/>
    </xf>
    <xf numFmtId="0" fontId="21" fillId="26" borderId="38" xfId="37" applyFont="1" applyFill="1" applyBorder="1" applyAlignment="1">
      <alignment vertical="center"/>
    </xf>
    <xf numFmtId="0" fontId="21" fillId="26" borderId="37" xfId="37" applyFont="1" applyFill="1" applyBorder="1" applyAlignment="1">
      <alignment horizontal="center" vertical="center"/>
    </xf>
    <xf numFmtId="0" fontId="21" fillId="26" borderId="36" xfId="37" applyFont="1" applyFill="1" applyBorder="1" applyAlignment="1">
      <alignment vertical="center"/>
    </xf>
    <xf numFmtId="0" fontId="21" fillId="26" borderId="37" xfId="37" applyFont="1" applyFill="1" applyBorder="1" applyAlignment="1">
      <alignment vertical="center"/>
    </xf>
    <xf numFmtId="0" fontId="21" fillId="26" borderId="51" xfId="37" applyFont="1" applyFill="1" applyBorder="1" applyAlignment="1">
      <alignment vertical="center"/>
    </xf>
    <xf numFmtId="0" fontId="21" fillId="26" borderId="48" xfId="37" applyFont="1" applyFill="1" applyBorder="1" applyAlignment="1">
      <alignment horizontal="center" vertical="center"/>
    </xf>
    <xf numFmtId="0" fontId="21" fillId="26" borderId="50" xfId="37" applyFont="1" applyFill="1" applyBorder="1" applyAlignment="1">
      <alignment vertical="center"/>
    </xf>
    <xf numFmtId="0" fontId="21" fillId="26" borderId="48" xfId="37" applyFont="1" applyFill="1" applyBorder="1" applyAlignment="1">
      <alignment vertical="center"/>
    </xf>
    <xf numFmtId="0" fontId="30" fillId="26" borderId="23" xfId="0" applyFont="1" applyFill="1" applyBorder="1" applyAlignment="1">
      <alignment horizontal="left" vertical="top" wrapText="1"/>
    </xf>
    <xf numFmtId="0" fontId="30" fillId="26" borderId="20" xfId="0" applyFont="1" applyFill="1" applyBorder="1" applyAlignment="1">
      <alignment horizontal="left" vertical="top" wrapText="1"/>
    </xf>
    <xf numFmtId="0" fontId="2" fillId="26" borderId="33" xfId="0" applyFont="1" applyFill="1" applyBorder="1"/>
    <xf numFmtId="0" fontId="2" fillId="26" borderId="25" xfId="0" applyFont="1" applyFill="1" applyBorder="1"/>
    <xf numFmtId="0" fontId="2" fillId="26" borderId="36" xfId="0" applyFont="1" applyFill="1" applyBorder="1"/>
    <xf numFmtId="0" fontId="2" fillId="26" borderId="37" xfId="0" applyFont="1" applyFill="1" applyBorder="1"/>
    <xf numFmtId="0" fontId="2" fillId="26" borderId="23" xfId="0" applyFont="1" applyFill="1" applyBorder="1"/>
    <xf numFmtId="0" fontId="2" fillId="26" borderId="20" xfId="0" applyFont="1" applyFill="1" applyBorder="1"/>
    <xf numFmtId="0" fontId="21" fillId="26" borderId="0" xfId="0" applyFont="1" applyFill="1"/>
    <xf numFmtId="0" fontId="25" fillId="26" borderId="0" xfId="0" applyFont="1" applyFill="1" applyAlignment="1">
      <alignment horizontal="right"/>
    </xf>
    <xf numFmtId="0" fontId="2" fillId="26" borderId="21" xfId="0" applyFont="1" applyFill="1" applyBorder="1"/>
    <xf numFmtId="0" fontId="30" fillId="26" borderId="0" xfId="0" applyFont="1" applyFill="1" applyAlignment="1">
      <alignment vertical="center" wrapText="1"/>
    </xf>
    <xf numFmtId="0" fontId="30" fillId="26" borderId="10" xfId="0" applyFont="1" applyFill="1" applyBorder="1" applyAlignment="1">
      <alignment vertical="center" wrapText="1"/>
    </xf>
    <xf numFmtId="0" fontId="21" fillId="26" borderId="0" xfId="47" applyFont="1" applyFill="1" applyAlignment="1">
      <alignment vertical="center"/>
    </xf>
    <xf numFmtId="0" fontId="28" fillId="26" borderId="0" xfId="47" applyFont="1" applyFill="1" applyAlignment="1">
      <alignment vertical="center"/>
    </xf>
    <xf numFmtId="0" fontId="21" fillId="26" borderId="0" xfId="47" applyFont="1" applyFill="1" applyAlignment="1">
      <alignment horizontal="left" vertical="top"/>
    </xf>
    <xf numFmtId="0" fontId="21" fillId="26" borderId="21" xfId="47" applyFont="1" applyFill="1" applyBorder="1" applyAlignment="1">
      <alignment horizontal="center" vertical="top"/>
    </xf>
    <xf numFmtId="0" fontId="21" fillId="26" borderId="21" xfId="47" applyFont="1" applyFill="1" applyBorder="1" applyAlignment="1">
      <alignment horizontal="left" vertical="top"/>
    </xf>
    <xf numFmtId="0" fontId="21" fillId="26" borderId="10" xfId="47" applyFont="1" applyFill="1" applyBorder="1" applyAlignment="1">
      <alignment horizontal="left" vertical="top"/>
    </xf>
    <xf numFmtId="0" fontId="21" fillId="26" borderId="25" xfId="47" applyFont="1" applyFill="1" applyBorder="1" applyAlignment="1">
      <alignment vertical="center"/>
    </xf>
    <xf numFmtId="0" fontId="21" fillId="26" borderId="33" xfId="47" applyFont="1" applyFill="1" applyBorder="1" applyAlignment="1">
      <alignment vertical="center"/>
    </xf>
    <xf numFmtId="0" fontId="21" fillId="26" borderId="24" xfId="47" applyFont="1" applyFill="1" applyBorder="1" applyAlignment="1">
      <alignment vertical="center"/>
    </xf>
    <xf numFmtId="0" fontId="21" fillId="26" borderId="34" xfId="47" applyFont="1" applyFill="1" applyBorder="1" applyAlignment="1">
      <alignment vertical="center"/>
    </xf>
    <xf numFmtId="0" fontId="21" fillId="26" borderId="37" xfId="47" applyFont="1" applyFill="1" applyBorder="1" applyAlignment="1">
      <alignment vertical="center"/>
    </xf>
    <xf numFmtId="0" fontId="21" fillId="26" borderId="36" xfId="47" applyFont="1" applyFill="1" applyBorder="1" applyAlignment="1">
      <alignment vertical="center"/>
    </xf>
    <xf numFmtId="0" fontId="21" fillId="26" borderId="35" xfId="47" applyFont="1" applyFill="1" applyBorder="1" applyAlignment="1">
      <alignment vertical="center"/>
    </xf>
    <xf numFmtId="0" fontId="21" fillId="26" borderId="38" xfId="47" applyFont="1" applyFill="1" applyBorder="1" applyAlignment="1">
      <alignment vertical="center"/>
    </xf>
    <xf numFmtId="0" fontId="21" fillId="26" borderId="23" xfId="47" applyFont="1" applyFill="1" applyBorder="1" applyAlignment="1">
      <alignment vertical="center"/>
    </xf>
    <xf numFmtId="0" fontId="21" fillId="26" borderId="19" xfId="47" applyFont="1" applyFill="1" applyBorder="1" applyAlignment="1">
      <alignment vertical="center"/>
    </xf>
    <xf numFmtId="0" fontId="25" fillId="26" borderId="0" xfId="47" applyFont="1" applyFill="1" applyAlignment="1">
      <alignment vertical="center"/>
    </xf>
    <xf numFmtId="168" fontId="2" fillId="26" borderId="0" xfId="47" applyNumberFormat="1" applyFill="1" applyAlignment="1">
      <alignment horizontal="left" vertical="center"/>
    </xf>
    <xf numFmtId="0" fontId="21" fillId="26" borderId="20" xfId="47" applyFont="1" applyFill="1" applyBorder="1" applyAlignment="1">
      <alignment vertical="center"/>
    </xf>
    <xf numFmtId="0" fontId="21" fillId="26" borderId="22" xfId="47" applyFont="1" applyFill="1" applyBorder="1" applyAlignment="1">
      <alignment vertical="center"/>
    </xf>
    <xf numFmtId="0" fontId="21" fillId="26" borderId="52" xfId="47" applyFont="1" applyFill="1" applyBorder="1" applyAlignment="1">
      <alignment horizontal="left" vertical="top"/>
    </xf>
    <xf numFmtId="0" fontId="21" fillId="26" borderId="23" xfId="47" applyFont="1" applyFill="1" applyBorder="1" applyAlignment="1">
      <alignment horizontal="left" vertical="top"/>
    </xf>
    <xf numFmtId="0" fontId="21" fillId="26" borderId="20" xfId="47" applyFont="1" applyFill="1" applyBorder="1" applyAlignment="1">
      <alignment horizontal="center" vertical="top"/>
    </xf>
    <xf numFmtId="0" fontId="21" fillId="26" borderId="22" xfId="47" applyFont="1" applyFill="1" applyBorder="1" applyAlignment="1">
      <alignment horizontal="left" vertical="top"/>
    </xf>
    <xf numFmtId="0" fontId="21" fillId="26" borderId="20" xfId="47" applyFont="1" applyFill="1" applyBorder="1" applyAlignment="1">
      <alignment horizontal="left" vertical="top"/>
    </xf>
    <xf numFmtId="0" fontId="28" fillId="26" borderId="23" xfId="47" applyFont="1" applyFill="1" applyBorder="1" applyAlignment="1">
      <alignment horizontal="center" vertical="center" wrapText="1"/>
    </xf>
    <xf numFmtId="0" fontId="28" fillId="26" borderId="20" xfId="47" applyFont="1" applyFill="1" applyBorder="1" applyAlignment="1">
      <alignment horizontal="center" vertical="center" wrapText="1"/>
    </xf>
    <xf numFmtId="0" fontId="21" fillId="26" borderId="23" xfId="47" applyFont="1" applyFill="1" applyBorder="1" applyAlignment="1">
      <alignment vertical="center" wrapText="1"/>
    </xf>
    <xf numFmtId="0" fontId="21" fillId="26" borderId="22" xfId="47" applyFont="1" applyFill="1" applyBorder="1" applyAlignment="1">
      <alignment vertical="center" wrapText="1"/>
    </xf>
    <xf numFmtId="0" fontId="2" fillId="26" borderId="21" xfId="47" applyFill="1" applyBorder="1" applyAlignment="1">
      <alignment vertical="top" wrapText="1"/>
    </xf>
    <xf numFmtId="0" fontId="21" fillId="26" borderId="28" xfId="47" applyFont="1" applyFill="1" applyBorder="1" applyAlignment="1">
      <alignment horizontal="left" vertical="top"/>
    </xf>
    <xf numFmtId="0" fontId="21" fillId="26" borderId="29" xfId="47" applyFont="1" applyFill="1" applyBorder="1" applyAlignment="1">
      <alignment horizontal="left" vertical="top"/>
    </xf>
    <xf numFmtId="0" fontId="21" fillId="26" borderId="22" xfId="47" applyFont="1" applyFill="1" applyBorder="1" applyAlignment="1">
      <alignment horizontal="center" vertical="center"/>
    </xf>
    <xf numFmtId="0" fontId="21" fillId="26" borderId="34" xfId="47" applyFont="1" applyFill="1" applyBorder="1" applyAlignment="1">
      <alignment horizontal="center" vertical="center"/>
    </xf>
    <xf numFmtId="0" fontId="21" fillId="26" borderId="38" xfId="47" applyFont="1" applyFill="1" applyBorder="1" applyAlignment="1">
      <alignment horizontal="center" vertical="center"/>
    </xf>
    <xf numFmtId="168" fontId="28" fillId="26" borderId="29" xfId="47" applyNumberFormat="1" applyFont="1" applyFill="1" applyBorder="1" applyAlignment="1">
      <alignment horizontal="right" vertical="center"/>
    </xf>
    <xf numFmtId="166" fontId="28" fillId="0" borderId="29" xfId="37" applyNumberFormat="1" applyFont="1" applyBorder="1" applyAlignment="1">
      <alignment horizontal="center" vertical="center" wrapText="1"/>
    </xf>
    <xf numFmtId="0" fontId="28" fillId="0" borderId="28" xfId="37" applyFont="1" applyBorder="1" applyAlignment="1">
      <alignment horizontal="right" vertical="center" wrapText="1"/>
    </xf>
    <xf numFmtId="168" fontId="2" fillId="0" borderId="15" xfId="37" applyNumberFormat="1" applyBorder="1" applyAlignment="1">
      <alignment horizontal="left" vertical="center" wrapText="1"/>
    </xf>
    <xf numFmtId="0" fontId="2" fillId="0" borderId="16" xfId="0" applyFont="1" applyBorder="1" applyAlignment="1">
      <alignment vertical="center"/>
    </xf>
    <xf numFmtId="0" fontId="21" fillId="26" borderId="21" xfId="47" applyFont="1" applyFill="1" applyBorder="1" applyAlignment="1">
      <alignment horizontal="left" vertical="top" wrapText="1"/>
    </xf>
    <xf numFmtId="0" fontId="21" fillId="26" borderId="10" xfId="47" applyFont="1" applyFill="1" applyBorder="1" applyAlignment="1">
      <alignment horizontal="left" vertical="top" wrapText="1"/>
    </xf>
    <xf numFmtId="0" fontId="2" fillId="26" borderId="10" xfId="47" applyFill="1" applyBorder="1" applyAlignment="1">
      <alignment vertical="top" wrapText="1"/>
    </xf>
    <xf numFmtId="0" fontId="30" fillId="26" borderId="0" xfId="47" applyFont="1" applyFill="1" applyAlignment="1">
      <alignment vertical="top" wrapText="1"/>
    </xf>
    <xf numFmtId="0" fontId="30" fillId="26" borderId="10" xfId="47" applyFont="1" applyFill="1" applyBorder="1" applyAlignment="1">
      <alignment vertical="top" wrapText="1"/>
    </xf>
    <xf numFmtId="0" fontId="21" fillId="0" borderId="22" xfId="0" applyFont="1" applyBorder="1" applyAlignment="1">
      <alignment horizontal="center" vertical="center"/>
    </xf>
    <xf numFmtId="0" fontId="36" fillId="0" borderId="33" xfId="37" applyFont="1" applyBorder="1" applyAlignment="1">
      <alignment horizontal="center" vertical="center"/>
    </xf>
    <xf numFmtId="0" fontId="21" fillId="0" borderId="20" xfId="0" applyFont="1" applyBorder="1" applyAlignment="1">
      <alignment horizontal="center" vertical="center"/>
    </xf>
    <xf numFmtId="0" fontId="21" fillId="0" borderId="34" xfId="40" applyFont="1" applyBorder="1" applyAlignment="1">
      <alignment horizontal="center" vertical="center"/>
    </xf>
    <xf numFmtId="0" fontId="21" fillId="0" borderId="56" xfId="40" applyFont="1" applyBorder="1" applyAlignment="1">
      <alignment horizontal="center" vertical="center"/>
    </xf>
    <xf numFmtId="0" fontId="21" fillId="0" borderId="18" xfId="40" applyFont="1" applyBorder="1" applyAlignment="1">
      <alignment horizontal="center" vertical="center"/>
    </xf>
    <xf numFmtId="0" fontId="21" fillId="0" borderId="60" xfId="40" applyFont="1" applyBorder="1" applyAlignment="1">
      <alignment horizontal="center" vertical="center"/>
    </xf>
    <xf numFmtId="0" fontId="21" fillId="0" borderId="18" xfId="40" applyFont="1" applyBorder="1" applyAlignment="1">
      <alignment vertical="center"/>
    </xf>
    <xf numFmtId="168" fontId="2" fillId="0" borderId="15" xfId="0" quotePrefix="1" applyNumberFormat="1" applyFont="1" applyBorder="1" applyAlignment="1">
      <alignment horizontal="left" vertical="center" wrapText="1"/>
    </xf>
    <xf numFmtId="0" fontId="43" fillId="0" borderId="52" xfId="37" applyFont="1" applyBorder="1" applyAlignment="1">
      <alignment vertical="center"/>
    </xf>
    <xf numFmtId="0" fontId="43" fillId="0" borderId="32" xfId="37" applyFont="1" applyBorder="1" applyAlignment="1">
      <alignment vertical="center"/>
    </xf>
    <xf numFmtId="0" fontId="28" fillId="0" borderId="27" xfId="0" applyFont="1" applyBorder="1" applyAlignment="1">
      <alignment vertical="center"/>
    </xf>
    <xf numFmtId="0" fontId="39" fillId="0" borderId="27" xfId="37" applyFont="1" applyBorder="1" applyAlignment="1">
      <alignment vertical="center"/>
    </xf>
    <xf numFmtId="0" fontId="39" fillId="0" borderId="0" xfId="37" applyFont="1" applyAlignment="1">
      <alignment horizontal="center" vertical="center"/>
    </xf>
    <xf numFmtId="0" fontId="36" fillId="0" borderId="19" xfId="37" applyFont="1" applyBorder="1" applyAlignment="1">
      <alignment vertical="center"/>
    </xf>
    <xf numFmtId="0" fontId="30" fillId="0" borderId="0" xfId="37" applyFont="1" applyAlignment="1">
      <alignment horizontal="right" vertical="center"/>
    </xf>
    <xf numFmtId="0" fontId="23" fillId="0" borderId="0" xfId="40" applyFont="1" applyAlignment="1">
      <alignment horizontal="center" vertical="center"/>
    </xf>
    <xf numFmtId="0" fontId="2" fillId="0" borderId="0" xfId="40" applyFont="1" applyAlignment="1">
      <alignment horizontal="right" vertical="center"/>
    </xf>
    <xf numFmtId="0" fontId="21" fillId="0" borderId="27" xfId="40" applyFont="1" applyBorder="1" applyAlignment="1">
      <alignment vertical="center"/>
    </xf>
    <xf numFmtId="0" fontId="21" fillId="0" borderId="27" xfId="40" applyFont="1" applyBorder="1" applyAlignment="1">
      <alignment horizontal="center" vertical="center"/>
    </xf>
    <xf numFmtId="0" fontId="21" fillId="0" borderId="21" xfId="0" applyFont="1" applyBorder="1" applyAlignment="1">
      <alignment vertical="center" wrapText="1"/>
    </xf>
    <xf numFmtId="0" fontId="30" fillId="0" borderId="34" xfId="0" applyFont="1" applyBorder="1" applyAlignment="1">
      <alignment vertical="center" wrapText="1"/>
    </xf>
    <xf numFmtId="0" fontId="30" fillId="0" borderId="58" xfId="0" applyFont="1" applyBorder="1" applyAlignment="1">
      <alignment vertical="center" wrapText="1"/>
    </xf>
    <xf numFmtId="0" fontId="30" fillId="0" borderId="57" xfId="0" applyFont="1" applyBorder="1" applyAlignment="1">
      <alignment vertical="center" wrapText="1"/>
    </xf>
    <xf numFmtId="0" fontId="30" fillId="0" borderId="56" xfId="0" applyFont="1" applyBorder="1" applyAlignment="1">
      <alignment vertical="center" wrapText="1"/>
    </xf>
    <xf numFmtId="0" fontId="21" fillId="0" borderId="34" xfId="0" applyFont="1" applyBorder="1" applyAlignment="1">
      <alignment vertical="center" wrapText="1"/>
    </xf>
    <xf numFmtId="0" fontId="21" fillId="0" borderId="58" xfId="0" applyFont="1" applyBorder="1" applyAlignment="1">
      <alignment vertical="center" wrapText="1"/>
    </xf>
    <xf numFmtId="0" fontId="21" fillId="0" borderId="57" xfId="0" applyFont="1" applyBorder="1" applyAlignment="1">
      <alignment vertical="center" wrapText="1"/>
    </xf>
    <xf numFmtId="0" fontId="21" fillId="0" borderId="56" xfId="0" applyFont="1" applyBorder="1" applyAlignment="1">
      <alignment vertical="center" wrapText="1"/>
    </xf>
    <xf numFmtId="0" fontId="21" fillId="0" borderId="34" xfId="0" applyFont="1" applyBorder="1" applyAlignment="1">
      <alignment horizontal="left" vertical="top" wrapText="1"/>
    </xf>
    <xf numFmtId="0" fontId="21" fillId="0" borderId="58" xfId="0" applyFont="1" applyBorder="1" applyAlignment="1">
      <alignment horizontal="left" vertical="top" wrapText="1"/>
    </xf>
    <xf numFmtId="0" fontId="21" fillId="0" borderId="57" xfId="0" applyFont="1" applyBorder="1" applyAlignment="1">
      <alignment horizontal="left" vertical="top" wrapText="1"/>
    </xf>
    <xf numFmtId="0" fontId="21" fillId="0" borderId="56" xfId="0" applyFont="1" applyBorder="1" applyAlignment="1">
      <alignment horizontal="left" vertical="top" wrapText="1"/>
    </xf>
    <xf numFmtId="166" fontId="2" fillId="26" borderId="0" xfId="37" applyNumberFormat="1" applyFill="1" applyAlignment="1">
      <alignment horizontal="center" vertical="center"/>
    </xf>
    <xf numFmtId="166" fontId="28" fillId="0" borderId="27" xfId="0" applyNumberFormat="1" applyFont="1" applyBorder="1" applyAlignment="1">
      <alignment horizontal="center" vertical="center"/>
    </xf>
    <xf numFmtId="0" fontId="2" fillId="26" borderId="0" xfId="37" applyFill="1" applyAlignment="1">
      <alignment vertical="top" wrapText="1"/>
    </xf>
    <xf numFmtId="166" fontId="28" fillId="0" borderId="39" xfId="0" applyNumberFormat="1" applyFont="1" applyBorder="1" applyAlignment="1">
      <alignment horizontal="right" vertical="center"/>
    </xf>
    <xf numFmtId="0" fontId="2" fillId="26" borderId="21" xfId="0" applyFont="1" applyFill="1" applyBorder="1" applyAlignment="1">
      <alignment vertical="top" wrapText="1"/>
    </xf>
    <xf numFmtId="0" fontId="30" fillId="26" borderId="21" xfId="0" applyFont="1" applyFill="1" applyBorder="1" applyAlignment="1">
      <alignment vertical="center" wrapText="1"/>
    </xf>
    <xf numFmtId="0" fontId="30" fillId="26" borderId="0" xfId="0" applyFont="1" applyFill="1" applyAlignment="1">
      <alignment vertical="top" wrapText="1"/>
    </xf>
    <xf numFmtId="0" fontId="2" fillId="26" borderId="10" xfId="0" applyFont="1" applyFill="1" applyBorder="1" applyAlignment="1">
      <alignment vertical="top" wrapText="1"/>
    </xf>
    <xf numFmtId="0" fontId="30" fillId="28" borderId="21" xfId="0" applyFont="1" applyFill="1" applyBorder="1" applyAlignment="1">
      <alignment horizontal="left" vertical="top" wrapText="1"/>
    </xf>
    <xf numFmtId="0" fontId="30" fillId="28" borderId="10" xfId="0" applyFont="1" applyFill="1" applyBorder="1" applyAlignment="1">
      <alignment horizontal="left" vertical="top" wrapText="1"/>
    </xf>
    <xf numFmtId="0" fontId="30" fillId="28" borderId="23" xfId="0" applyFont="1" applyFill="1" applyBorder="1" applyAlignment="1">
      <alignment horizontal="left" vertical="top" wrapText="1"/>
    </xf>
    <xf numFmtId="0" fontId="30" fillId="28" borderId="22" xfId="0" applyFont="1" applyFill="1" applyBorder="1" applyAlignment="1">
      <alignment horizontal="left" vertical="top" wrapText="1"/>
    </xf>
    <xf numFmtId="0" fontId="30" fillId="28" borderId="20" xfId="0" applyFont="1" applyFill="1" applyBorder="1" applyAlignment="1">
      <alignment horizontal="left" vertical="top" wrapText="1"/>
    </xf>
    <xf numFmtId="0" fontId="2" fillId="28" borderId="33" xfId="0" applyFont="1" applyFill="1" applyBorder="1"/>
    <xf numFmtId="0" fontId="2" fillId="28" borderId="34" xfId="0" applyFont="1" applyFill="1" applyBorder="1"/>
    <xf numFmtId="0" fontId="2" fillId="28" borderId="25" xfId="0" applyFont="1" applyFill="1" applyBorder="1"/>
    <xf numFmtId="0" fontId="2" fillId="28" borderId="36" xfId="0" applyFont="1" applyFill="1" applyBorder="1"/>
    <xf numFmtId="0" fontId="2" fillId="28" borderId="38" xfId="0" applyFont="1" applyFill="1" applyBorder="1"/>
    <xf numFmtId="0" fontId="2" fillId="28" borderId="37" xfId="0" applyFont="1" applyFill="1" applyBorder="1"/>
    <xf numFmtId="0" fontId="2" fillId="28" borderId="23" xfId="0" applyFont="1" applyFill="1" applyBorder="1"/>
    <xf numFmtId="0" fontId="2" fillId="28" borderId="22" xfId="0" applyFont="1" applyFill="1" applyBorder="1"/>
    <xf numFmtId="0" fontId="2" fillId="28" borderId="20" xfId="0" applyFont="1" applyFill="1" applyBorder="1"/>
    <xf numFmtId="0" fontId="30" fillId="28" borderId="12" xfId="37" applyFont="1" applyFill="1" applyBorder="1" applyAlignment="1">
      <alignment vertical="top" wrapText="1"/>
    </xf>
    <xf numFmtId="0" fontId="21" fillId="28" borderId="0" xfId="37" applyFont="1" applyFill="1" applyAlignment="1">
      <alignment vertical="center"/>
    </xf>
    <xf numFmtId="0" fontId="21" fillId="28" borderId="12" xfId="37" applyFont="1" applyFill="1" applyBorder="1" applyAlignment="1">
      <alignment vertical="top" wrapText="1"/>
    </xf>
    <xf numFmtId="0" fontId="2" fillId="28" borderId="46" xfId="37" applyFill="1" applyBorder="1"/>
    <xf numFmtId="0" fontId="21" fillId="28" borderId="23" xfId="37" applyFont="1" applyFill="1" applyBorder="1" applyAlignment="1">
      <alignment vertical="center"/>
    </xf>
    <xf numFmtId="0" fontId="21" fillId="28" borderId="20" xfId="37" applyFont="1" applyFill="1" applyBorder="1" applyAlignment="1">
      <alignment vertical="center"/>
    </xf>
    <xf numFmtId="166" fontId="2" fillId="28" borderId="15" xfId="0" applyNumberFormat="1" applyFont="1" applyFill="1" applyBorder="1" applyAlignment="1">
      <alignment horizontal="left" vertical="center"/>
    </xf>
    <xf numFmtId="0" fontId="21" fillId="28" borderId="0" xfId="0" applyFont="1" applyFill="1" applyAlignment="1">
      <alignment vertical="center"/>
    </xf>
    <xf numFmtId="0" fontId="30" fillId="28" borderId="0" xfId="0" applyFont="1" applyFill="1" applyAlignment="1">
      <alignment wrapText="1"/>
    </xf>
    <xf numFmtId="0" fontId="30" fillId="28" borderId="21" xfId="0" applyFont="1" applyFill="1" applyBorder="1" applyAlignment="1">
      <alignment wrapText="1"/>
    </xf>
    <xf numFmtId="0" fontId="21" fillId="28" borderId="21" xfId="0" applyFont="1" applyFill="1" applyBorder="1" applyAlignment="1">
      <alignment vertical="center"/>
    </xf>
    <xf numFmtId="0" fontId="21" fillId="28" borderId="10" xfId="0" applyFont="1" applyFill="1" applyBorder="1" applyAlignment="1">
      <alignment vertical="center"/>
    </xf>
    <xf numFmtId="0" fontId="21" fillId="28" borderId="12" xfId="0" applyFont="1" applyFill="1" applyBorder="1" applyAlignment="1">
      <alignment vertical="center"/>
    </xf>
    <xf numFmtId="0" fontId="2" fillId="28" borderId="12" xfId="0" applyFont="1" applyFill="1" applyBorder="1"/>
    <xf numFmtId="0" fontId="21" fillId="28" borderId="28" xfId="0" applyFont="1" applyFill="1" applyBorder="1" applyAlignment="1">
      <alignment vertical="center"/>
    </xf>
    <xf numFmtId="0" fontId="21" fillId="28" borderId="46" xfId="0" applyFont="1" applyFill="1" applyBorder="1" applyAlignment="1">
      <alignment vertical="center"/>
    </xf>
    <xf numFmtId="165" fontId="25" fillId="28" borderId="33" xfId="0" applyNumberFormat="1" applyFont="1" applyFill="1" applyBorder="1" applyAlignment="1">
      <alignment horizontal="center" vertical="center"/>
    </xf>
    <xf numFmtId="165" fontId="25" fillId="28" borderId="34" xfId="0" applyNumberFormat="1" applyFont="1" applyFill="1" applyBorder="1" applyAlignment="1">
      <alignment horizontal="center" vertical="center"/>
    </xf>
    <xf numFmtId="0" fontId="21" fillId="28" borderId="34" xfId="0" applyFont="1" applyFill="1" applyBorder="1" applyAlignment="1">
      <alignment vertical="center"/>
    </xf>
    <xf numFmtId="0" fontId="21" fillId="28" borderId="33" xfId="0" applyFont="1" applyFill="1" applyBorder="1" applyAlignment="1">
      <alignment vertical="center"/>
    </xf>
    <xf numFmtId="0" fontId="21" fillId="28" borderId="25" xfId="0" applyFont="1" applyFill="1" applyBorder="1" applyAlignment="1">
      <alignment vertical="center"/>
    </xf>
    <xf numFmtId="0" fontId="21" fillId="28" borderId="24" xfId="0" applyFont="1" applyFill="1" applyBorder="1" applyAlignment="1">
      <alignment vertical="center"/>
    </xf>
    <xf numFmtId="165" fontId="25" fillId="28" borderId="36" xfId="0" applyNumberFormat="1" applyFont="1" applyFill="1" applyBorder="1" applyAlignment="1">
      <alignment horizontal="center" vertical="center"/>
    </xf>
    <xf numFmtId="165" fontId="25" fillId="28" borderId="38" xfId="0" applyNumberFormat="1" applyFont="1" applyFill="1" applyBorder="1" applyAlignment="1">
      <alignment horizontal="center" vertical="center"/>
    </xf>
    <xf numFmtId="0" fontId="21" fillId="28" borderId="38" xfId="0" applyFont="1" applyFill="1" applyBorder="1" applyAlignment="1">
      <alignment vertical="center"/>
    </xf>
    <xf numFmtId="0" fontId="21" fillId="28" borderId="36" xfId="0" applyFont="1" applyFill="1" applyBorder="1" applyAlignment="1">
      <alignment vertical="center"/>
    </xf>
    <xf numFmtId="0" fontId="21" fillId="28" borderId="37" xfId="0" applyFont="1" applyFill="1" applyBorder="1" applyAlignment="1">
      <alignment vertical="center"/>
    </xf>
    <xf numFmtId="0" fontId="21" fillId="28" borderId="35" xfId="0" applyFont="1" applyFill="1" applyBorder="1" applyAlignment="1">
      <alignment vertical="center"/>
    </xf>
    <xf numFmtId="0" fontId="30" fillId="28" borderId="10" xfId="0" applyFont="1" applyFill="1" applyBorder="1" applyAlignment="1">
      <alignment wrapText="1"/>
    </xf>
    <xf numFmtId="0" fontId="30" fillId="28" borderId="12" xfId="0" applyFont="1" applyFill="1" applyBorder="1"/>
    <xf numFmtId="0" fontId="21" fillId="28" borderId="29" xfId="0" applyFont="1" applyFill="1" applyBorder="1" applyAlignment="1">
      <alignment vertical="center"/>
    </xf>
    <xf numFmtId="0" fontId="30" fillId="28" borderId="12" xfId="0" applyFont="1" applyFill="1" applyBorder="1" applyAlignment="1">
      <alignment wrapText="1"/>
    </xf>
    <xf numFmtId="165" fontId="21" fillId="28" borderId="11" xfId="0" applyNumberFormat="1" applyFont="1" applyFill="1" applyBorder="1" applyAlignment="1">
      <alignment vertical="center"/>
    </xf>
    <xf numFmtId="165" fontId="21" fillId="28" borderId="26" xfId="0" applyNumberFormat="1" applyFont="1" applyFill="1" applyBorder="1" applyAlignment="1">
      <alignment vertical="top" wrapText="1"/>
    </xf>
    <xf numFmtId="165" fontId="21" fillId="28" borderId="10" xfId="0" applyNumberFormat="1" applyFont="1" applyFill="1" applyBorder="1" applyAlignment="1">
      <alignment vertical="center"/>
    </xf>
    <xf numFmtId="0" fontId="21" fillId="28" borderId="19" xfId="0" applyFont="1" applyFill="1" applyBorder="1" applyAlignment="1">
      <alignment vertical="center"/>
    </xf>
    <xf numFmtId="165" fontId="23" fillId="28" borderId="24" xfId="0" applyNumberFormat="1" applyFont="1" applyFill="1" applyBorder="1" applyAlignment="1">
      <alignment horizontal="center" vertical="center"/>
    </xf>
    <xf numFmtId="165" fontId="23" fillId="28" borderId="35" xfId="0" applyNumberFormat="1" applyFont="1" applyFill="1" applyBorder="1" applyAlignment="1">
      <alignment horizontal="center" vertical="center"/>
    </xf>
    <xf numFmtId="165" fontId="23" fillId="28" borderId="19" xfId="0" applyNumberFormat="1" applyFont="1" applyFill="1" applyBorder="1" applyAlignment="1">
      <alignment horizontal="center" vertical="center"/>
    </xf>
    <xf numFmtId="165" fontId="23" fillId="28" borderId="24" xfId="37" applyNumberFormat="1" applyFont="1" applyFill="1" applyBorder="1" applyAlignment="1">
      <alignment horizontal="center" vertical="center"/>
    </xf>
    <xf numFmtId="165" fontId="23" fillId="28" borderId="35" xfId="37" applyNumberFormat="1" applyFont="1" applyFill="1" applyBorder="1" applyAlignment="1">
      <alignment horizontal="center" vertical="center"/>
    </xf>
    <xf numFmtId="165" fontId="23" fillId="28" borderId="49" xfId="37" applyNumberFormat="1" applyFont="1" applyFill="1" applyBorder="1" applyAlignment="1">
      <alignment horizontal="center" vertical="center"/>
    </xf>
    <xf numFmtId="165" fontId="23" fillId="28" borderId="19" xfId="37" applyNumberFormat="1" applyFont="1" applyFill="1" applyBorder="1" applyAlignment="1">
      <alignment horizontal="center" vertical="center"/>
    </xf>
    <xf numFmtId="0" fontId="21" fillId="28" borderId="21" xfId="47" applyFont="1" applyFill="1" applyBorder="1" applyAlignment="1">
      <alignment horizontal="left" vertical="top"/>
    </xf>
    <xf numFmtId="0" fontId="21" fillId="28" borderId="0" xfId="47" applyFont="1" applyFill="1" applyAlignment="1">
      <alignment horizontal="left" vertical="top"/>
    </xf>
    <xf numFmtId="0" fontId="21" fillId="28" borderId="10" xfId="47" applyFont="1" applyFill="1" applyBorder="1" applyAlignment="1">
      <alignment horizontal="left" vertical="top"/>
    </xf>
    <xf numFmtId="0" fontId="21" fillId="28" borderId="12" xfId="47" applyFont="1" applyFill="1" applyBorder="1" applyAlignment="1">
      <alignment horizontal="left" vertical="top"/>
    </xf>
    <xf numFmtId="0" fontId="28" fillId="28" borderId="28" xfId="47" applyFont="1" applyFill="1" applyBorder="1" applyAlignment="1">
      <alignment horizontal="right" vertical="center"/>
    </xf>
    <xf numFmtId="0" fontId="28" fillId="28" borderId="22" xfId="47" applyFont="1" applyFill="1" applyBorder="1" applyAlignment="1">
      <alignment vertical="top" wrapText="1"/>
    </xf>
    <xf numFmtId="0" fontId="28" fillId="28" borderId="20" xfId="47" applyFont="1" applyFill="1" applyBorder="1" applyAlignment="1">
      <alignment vertical="top" wrapText="1"/>
    </xf>
    <xf numFmtId="0" fontId="21" fillId="28" borderId="52" xfId="47" applyFont="1" applyFill="1" applyBorder="1" applyAlignment="1">
      <alignment horizontal="left" vertical="top"/>
    </xf>
    <xf numFmtId="0" fontId="21" fillId="28" borderId="39" xfId="47" applyFont="1" applyFill="1" applyBorder="1" applyAlignment="1">
      <alignment horizontal="center" vertical="top"/>
    </xf>
    <xf numFmtId="165" fontId="28" fillId="28" borderId="23" xfId="47" applyNumberFormat="1" applyFont="1" applyFill="1" applyBorder="1" applyAlignment="1">
      <alignment horizontal="center" vertical="center"/>
    </xf>
    <xf numFmtId="165" fontId="28" fillId="28" borderId="22" xfId="47" applyNumberFormat="1" applyFont="1" applyFill="1" applyBorder="1" applyAlignment="1">
      <alignment horizontal="center" vertical="center"/>
    </xf>
    <xf numFmtId="0" fontId="21" fillId="28" borderId="20" xfId="47" applyFont="1" applyFill="1" applyBorder="1" applyAlignment="1">
      <alignment vertical="center"/>
    </xf>
    <xf numFmtId="0" fontId="21" fillId="28" borderId="23" xfId="47" applyFont="1" applyFill="1" applyBorder="1" applyAlignment="1">
      <alignment vertical="center"/>
    </xf>
    <xf numFmtId="0" fontId="21" fillId="28" borderId="19" xfId="47" applyFont="1" applyFill="1" applyBorder="1" applyAlignment="1">
      <alignment vertical="center"/>
    </xf>
    <xf numFmtId="165" fontId="28" fillId="28" borderId="33" xfId="47" applyNumberFormat="1" applyFont="1" applyFill="1" applyBorder="1" applyAlignment="1">
      <alignment horizontal="center" vertical="center"/>
    </xf>
    <xf numFmtId="165" fontId="28" fillId="28" borderId="34" xfId="47" applyNumberFormat="1" applyFont="1" applyFill="1" applyBorder="1" applyAlignment="1">
      <alignment horizontal="center" vertical="center"/>
    </xf>
    <xf numFmtId="0" fontId="21" fillId="28" borderId="25" xfId="47" applyFont="1" applyFill="1" applyBorder="1" applyAlignment="1">
      <alignment vertical="center"/>
    </xf>
    <xf numFmtId="0" fontId="21" fillId="28" borderId="33" xfId="47" applyFont="1" applyFill="1" applyBorder="1" applyAlignment="1">
      <alignment vertical="center"/>
    </xf>
    <xf numFmtId="0" fontId="21" fillId="28" borderId="24" xfId="47" applyFont="1" applyFill="1" applyBorder="1" applyAlignment="1">
      <alignment vertical="center"/>
    </xf>
    <xf numFmtId="165" fontId="28" fillId="28" borderId="36" xfId="47" applyNumberFormat="1" applyFont="1" applyFill="1" applyBorder="1" applyAlignment="1">
      <alignment horizontal="center" vertical="center"/>
    </xf>
    <xf numFmtId="165" fontId="28" fillId="28" borderId="38" xfId="47" applyNumberFormat="1" applyFont="1" applyFill="1" applyBorder="1" applyAlignment="1">
      <alignment horizontal="center" vertical="center"/>
    </xf>
    <xf numFmtId="0" fontId="21" fillId="28" borderId="37" xfId="47" applyFont="1" applyFill="1" applyBorder="1" applyAlignment="1">
      <alignment vertical="center"/>
    </xf>
    <xf numFmtId="0" fontId="21" fillId="28" borderId="36" xfId="47" applyFont="1" applyFill="1" applyBorder="1" applyAlignment="1">
      <alignment vertical="center"/>
    </xf>
    <xf numFmtId="0" fontId="21" fillId="28" borderId="35" xfId="47" applyFont="1" applyFill="1" applyBorder="1" applyAlignment="1">
      <alignment vertical="center"/>
    </xf>
    <xf numFmtId="166" fontId="2" fillId="28" borderId="15" xfId="37" applyNumberFormat="1" applyFill="1" applyBorder="1" applyAlignment="1">
      <alignment horizontal="left" vertical="center"/>
    </xf>
    <xf numFmtId="166" fontId="28" fillId="28" borderId="29" xfId="37" applyNumberFormat="1" applyFont="1" applyFill="1" applyBorder="1" applyAlignment="1">
      <alignment vertical="center"/>
    </xf>
    <xf numFmtId="0" fontId="2" fillId="28" borderId="23" xfId="37" applyFill="1" applyBorder="1" applyAlignment="1">
      <alignment horizontal="left" vertical="top"/>
    </xf>
    <xf numFmtId="0" fontId="2" fillId="28" borderId="22" xfId="37" applyFill="1" applyBorder="1" applyAlignment="1">
      <alignment horizontal="left" vertical="top"/>
    </xf>
    <xf numFmtId="165" fontId="35" fillId="28" borderId="19" xfId="37" applyNumberFormat="1" applyFont="1" applyFill="1" applyBorder="1" applyAlignment="1">
      <alignment horizontal="center" vertical="center"/>
    </xf>
    <xf numFmtId="165" fontId="35" fillId="28" borderId="24" xfId="37" applyNumberFormat="1" applyFont="1" applyFill="1" applyBorder="1" applyAlignment="1">
      <alignment horizontal="center" vertical="center"/>
    </xf>
    <xf numFmtId="165" fontId="35" fillId="28" borderId="35" xfId="37" applyNumberFormat="1" applyFont="1" applyFill="1" applyBorder="1" applyAlignment="1">
      <alignment horizontal="center" vertical="center"/>
    </xf>
    <xf numFmtId="0" fontId="28" fillId="26" borderId="28" xfId="47" applyFont="1" applyFill="1" applyBorder="1" applyAlignment="1">
      <alignment horizontal="right" vertical="center"/>
    </xf>
    <xf numFmtId="0" fontId="2" fillId="26" borderId="0" xfId="47" applyFill="1"/>
    <xf numFmtId="0" fontId="2" fillId="26" borderId="86" xfId="47" applyFill="1" applyBorder="1" applyAlignment="1">
      <alignment horizontal="center"/>
    </xf>
    <xf numFmtId="0" fontId="2" fillId="26" borderId="22" xfId="47" applyFill="1" applyBorder="1" applyAlignment="1">
      <alignment horizontal="center"/>
    </xf>
    <xf numFmtId="0" fontId="2" fillId="26" borderId="20" xfId="47" applyFill="1" applyBorder="1" applyAlignment="1">
      <alignment horizontal="center"/>
    </xf>
    <xf numFmtId="0" fontId="2" fillId="26" borderId="18" xfId="47" applyFill="1" applyBorder="1" applyAlignment="1">
      <alignment horizontal="center"/>
    </xf>
    <xf numFmtId="0" fontId="2" fillId="26" borderId="71" xfId="47" applyFill="1" applyBorder="1" applyAlignment="1">
      <alignment horizontal="center"/>
    </xf>
    <xf numFmtId="0" fontId="51" fillId="26" borderId="0" xfId="47" applyFont="1" applyFill="1"/>
    <xf numFmtId="0" fontId="51" fillId="26" borderId="10" xfId="47" applyFont="1" applyFill="1" applyBorder="1"/>
    <xf numFmtId="0" fontId="51" fillId="26" borderId="96" xfId="47" applyFont="1" applyFill="1" applyBorder="1"/>
    <xf numFmtId="0" fontId="51" fillId="26" borderId="20" xfId="47" applyFont="1" applyFill="1" applyBorder="1"/>
    <xf numFmtId="0" fontId="2" fillId="26" borderId="16" xfId="47" applyFill="1" applyBorder="1"/>
    <xf numFmtId="0" fontId="2" fillId="26" borderId="10" xfId="47" applyFill="1" applyBorder="1"/>
    <xf numFmtId="0" fontId="2" fillId="26" borderId="22" xfId="47" applyFill="1" applyBorder="1"/>
    <xf numFmtId="0" fontId="2" fillId="26" borderId="20" xfId="47" applyFill="1" applyBorder="1"/>
    <xf numFmtId="0" fontId="2" fillId="26" borderId="16" xfId="47" applyFill="1" applyBorder="1" applyAlignment="1">
      <alignment horizontal="center"/>
    </xf>
    <xf numFmtId="0" fontId="2" fillId="26" borderId="18" xfId="47" applyFill="1" applyBorder="1"/>
    <xf numFmtId="0" fontId="2" fillId="26" borderId="10" xfId="47" applyFill="1" applyBorder="1" applyAlignment="1">
      <alignment horizontal="center"/>
    </xf>
    <xf numFmtId="0" fontId="2" fillId="26" borderId="33" xfId="47" applyFill="1" applyBorder="1" applyAlignment="1">
      <alignment horizontal="center"/>
    </xf>
    <xf numFmtId="0" fontId="2" fillId="26" borderId="0" xfId="0" applyFont="1" applyFill="1" applyAlignment="1">
      <alignment horizontal="center"/>
    </xf>
    <xf numFmtId="0" fontId="50" fillId="29" borderId="80" xfId="47" applyFont="1" applyFill="1" applyBorder="1" applyAlignment="1">
      <alignment horizontal="center" vertical="center"/>
    </xf>
    <xf numFmtId="0" fontId="2" fillId="26" borderId="62" xfId="47" applyFill="1" applyBorder="1" applyAlignment="1">
      <alignment horizontal="center"/>
    </xf>
    <xf numFmtId="0" fontId="50" fillId="29" borderId="103" xfId="47" applyFont="1" applyFill="1" applyBorder="1" applyAlignment="1">
      <alignment horizontal="center"/>
    </xf>
    <xf numFmtId="0" fontId="2" fillId="26" borderId="85" xfId="47" applyFill="1" applyBorder="1"/>
    <xf numFmtId="0" fontId="2" fillId="26" borderId="86" xfId="47" applyFill="1" applyBorder="1"/>
    <xf numFmtId="0" fontId="2" fillId="26" borderId="90" xfId="47" applyFill="1" applyBorder="1"/>
    <xf numFmtId="0" fontId="23" fillId="26" borderId="0" xfId="47" applyFont="1" applyFill="1"/>
    <xf numFmtId="0" fontId="2" fillId="26" borderId="96" xfId="47" applyFill="1" applyBorder="1"/>
    <xf numFmtId="0" fontId="2" fillId="26" borderId="100" xfId="47" applyFill="1" applyBorder="1"/>
    <xf numFmtId="0" fontId="2" fillId="26" borderId="101" xfId="47" applyFill="1" applyBorder="1"/>
    <xf numFmtId="0" fontId="2" fillId="26" borderId="91" xfId="47" applyFill="1" applyBorder="1"/>
    <xf numFmtId="0" fontId="2" fillId="26" borderId="98" xfId="47" applyFill="1" applyBorder="1"/>
    <xf numFmtId="0" fontId="2" fillId="26" borderId="87" xfId="47" applyFill="1" applyBorder="1"/>
    <xf numFmtId="0" fontId="2" fillId="26" borderId="0" xfId="0" applyFont="1" applyFill="1" applyAlignment="1">
      <alignment horizontal="center" vertical="center"/>
    </xf>
    <xf numFmtId="2" fontId="23" fillId="26" borderId="0" xfId="47" applyNumberFormat="1" applyFont="1" applyFill="1" applyAlignment="1">
      <alignment horizontal="center"/>
    </xf>
    <xf numFmtId="2" fontId="2" fillId="26" borderId="22" xfId="47" applyNumberFormat="1" applyFill="1" applyBorder="1" applyAlignment="1">
      <alignment horizontal="center"/>
    </xf>
    <xf numFmtId="2" fontId="2" fillId="26" borderId="18" xfId="47" applyNumberFormat="1" applyFill="1" applyBorder="1" applyAlignment="1">
      <alignment horizontal="center"/>
    </xf>
    <xf numFmtId="2" fontId="51" fillId="26" borderId="0" xfId="47" applyNumberFormat="1" applyFont="1" applyFill="1" applyAlignment="1">
      <alignment horizontal="center"/>
    </xf>
    <xf numFmtId="2" fontId="51" fillId="26" borderId="22" xfId="47" applyNumberFormat="1" applyFont="1" applyFill="1" applyBorder="1" applyAlignment="1">
      <alignment horizontal="center"/>
    </xf>
    <xf numFmtId="0" fontId="21" fillId="26" borderId="0" xfId="47" applyFont="1" applyFill="1" applyAlignment="1">
      <alignment horizontal="left" vertical="top" wrapText="1"/>
    </xf>
    <xf numFmtId="166" fontId="23" fillId="26" borderId="0" xfId="47" applyNumberFormat="1" applyFont="1" applyFill="1" applyAlignment="1">
      <alignment horizontal="center"/>
    </xf>
    <xf numFmtId="0" fontId="37" fillId="0" borderId="0" xfId="0" applyFont="1" applyAlignment="1">
      <alignment vertical="center"/>
    </xf>
    <xf numFmtId="0" fontId="39" fillId="0" borderId="27" xfId="0" applyFont="1" applyBorder="1" applyAlignment="1">
      <alignment vertical="center"/>
    </xf>
    <xf numFmtId="0" fontId="42" fillId="24" borderId="33" xfId="0" applyFont="1" applyFill="1" applyBorder="1" applyAlignment="1">
      <alignment horizontal="left" vertical="center"/>
    </xf>
    <xf numFmtId="0" fontId="2" fillId="0" borderId="27" xfId="37" applyBorder="1"/>
    <xf numFmtId="0" fontId="2" fillId="0" borderId="27" xfId="0" applyFont="1" applyBorder="1" applyAlignment="1">
      <alignment vertical="center"/>
    </xf>
    <xf numFmtId="0" fontId="2" fillId="0" borderId="27" xfId="0" applyFont="1" applyBorder="1" applyAlignment="1">
      <alignment horizontal="center" vertical="center"/>
    </xf>
    <xf numFmtId="0" fontId="2" fillId="26" borderId="27" xfId="37" applyFill="1" applyBorder="1" applyAlignment="1">
      <alignment horizontal="left" vertical="center"/>
    </xf>
    <xf numFmtId="0" fontId="2" fillId="0" borderId="27" xfId="37" applyBorder="1" applyAlignment="1">
      <alignment vertical="center"/>
    </xf>
    <xf numFmtId="0" fontId="2" fillId="26" borderId="27" xfId="37" applyFill="1" applyBorder="1" applyAlignment="1">
      <alignment horizontal="center" vertical="center"/>
    </xf>
    <xf numFmtId="0" fontId="2" fillId="0" borderId="27" xfId="37" applyBorder="1" applyAlignment="1">
      <alignment horizontal="center"/>
    </xf>
    <xf numFmtId="0" fontId="2" fillId="26" borderId="11" xfId="37" applyFill="1" applyBorder="1" applyAlignment="1">
      <alignment horizontal="center" vertical="center"/>
    </xf>
    <xf numFmtId="0" fontId="2" fillId="26" borderId="39" xfId="37" applyFill="1" applyBorder="1" applyAlignment="1">
      <alignment horizontal="center" vertical="center"/>
    </xf>
    <xf numFmtId="0" fontId="2" fillId="26" borderId="27" xfId="37" applyFill="1" applyBorder="1"/>
    <xf numFmtId="0" fontId="2" fillId="26" borderId="39" xfId="37" applyFill="1" applyBorder="1"/>
    <xf numFmtId="0" fontId="2" fillId="0" borderId="39" xfId="37" applyBorder="1"/>
    <xf numFmtId="0" fontId="2" fillId="26" borderId="0" xfId="37" applyFill="1" applyAlignment="1">
      <alignment horizontal="left"/>
    </xf>
    <xf numFmtId="0" fontId="2" fillId="26" borderId="27" xfId="37" applyFill="1" applyBorder="1" applyAlignment="1">
      <alignment horizontal="left"/>
    </xf>
    <xf numFmtId="0" fontId="2" fillId="0" borderId="11" xfId="37" applyBorder="1" applyAlignment="1">
      <alignment horizontal="center" vertical="center"/>
    </xf>
    <xf numFmtId="0" fontId="2" fillId="26" borderId="61" xfId="37" applyFill="1" applyBorder="1"/>
    <xf numFmtId="0" fontId="25" fillId="26" borderId="0" xfId="0" applyFont="1" applyFill="1" applyAlignment="1">
      <alignment wrapText="1"/>
    </xf>
    <xf numFmtId="0" fontId="32" fillId="26" borderId="0" xfId="0" applyFont="1" applyFill="1" applyAlignment="1">
      <alignment horizontal="right"/>
    </xf>
    <xf numFmtId="0" fontId="25" fillId="26" borderId="0" xfId="0" applyFont="1" applyFill="1" applyAlignment="1">
      <alignment horizontal="left" vertical="center"/>
    </xf>
    <xf numFmtId="2" fontId="21" fillId="26" borderId="0" xfId="47" applyNumberFormat="1" applyFont="1" applyFill="1" applyAlignment="1">
      <alignment horizontal="center" vertical="center"/>
    </xf>
    <xf numFmtId="0" fontId="30" fillId="26" borderId="0" xfId="47" applyFont="1" applyFill="1" applyAlignment="1">
      <alignment vertical="center"/>
    </xf>
    <xf numFmtId="167" fontId="21" fillId="26" borderId="0" xfId="47" applyNumberFormat="1" applyFont="1" applyFill="1" applyAlignment="1">
      <alignment horizontal="center" vertical="center"/>
    </xf>
    <xf numFmtId="0" fontId="21" fillId="26" borderId="10" xfId="47" applyFont="1" applyFill="1" applyBorder="1" applyAlignment="1">
      <alignment vertical="center"/>
    </xf>
    <xf numFmtId="166" fontId="2" fillId="26" borderId="21" xfId="47" quotePrefix="1" applyNumberFormat="1" applyFill="1" applyBorder="1" applyAlignment="1">
      <alignment horizontal="left" vertical="top" wrapText="1"/>
    </xf>
    <xf numFmtId="166" fontId="2" fillId="26" borderId="21" xfId="47" applyNumberFormat="1" applyFill="1" applyBorder="1" applyAlignment="1">
      <alignment horizontal="left" vertical="top"/>
    </xf>
    <xf numFmtId="166" fontId="2" fillId="26" borderId="15" xfId="47" applyNumberFormat="1" applyFill="1" applyBorder="1" applyAlignment="1">
      <alignment horizontal="left" vertical="top"/>
    </xf>
    <xf numFmtId="0" fontId="33" fillId="0" borderId="22" xfId="0" applyFont="1" applyBorder="1" applyAlignment="1">
      <alignment vertical="center"/>
    </xf>
    <xf numFmtId="0" fontId="25" fillId="0" borderId="0" xfId="0" applyFont="1" applyAlignment="1">
      <alignment horizontal="left" vertical="center"/>
    </xf>
    <xf numFmtId="0" fontId="30" fillId="0" borderId="20" xfId="0" applyFont="1" applyBorder="1" applyAlignment="1">
      <alignment vertical="center" wrapText="1"/>
    </xf>
    <xf numFmtId="0" fontId="21" fillId="0" borderId="0" xfId="37" applyFont="1" applyAlignment="1">
      <alignment horizontal="center" vertical="center"/>
    </xf>
    <xf numFmtId="0" fontId="56" fillId="26" borderId="0" xfId="0" applyFont="1" applyFill="1" applyAlignment="1">
      <alignment vertical="center"/>
    </xf>
    <xf numFmtId="0" fontId="56" fillId="28" borderId="10" xfId="0" applyFont="1" applyFill="1" applyBorder="1" applyAlignment="1">
      <alignment vertical="center"/>
    </xf>
    <xf numFmtId="0" fontId="56" fillId="28" borderId="0" xfId="0" applyFont="1" applyFill="1" applyAlignment="1">
      <alignment vertical="center"/>
    </xf>
    <xf numFmtId="0" fontId="56" fillId="26" borderId="10" xfId="0" applyFont="1" applyFill="1" applyBorder="1" applyAlignment="1">
      <alignment vertical="center"/>
    </xf>
    <xf numFmtId="165" fontId="57" fillId="28" borderId="21" xfId="0" applyNumberFormat="1" applyFont="1" applyFill="1" applyBorder="1" applyAlignment="1">
      <alignment horizontal="center" vertical="center"/>
    </xf>
    <xf numFmtId="165" fontId="57" fillId="26" borderId="21" xfId="0" applyNumberFormat="1" applyFont="1" applyFill="1" applyBorder="1" applyAlignment="1">
      <alignment horizontal="center" vertical="center"/>
    </xf>
    <xf numFmtId="166" fontId="28" fillId="0" borderId="46" xfId="0" applyNumberFormat="1" applyFont="1" applyBorder="1" applyAlignment="1">
      <alignment horizontal="right" vertical="center"/>
    </xf>
    <xf numFmtId="0" fontId="56" fillId="28" borderId="28" xfId="0" applyFont="1" applyFill="1" applyBorder="1" applyAlignment="1">
      <alignment vertical="center"/>
    </xf>
    <xf numFmtId="166" fontId="28" fillId="0" borderId="12" xfId="37" applyNumberFormat="1" applyFont="1" applyBorder="1" applyAlignment="1">
      <alignment horizontal="left" vertical="center" wrapText="1"/>
    </xf>
    <xf numFmtId="0" fontId="56" fillId="26" borderId="28" xfId="0" applyFont="1" applyFill="1" applyBorder="1" applyAlignment="1">
      <alignment horizontal="left" vertical="center"/>
    </xf>
    <xf numFmtId="0" fontId="21" fillId="0" borderId="12" xfId="37" applyFont="1" applyBorder="1" applyAlignment="1">
      <alignment horizontal="right" vertical="center"/>
    </xf>
    <xf numFmtId="0" fontId="21" fillId="0" borderId="10" xfId="0" applyFont="1" applyBorder="1" applyAlignment="1">
      <alignment vertical="center" wrapText="1"/>
    </xf>
    <xf numFmtId="0" fontId="59" fillId="28" borderId="10" xfId="0" applyFont="1" applyFill="1" applyBorder="1" applyAlignment="1">
      <alignment vertical="center" wrapText="1"/>
    </xf>
    <xf numFmtId="0" fontId="59" fillId="28" borderId="0" xfId="0" applyFont="1" applyFill="1" applyAlignment="1">
      <alignment vertical="center" wrapText="1"/>
    </xf>
    <xf numFmtId="0" fontId="59" fillId="28" borderId="21" xfId="0" applyFont="1" applyFill="1" applyBorder="1" applyAlignment="1">
      <alignment vertical="center" wrapText="1"/>
    </xf>
    <xf numFmtId="0" fontId="57" fillId="26" borderId="0" xfId="0" applyFont="1" applyFill="1" applyAlignment="1">
      <alignment vertical="center"/>
    </xf>
    <xf numFmtId="0" fontId="21" fillId="26" borderId="0" xfId="47" applyFont="1" applyFill="1" applyAlignment="1">
      <alignment horizontal="center" vertical="center"/>
    </xf>
    <xf numFmtId="0" fontId="21" fillId="28" borderId="34" xfId="47" applyFont="1" applyFill="1" applyBorder="1" applyAlignment="1">
      <alignment vertical="center"/>
    </xf>
    <xf numFmtId="0" fontId="21" fillId="28" borderId="38" xfId="47" applyFont="1" applyFill="1" applyBorder="1" applyAlignment="1">
      <alignment vertical="center"/>
    </xf>
    <xf numFmtId="0" fontId="21" fillId="28" borderId="22" xfId="47" applyFont="1" applyFill="1" applyBorder="1" applyAlignment="1">
      <alignment vertical="center"/>
    </xf>
    <xf numFmtId="0" fontId="21" fillId="28" borderId="22" xfId="47" applyFont="1" applyFill="1" applyBorder="1" applyAlignment="1">
      <alignment horizontal="center" vertical="top"/>
    </xf>
    <xf numFmtId="0" fontId="21" fillId="28" borderId="23" xfId="47" applyFont="1" applyFill="1" applyBorder="1" applyAlignment="1">
      <alignment horizontal="left" vertical="top"/>
    </xf>
    <xf numFmtId="0" fontId="21" fillId="28" borderId="0" xfId="47" applyFont="1" applyFill="1" applyAlignment="1">
      <alignment horizontal="center" vertical="top"/>
    </xf>
    <xf numFmtId="0" fontId="2" fillId="26" borderId="10" xfId="47" applyFill="1" applyBorder="1" applyAlignment="1">
      <alignment vertical="top"/>
    </xf>
    <xf numFmtId="0" fontId="2" fillId="26" borderId="21" xfId="47" applyFill="1" applyBorder="1" applyAlignment="1">
      <alignment vertical="top"/>
    </xf>
    <xf numFmtId="0" fontId="2" fillId="26" borderId="0" xfId="47" applyFill="1" applyAlignment="1">
      <alignment vertical="top" wrapText="1"/>
    </xf>
    <xf numFmtId="0" fontId="2" fillId="26" borderId="0" xfId="0" applyFont="1" applyFill="1" applyAlignment="1">
      <alignment vertical="top" wrapText="1"/>
    </xf>
    <xf numFmtId="0" fontId="21" fillId="26" borderId="0" xfId="47" applyFont="1" applyFill="1" applyAlignment="1">
      <alignment vertical="center" wrapText="1"/>
    </xf>
    <xf numFmtId="0" fontId="21" fillId="26" borderId="21" xfId="47" applyFont="1" applyFill="1" applyBorder="1" applyAlignment="1">
      <alignment vertical="center" wrapText="1"/>
    </xf>
    <xf numFmtId="0" fontId="2" fillId="26" borderId="0" xfId="47" applyFill="1" applyAlignment="1">
      <alignment horizontal="center" vertical="top" wrapText="1"/>
    </xf>
    <xf numFmtId="0" fontId="2" fillId="0" borderId="12" xfId="0" applyFont="1" applyBorder="1" applyAlignment="1">
      <alignment vertical="top" wrapText="1"/>
    </xf>
    <xf numFmtId="0" fontId="21" fillId="0" borderId="23" xfId="0" applyFont="1" applyBorder="1" applyAlignment="1">
      <alignment horizontal="center" vertical="center"/>
    </xf>
    <xf numFmtId="0" fontId="2" fillId="0" borderId="14" xfId="0" applyFont="1" applyBorder="1" applyAlignment="1">
      <alignment vertical="center"/>
    </xf>
    <xf numFmtId="1" fontId="2" fillId="0" borderId="11" xfId="0" applyNumberFormat="1" applyFont="1" applyBorder="1" applyAlignment="1">
      <alignment horizontal="left" vertical="center"/>
    </xf>
    <xf numFmtId="0" fontId="2" fillId="0" borderId="14" xfId="0" applyFont="1" applyBorder="1" applyAlignment="1">
      <alignment vertical="center" wrapText="1"/>
    </xf>
    <xf numFmtId="0" fontId="2" fillId="0" borderId="14" xfId="0" applyFont="1" applyBorder="1" applyAlignment="1">
      <alignment horizontal="left" vertical="center"/>
    </xf>
    <xf numFmtId="0" fontId="2" fillId="0" borderId="30" xfId="0" applyFont="1" applyBorder="1" applyAlignment="1">
      <alignment horizontal="center" vertical="center"/>
    </xf>
    <xf numFmtId="0" fontId="2" fillId="26" borderId="27" xfId="0" applyFont="1" applyFill="1" applyBorder="1" applyAlignment="1">
      <alignment horizontal="left" vertical="center"/>
    </xf>
    <xf numFmtId="0" fontId="2" fillId="26" borderId="14" xfId="0" applyFont="1" applyFill="1" applyBorder="1" applyAlignment="1">
      <alignment vertical="center"/>
    </xf>
    <xf numFmtId="166" fontId="28" fillId="0" borderId="26" xfId="0" applyNumberFormat="1" applyFont="1" applyBorder="1" applyAlignment="1">
      <alignment horizontal="center" vertical="center"/>
    </xf>
    <xf numFmtId="166" fontId="28" fillId="0" borderId="11" xfId="0" applyNumberFormat="1" applyFont="1" applyBorder="1" applyAlignment="1">
      <alignment horizontal="center" vertical="center"/>
    </xf>
    <xf numFmtId="0" fontId="2" fillId="28" borderId="14" xfId="0" applyFont="1" applyFill="1" applyBorder="1" applyAlignment="1">
      <alignment vertical="center"/>
    </xf>
    <xf numFmtId="0" fontId="2" fillId="28" borderId="27" xfId="0" applyFont="1" applyFill="1" applyBorder="1" applyAlignment="1">
      <alignment horizontal="center" vertical="center"/>
    </xf>
    <xf numFmtId="0" fontId="2" fillId="28" borderId="13" xfId="0" applyFont="1" applyFill="1" applyBorder="1" applyAlignment="1">
      <alignment vertical="center"/>
    </xf>
    <xf numFmtId="0" fontId="2" fillId="28" borderId="30" xfId="0" applyFont="1" applyFill="1" applyBorder="1" applyAlignment="1">
      <alignment horizontal="center" vertical="center"/>
    </xf>
    <xf numFmtId="0" fontId="23" fillId="28" borderId="30" xfId="0" applyFont="1" applyFill="1" applyBorder="1" applyAlignment="1">
      <alignment horizontal="center" vertical="center"/>
    </xf>
    <xf numFmtId="166" fontId="23" fillId="0" borderId="30" xfId="0" applyNumberFormat="1" applyFont="1" applyBorder="1" applyAlignment="1">
      <alignment horizontal="left" vertical="center"/>
    </xf>
    <xf numFmtId="0" fontId="2" fillId="0" borderId="13" xfId="0" applyFont="1" applyBorder="1" applyAlignment="1">
      <alignment vertical="center"/>
    </xf>
    <xf numFmtId="0" fontId="2" fillId="0" borderId="14" xfId="0" applyFont="1" applyBorder="1" applyAlignment="1">
      <alignment horizontal="left" vertical="center" wrapText="1"/>
    </xf>
    <xf numFmtId="0" fontId="2" fillId="0" borderId="12" xfId="0" applyFont="1" applyBorder="1" applyAlignment="1">
      <alignment horizontal="center" vertical="center"/>
    </xf>
    <xf numFmtId="0" fontId="2" fillId="0" borderId="0" xfId="0" applyFont="1" applyAlignment="1">
      <alignment horizontal="center" vertical="center"/>
    </xf>
    <xf numFmtId="0" fontId="2" fillId="0" borderId="26" xfId="0" applyFont="1" applyBorder="1" applyAlignment="1">
      <alignment horizontal="center" vertical="center"/>
    </xf>
    <xf numFmtId="0" fontId="2" fillId="0" borderId="11" xfId="0" applyFont="1" applyBorder="1" applyAlignment="1">
      <alignment horizontal="center" vertical="center"/>
    </xf>
    <xf numFmtId="0" fontId="2" fillId="0" borderId="10" xfId="0" applyFont="1" applyBorder="1" applyAlignment="1">
      <alignment horizontal="center" vertical="center"/>
    </xf>
    <xf numFmtId="0" fontId="2" fillId="0" borderId="13" xfId="0" applyFont="1" applyBorder="1" applyAlignment="1">
      <alignment vertical="center" wrapText="1"/>
    </xf>
    <xf numFmtId="166" fontId="23" fillId="0" borderId="31" xfId="0" applyNumberFormat="1" applyFont="1" applyBorder="1" applyAlignment="1">
      <alignment horizontal="right" vertical="center"/>
    </xf>
    <xf numFmtId="0" fontId="2" fillId="0" borderId="30" xfId="0" applyFont="1" applyBorder="1" applyAlignment="1">
      <alignment vertical="center" wrapText="1"/>
    </xf>
    <xf numFmtId="166" fontId="23" fillId="0" borderId="0" xfId="0" applyNumberFormat="1" applyFont="1" applyAlignment="1">
      <alignment horizontal="right" vertical="center"/>
    </xf>
    <xf numFmtId="0" fontId="2" fillId="0" borderId="52" xfId="0" applyFont="1" applyBorder="1" applyAlignment="1">
      <alignment horizontal="right" vertical="center"/>
    </xf>
    <xf numFmtId="16" fontId="2" fillId="0" borderId="43" xfId="0" quotePrefix="1" applyNumberFormat="1" applyFont="1" applyBorder="1" applyAlignment="1">
      <alignment horizontal="center" vertical="center"/>
    </xf>
    <xf numFmtId="0" fontId="2" fillId="0" borderId="43" xfId="0" quotePrefix="1" applyFont="1" applyBorder="1" applyAlignment="1">
      <alignment horizontal="center" vertical="center"/>
    </xf>
    <xf numFmtId="0" fontId="2" fillId="0" borderId="66" xfId="0" quotePrefix="1" applyFont="1" applyBorder="1" applyAlignment="1">
      <alignment horizontal="center" vertical="center"/>
    </xf>
    <xf numFmtId="0" fontId="2" fillId="0" borderId="42" xfId="0" applyFont="1" applyBorder="1" applyAlignment="1">
      <alignment horizontal="center" vertical="center"/>
    </xf>
    <xf numFmtId="0" fontId="2" fillId="0" borderId="21" xfId="0" applyFont="1" applyBorder="1" applyAlignment="1">
      <alignment vertical="center"/>
    </xf>
    <xf numFmtId="0" fontId="2" fillId="0" borderId="27" xfId="0" applyFont="1" applyBorder="1" applyAlignment="1">
      <alignment horizontal="center" vertical="center" wrapText="1"/>
    </xf>
    <xf numFmtId="0" fontId="2" fillId="0" borderId="0" xfId="0" applyFont="1" applyAlignment="1">
      <alignment vertical="center" wrapText="1"/>
    </xf>
    <xf numFmtId="0" fontId="2" fillId="0" borderId="30" xfId="0" applyFont="1" applyBorder="1" applyAlignment="1">
      <alignment vertical="center"/>
    </xf>
    <xf numFmtId="0" fontId="2" fillId="0" borderId="28" xfId="0" applyFont="1" applyBorder="1" applyAlignment="1">
      <alignment vertical="center" wrapText="1"/>
    </xf>
    <xf numFmtId="0" fontId="2" fillId="0" borderId="29" xfId="0" applyFont="1" applyBorder="1" applyAlignment="1">
      <alignment vertical="center"/>
    </xf>
    <xf numFmtId="0" fontId="21" fillId="0" borderId="28" xfId="0" applyFont="1" applyBorder="1" applyAlignment="1">
      <alignment vertical="center" wrapText="1"/>
    </xf>
    <xf numFmtId="0" fontId="2" fillId="26" borderId="13" xfId="37" applyFill="1" applyBorder="1" applyAlignment="1">
      <alignment horizontal="left" vertical="center"/>
    </xf>
    <xf numFmtId="0" fontId="2" fillId="26" borderId="14" xfId="37" applyFill="1" applyBorder="1" applyAlignment="1">
      <alignment horizontal="left" vertical="center"/>
    </xf>
    <xf numFmtId="0" fontId="2" fillId="0" borderId="75" xfId="0" applyFont="1" applyBorder="1" applyAlignment="1">
      <alignment horizontal="center" vertical="center"/>
    </xf>
    <xf numFmtId="0" fontId="2" fillId="0" borderId="19" xfId="0" applyFont="1" applyBorder="1" applyAlignment="1">
      <alignment horizontal="center" vertical="center"/>
    </xf>
    <xf numFmtId="0" fontId="2" fillId="0" borderId="21" xfId="0" applyFont="1" applyBorder="1" applyAlignment="1">
      <alignment vertical="center" wrapText="1"/>
    </xf>
    <xf numFmtId="0" fontId="2" fillId="0" borderId="10" xfId="0" applyFont="1" applyBorder="1" applyAlignment="1">
      <alignment vertical="center" wrapText="1"/>
    </xf>
    <xf numFmtId="0" fontId="2" fillId="0" borderId="11" xfId="0" applyFont="1" applyBorder="1" applyAlignment="1">
      <alignment horizontal="center" vertical="center" wrapText="1"/>
    </xf>
    <xf numFmtId="0" fontId="2" fillId="0" borderId="26" xfId="37" applyBorder="1" applyAlignment="1">
      <alignment horizontal="center" vertical="center"/>
    </xf>
    <xf numFmtId="0" fontId="2" fillId="0" borderId="14" xfId="37" applyBorder="1" applyAlignment="1">
      <alignment horizontal="left" vertical="center"/>
    </xf>
    <xf numFmtId="1" fontId="2" fillId="0" borderId="29" xfId="37" applyNumberFormat="1" applyBorder="1" applyAlignment="1">
      <alignment horizontal="center" vertical="center"/>
    </xf>
    <xf numFmtId="0" fontId="2" fillId="0" borderId="27" xfId="37" applyBorder="1" applyAlignment="1">
      <alignment horizontal="left" vertical="center"/>
    </xf>
    <xf numFmtId="1" fontId="2" fillId="0" borderId="11" xfId="37" applyNumberFormat="1" applyBorder="1" applyAlignment="1">
      <alignment horizontal="center" vertical="center"/>
    </xf>
    <xf numFmtId="0" fontId="2" fillId="0" borderId="14" xfId="37" applyBorder="1" applyAlignment="1">
      <alignment vertical="center"/>
    </xf>
    <xf numFmtId="0" fontId="2" fillId="0" borderId="13" xfId="37" applyBorder="1" applyAlignment="1">
      <alignment horizontal="left" vertical="center"/>
    </xf>
    <xf numFmtId="0" fontId="23" fillId="0" borderId="31" xfId="37" applyFont="1" applyBorder="1" applyAlignment="1">
      <alignment horizontal="right" vertical="center"/>
    </xf>
    <xf numFmtId="0" fontId="23" fillId="28" borderId="28" xfId="37" applyFont="1" applyFill="1" applyBorder="1" applyAlignment="1">
      <alignment horizontal="right" vertical="center"/>
    </xf>
    <xf numFmtId="0" fontId="61" fillId="28" borderId="31" xfId="0" applyFont="1" applyFill="1" applyBorder="1" applyAlignment="1">
      <alignment vertical="center"/>
    </xf>
    <xf numFmtId="0" fontId="2" fillId="28" borderId="13" xfId="37" applyFill="1" applyBorder="1" applyAlignment="1">
      <alignment horizontal="left" vertical="center"/>
    </xf>
    <xf numFmtId="0" fontId="2" fillId="28" borderId="14" xfId="37" applyFill="1" applyBorder="1" applyAlignment="1">
      <alignment horizontal="left" vertical="center"/>
    </xf>
    <xf numFmtId="1" fontId="2" fillId="0" borderId="27" xfId="37" applyNumberFormat="1" applyBorder="1" applyAlignment="1">
      <alignment horizontal="center" vertical="center"/>
    </xf>
    <xf numFmtId="1" fontId="2" fillId="0" borderId="27" xfId="37" applyNumberFormat="1" applyBorder="1" applyAlignment="1">
      <alignment horizontal="center"/>
    </xf>
    <xf numFmtId="0" fontId="2" fillId="0" borderId="30" xfId="37" applyBorder="1" applyAlignment="1">
      <alignment horizontal="center" vertical="top" wrapText="1"/>
    </xf>
    <xf numFmtId="0" fontId="2" fillId="0" borderId="26" xfId="37" applyBorder="1" applyAlignment="1">
      <alignment horizontal="center" vertical="top" wrapText="1"/>
    </xf>
    <xf numFmtId="0" fontId="2" fillId="0" borderId="47" xfId="37" applyBorder="1" applyAlignment="1">
      <alignment horizontal="center" vertical="center"/>
    </xf>
    <xf numFmtId="0" fontId="2" fillId="0" borderId="11" xfId="37" applyBorder="1" applyAlignment="1">
      <alignment horizontal="center"/>
    </xf>
    <xf numFmtId="0" fontId="2" fillId="0" borderId="47" xfId="37" applyBorder="1" applyAlignment="1">
      <alignment horizontal="center" vertical="center" wrapText="1"/>
    </xf>
    <xf numFmtId="0" fontId="2" fillId="0" borderId="75" xfId="37" applyBorder="1" applyAlignment="1">
      <alignment horizontal="center" vertical="center" wrapText="1"/>
    </xf>
    <xf numFmtId="0" fontId="2" fillId="0" borderId="27" xfId="37" applyBorder="1" applyAlignment="1">
      <alignment horizontal="center" vertical="center"/>
    </xf>
    <xf numFmtId="0" fontId="2" fillId="0" borderId="11" xfId="37" applyBorder="1" applyAlignment="1">
      <alignment horizontal="right" vertical="center"/>
    </xf>
    <xf numFmtId="166" fontId="23" fillId="0" borderId="26" xfId="37" applyNumberFormat="1" applyFont="1" applyBorder="1" applyAlignment="1">
      <alignment horizontal="left" vertical="center" wrapText="1"/>
    </xf>
    <xf numFmtId="0" fontId="23" fillId="28" borderId="26" xfId="0" applyFont="1" applyFill="1" applyBorder="1" applyAlignment="1">
      <alignment horizontal="center" vertical="center"/>
    </xf>
    <xf numFmtId="0" fontId="2" fillId="28" borderId="26" xfId="0" applyFont="1" applyFill="1" applyBorder="1" applyAlignment="1">
      <alignment horizontal="center" vertical="center"/>
    </xf>
    <xf numFmtId="0" fontId="2" fillId="26" borderId="13" xfId="37" applyFill="1" applyBorder="1" applyAlignment="1">
      <alignment vertical="center" wrapText="1"/>
    </xf>
    <xf numFmtId="0" fontId="2" fillId="26" borderId="26" xfId="37" applyFill="1" applyBorder="1" applyAlignment="1">
      <alignment horizontal="center" vertical="center"/>
    </xf>
    <xf numFmtId="0" fontId="2" fillId="26" borderId="14" xfId="37" applyFill="1" applyBorder="1" applyAlignment="1">
      <alignment vertical="center" wrapText="1"/>
    </xf>
    <xf numFmtId="0" fontId="2" fillId="26" borderId="10" xfId="0" applyFont="1" applyFill="1" applyBorder="1"/>
    <xf numFmtId="0" fontId="2" fillId="26" borderId="28" xfId="0" applyFont="1" applyFill="1" applyBorder="1"/>
    <xf numFmtId="0" fontId="2" fillId="26" borderId="21" xfId="37" applyFill="1" applyBorder="1" applyAlignment="1">
      <alignment vertical="center" wrapText="1"/>
    </xf>
    <xf numFmtId="166" fontId="2" fillId="0" borderId="16" xfId="0" applyNumberFormat="1" applyFont="1" applyBorder="1" applyAlignment="1">
      <alignment horizontal="left" vertical="top"/>
    </xf>
    <xf numFmtId="0" fontId="2" fillId="0" borderId="14" xfId="0" applyFont="1" applyBorder="1" applyAlignment="1">
      <alignment horizontal="left" vertical="center" wrapText="1" indent="1"/>
    </xf>
    <xf numFmtId="0" fontId="30" fillId="0" borderId="10" xfId="0" applyFont="1" applyBorder="1" applyAlignment="1">
      <alignment vertical="top" wrapText="1"/>
    </xf>
    <xf numFmtId="0" fontId="30" fillId="0" borderId="10" xfId="0" applyFont="1" applyBorder="1"/>
    <xf numFmtId="0" fontId="2" fillId="0" borderId="31" xfId="0" applyFont="1" applyBorder="1" applyAlignment="1">
      <alignment horizontal="center" vertical="center"/>
    </xf>
    <xf numFmtId="1" fontId="2" fillId="0" borderId="26" xfId="0" applyNumberFormat="1" applyFont="1" applyBorder="1" applyAlignment="1">
      <alignment horizontal="center" vertical="center"/>
    </xf>
    <xf numFmtId="0" fontId="2" fillId="0" borderId="0" xfId="37" applyAlignment="1">
      <alignment horizontal="center" vertical="top" wrapText="1"/>
    </xf>
    <xf numFmtId="0" fontId="2" fillId="0" borderId="10" xfId="37" applyBorder="1" applyAlignment="1">
      <alignment horizontal="center" vertical="top" wrapText="1"/>
    </xf>
    <xf numFmtId="0" fontId="2" fillId="0" borderId="0" xfId="37" applyAlignment="1">
      <alignment vertical="top" wrapText="1"/>
    </xf>
    <xf numFmtId="0" fontId="2" fillId="0" borderId="13" xfId="0" applyFont="1" applyBorder="1" applyAlignment="1">
      <alignment horizontal="left" vertical="center"/>
    </xf>
    <xf numFmtId="166" fontId="23" fillId="28" borderId="28" xfId="37" applyNumberFormat="1" applyFont="1" applyFill="1" applyBorder="1" applyAlignment="1">
      <alignment horizontal="right" vertical="center"/>
    </xf>
    <xf numFmtId="0" fontId="23" fillId="26" borderId="0" xfId="0" applyFont="1" applyFill="1" applyAlignment="1">
      <alignment horizontal="right"/>
    </xf>
    <xf numFmtId="0" fontId="21" fillId="26" borderId="0" xfId="47" applyFont="1" applyFill="1" applyAlignment="1">
      <alignment horizontal="right"/>
    </xf>
    <xf numFmtId="166" fontId="23" fillId="0" borderId="28" xfId="37" applyNumberFormat="1" applyFont="1" applyBorder="1" applyAlignment="1">
      <alignment horizontal="right" vertical="center"/>
    </xf>
    <xf numFmtId="0" fontId="23" fillId="0" borderId="28" xfId="37" applyFont="1" applyBorder="1" applyAlignment="1">
      <alignment horizontal="right" vertical="center" wrapText="1"/>
    </xf>
    <xf numFmtId="0" fontId="23" fillId="0" borderId="28" xfId="0" applyFont="1" applyBorder="1" applyAlignment="1">
      <alignment horizontal="right" vertical="center" wrapText="1"/>
    </xf>
    <xf numFmtId="0" fontId="2" fillId="0" borderId="27" xfId="0" applyFont="1" applyBorder="1" applyAlignment="1">
      <alignment horizontal="left" vertical="center"/>
    </xf>
    <xf numFmtId="0" fontId="2" fillId="0" borderId="23" xfId="0" applyFont="1" applyBorder="1" applyAlignment="1">
      <alignment vertical="center"/>
    </xf>
    <xf numFmtId="0" fontId="2" fillId="0" borderId="20" xfId="0" applyFont="1" applyBorder="1" applyAlignment="1">
      <alignment vertical="center"/>
    </xf>
    <xf numFmtId="0" fontId="42" fillId="0" borderId="27" xfId="37" applyFont="1" applyBorder="1" applyAlignment="1">
      <alignment horizontal="center" vertical="center"/>
    </xf>
    <xf numFmtId="0" fontId="23" fillId="0" borderId="27" xfId="37" applyFont="1" applyBorder="1" applyAlignment="1">
      <alignment horizontal="center" vertical="center"/>
    </xf>
    <xf numFmtId="0" fontId="23" fillId="0" borderId="27" xfId="0" applyFont="1" applyBorder="1" applyAlignment="1">
      <alignment horizontal="center" vertical="center"/>
    </xf>
    <xf numFmtId="0" fontId="2" fillId="0" borderId="58" xfId="40" applyFont="1" applyBorder="1" applyAlignment="1">
      <alignment vertical="center"/>
    </xf>
    <xf numFmtId="0" fontId="23" fillId="0" borderId="27" xfId="0" applyFont="1" applyBorder="1" applyAlignment="1">
      <alignment horizontal="right" vertical="center"/>
    </xf>
    <xf numFmtId="0" fontId="39" fillId="0" borderId="31" xfId="0" applyFont="1" applyBorder="1" applyAlignment="1">
      <alignment horizontal="left" vertical="center"/>
    </xf>
    <xf numFmtId="0" fontId="42" fillId="0" borderId="0" xfId="0" applyFont="1" applyAlignment="1">
      <alignment vertical="center"/>
    </xf>
    <xf numFmtId="0" fontId="37" fillId="0" borderId="0" xfId="0" applyFont="1" applyAlignment="1">
      <alignment horizontal="center" vertical="center"/>
    </xf>
    <xf numFmtId="0" fontId="42" fillId="0" borderId="0" xfId="39" applyFont="1"/>
    <xf numFmtId="0" fontId="63" fillId="0" borderId="0" xfId="0" applyFont="1" applyAlignment="1">
      <alignment vertical="center"/>
    </xf>
    <xf numFmtId="0" fontId="42" fillId="24" borderId="34" xfId="0" applyFont="1" applyFill="1" applyBorder="1" applyAlignment="1">
      <alignment horizontal="center" vertical="center"/>
    </xf>
    <xf numFmtId="0" fontId="42" fillId="24" borderId="34" xfId="0" applyFont="1" applyFill="1" applyBorder="1" applyAlignment="1">
      <alignment vertical="center"/>
    </xf>
    <xf numFmtId="0" fontId="42" fillId="24" borderId="25" xfId="0" applyFont="1" applyFill="1" applyBorder="1" applyAlignment="1">
      <alignment horizontal="center" vertical="center"/>
    </xf>
    <xf numFmtId="0" fontId="2" fillId="0" borderId="33" xfId="0" applyFont="1" applyBorder="1" applyAlignment="1">
      <alignment vertical="center"/>
    </xf>
    <xf numFmtId="0" fontId="2" fillId="0" borderId="25" xfId="0" applyFont="1" applyBorder="1" applyAlignment="1">
      <alignment vertical="center"/>
    </xf>
    <xf numFmtId="0" fontId="23" fillId="25" borderId="33" xfId="0" applyFont="1" applyFill="1" applyBorder="1" applyAlignment="1">
      <alignment vertical="center"/>
    </xf>
    <xf numFmtId="0" fontId="2" fillId="25" borderId="34" xfId="0" applyFont="1" applyFill="1" applyBorder="1" applyAlignment="1">
      <alignment vertical="center"/>
    </xf>
    <xf numFmtId="0" fontId="33" fillId="0" borderId="23" xfId="0" applyFont="1" applyBorder="1" applyAlignment="1">
      <alignment vertical="center"/>
    </xf>
    <xf numFmtId="0" fontId="33" fillId="0" borderId="20" xfId="0" applyFont="1" applyBorder="1" applyAlignment="1">
      <alignment vertical="center"/>
    </xf>
    <xf numFmtId="0" fontId="21" fillId="0" borderId="22" xfId="37" applyFont="1" applyBorder="1" applyAlignment="1">
      <alignment vertical="center" wrapText="1"/>
    </xf>
    <xf numFmtId="0" fontId="21" fillId="0" borderId="20" xfId="37" applyFont="1" applyBorder="1" applyAlignment="1">
      <alignment vertical="center" wrapText="1"/>
    </xf>
    <xf numFmtId="0" fontId="2" fillId="25" borderId="25" xfId="0" applyFont="1" applyFill="1" applyBorder="1" applyAlignment="1">
      <alignment vertical="center"/>
    </xf>
    <xf numFmtId="0" fontId="2" fillId="0" borderId="17" xfId="0" applyFont="1" applyBorder="1" applyAlignment="1">
      <alignment vertical="center"/>
    </xf>
    <xf numFmtId="0" fontId="2" fillId="0" borderId="18" xfId="0" applyFont="1" applyBorder="1" applyAlignment="1">
      <alignment vertical="center"/>
    </xf>
    <xf numFmtId="0" fontId="2" fillId="0" borderId="22" xfId="0" applyFont="1" applyBorder="1" applyAlignment="1">
      <alignment vertical="center"/>
    </xf>
    <xf numFmtId="167" fontId="23" fillId="26" borderId="24" xfId="47" applyNumberFormat="1" applyFont="1" applyFill="1" applyBorder="1" applyAlignment="1">
      <alignment horizontal="center" vertical="center"/>
    </xf>
    <xf numFmtId="0" fontId="2" fillId="26" borderId="0" xfId="47" applyFill="1" applyAlignment="1">
      <alignment vertical="center"/>
    </xf>
    <xf numFmtId="167" fontId="2" fillId="26" borderId="24" xfId="47" applyNumberFormat="1" applyFill="1" applyBorder="1" applyAlignment="1">
      <alignment horizontal="center" vertical="center"/>
    </xf>
    <xf numFmtId="2" fontId="2" fillId="26" borderId="33" xfId="47" applyNumberFormat="1" applyFill="1" applyBorder="1" applyAlignment="1">
      <alignment horizontal="left" vertical="center"/>
    </xf>
    <xf numFmtId="0" fontId="2" fillId="26" borderId="24" xfId="47" applyFill="1" applyBorder="1" applyAlignment="1">
      <alignment vertical="center"/>
    </xf>
    <xf numFmtId="0" fontId="2" fillId="26" borderId="25" xfId="47" applyFill="1" applyBorder="1" applyAlignment="1">
      <alignment vertical="center"/>
    </xf>
    <xf numFmtId="0" fontId="2" fillId="26" borderId="25" xfId="47" applyFill="1" applyBorder="1" applyAlignment="1">
      <alignment horizontal="left" vertical="center"/>
    </xf>
    <xf numFmtId="2" fontId="23" fillId="26" borderId="33" xfId="47" applyNumberFormat="1" applyFont="1" applyFill="1" applyBorder="1" applyAlignment="1">
      <alignment horizontal="left" vertical="center"/>
    </xf>
    <xf numFmtId="2" fontId="2" fillId="26" borderId="62" xfId="47" applyNumberFormat="1" applyFill="1" applyBorder="1" applyAlignment="1">
      <alignment horizontal="left" vertical="center"/>
    </xf>
    <xf numFmtId="2" fontId="2" fillId="26" borderId="62" xfId="47" applyNumberFormat="1" applyFill="1" applyBorder="1" applyAlignment="1">
      <alignment vertical="center"/>
    </xf>
    <xf numFmtId="2" fontId="2" fillId="26" borderId="33" xfId="47" applyNumberFormat="1" applyFill="1" applyBorder="1" applyAlignment="1">
      <alignment vertical="center"/>
    </xf>
    <xf numFmtId="0" fontId="2" fillId="26" borderId="24" xfId="47" applyFill="1" applyBorder="1" applyAlignment="1">
      <alignment horizontal="center" vertical="center"/>
    </xf>
    <xf numFmtId="0" fontId="2" fillId="0" borderId="10" xfId="0" applyFont="1" applyBorder="1"/>
    <xf numFmtId="0" fontId="2" fillId="0" borderId="21" xfId="0" applyFont="1" applyBorder="1"/>
    <xf numFmtId="0" fontId="21" fillId="0" borderId="21" xfId="0" applyFont="1" applyBorder="1" applyAlignment="1">
      <alignment horizontal="center" vertical="center"/>
    </xf>
    <xf numFmtId="0" fontId="21" fillId="0" borderId="10" xfId="0" applyFont="1" applyBorder="1" applyAlignment="1">
      <alignment horizontal="center" vertical="center"/>
    </xf>
    <xf numFmtId="0" fontId="2" fillId="0" borderId="44" xfId="0" applyFont="1" applyBorder="1" applyAlignment="1">
      <alignment horizontal="center" vertical="center"/>
    </xf>
    <xf numFmtId="0" fontId="2" fillId="0" borderId="41" xfId="0" applyFont="1" applyBorder="1" applyAlignment="1">
      <alignment horizontal="center" vertical="center"/>
    </xf>
    <xf numFmtId="0" fontId="2" fillId="0" borderId="30" xfId="0" applyFont="1" applyBorder="1" applyAlignment="1">
      <alignment horizontal="left" vertical="center"/>
    </xf>
    <xf numFmtId="0" fontId="21" fillId="0" borderId="28" xfId="0" applyFont="1" applyBorder="1" applyAlignment="1">
      <alignment horizontal="right" vertical="center"/>
    </xf>
    <xf numFmtId="1" fontId="2" fillId="0" borderId="10" xfId="0" applyNumberFormat="1" applyFont="1" applyBorder="1" applyAlignment="1">
      <alignment horizontal="center" vertical="center"/>
    </xf>
    <xf numFmtId="1" fontId="2" fillId="0" borderId="0" xfId="0" applyNumberFormat="1" applyFont="1" applyAlignment="1">
      <alignment horizontal="center" vertical="center"/>
    </xf>
    <xf numFmtId="1" fontId="2" fillId="0" borderId="30" xfId="0" applyNumberFormat="1" applyFont="1" applyBorder="1" applyAlignment="1">
      <alignment horizontal="center" vertical="center"/>
    </xf>
    <xf numFmtId="0" fontId="31" fillId="0" borderId="22" xfId="0" applyFont="1" applyBorder="1" applyAlignment="1">
      <alignment vertical="center" wrapText="1"/>
    </xf>
    <xf numFmtId="1" fontId="2" fillId="0" borderId="27" xfId="0" applyNumberFormat="1" applyFont="1" applyBorder="1" applyAlignment="1">
      <alignment horizontal="center" vertical="center"/>
    </xf>
    <xf numFmtId="1" fontId="2" fillId="0" borderId="0" xfId="0" applyNumberFormat="1" applyFont="1" applyAlignment="1">
      <alignment vertical="center"/>
    </xf>
    <xf numFmtId="0" fontId="45" fillId="0" borderId="22" xfId="0" applyFont="1" applyBorder="1" applyAlignment="1">
      <alignment vertical="center"/>
    </xf>
    <xf numFmtId="0" fontId="21" fillId="0" borderId="40" xfId="0" applyFont="1" applyBorder="1" applyAlignment="1">
      <alignment vertical="center"/>
    </xf>
    <xf numFmtId="0" fontId="2" fillId="0" borderId="28" xfId="0" applyFont="1" applyBorder="1" applyAlignment="1">
      <alignment horizontal="right" vertical="center"/>
    </xf>
    <xf numFmtId="0" fontId="2" fillId="28" borderId="26" xfId="37" applyFill="1" applyBorder="1" applyAlignment="1">
      <alignment horizontal="left" vertical="center"/>
    </xf>
    <xf numFmtId="0" fontId="2" fillId="28" borderId="11" xfId="37" applyFill="1" applyBorder="1" applyAlignment="1">
      <alignment horizontal="left" vertical="center"/>
    </xf>
    <xf numFmtId="0" fontId="2" fillId="26" borderId="26" xfId="37" applyFill="1" applyBorder="1" applyAlignment="1">
      <alignment horizontal="left" vertical="center"/>
    </xf>
    <xf numFmtId="0" fontId="2" fillId="26" borderId="11" xfId="37" applyFill="1" applyBorder="1" applyAlignment="1">
      <alignment horizontal="left" vertical="center"/>
    </xf>
    <xf numFmtId="0" fontId="2" fillId="0" borderId="26" xfId="37" applyBorder="1" applyAlignment="1">
      <alignment horizontal="left" vertical="center"/>
    </xf>
    <xf numFmtId="0" fontId="2" fillId="0" borderId="11" xfId="37" applyBorder="1" applyAlignment="1">
      <alignment horizontal="left" vertical="center"/>
    </xf>
    <xf numFmtId="0" fontId="21" fillId="0" borderId="29" xfId="37" applyFont="1" applyBorder="1" applyAlignment="1">
      <alignment vertical="center"/>
    </xf>
    <xf numFmtId="166" fontId="28" fillId="0" borderId="10" xfId="37" applyNumberFormat="1" applyFont="1" applyBorder="1" applyAlignment="1">
      <alignment horizontal="center" vertical="center" wrapText="1"/>
    </xf>
    <xf numFmtId="0" fontId="30" fillId="26" borderId="0" xfId="37" applyFont="1" applyFill="1" applyAlignment="1">
      <alignment vertical="center"/>
    </xf>
    <xf numFmtId="166" fontId="2" fillId="0" borderId="0" xfId="37" applyNumberFormat="1" applyAlignment="1">
      <alignment horizontal="left" vertical="center"/>
    </xf>
    <xf numFmtId="0" fontId="30" fillId="26" borderId="0" xfId="0" applyFont="1" applyFill="1" applyAlignment="1">
      <alignment vertical="center"/>
    </xf>
    <xf numFmtId="1" fontId="23" fillId="0" borderId="24" xfId="0" applyNumberFormat="1" applyFont="1" applyBorder="1" applyAlignment="1">
      <alignment horizontal="center" vertical="center"/>
    </xf>
    <xf numFmtId="165" fontId="23" fillId="26" borderId="24" xfId="0" applyNumberFormat="1" applyFont="1" applyFill="1" applyBorder="1" applyAlignment="1">
      <alignment horizontal="center" vertical="center"/>
    </xf>
    <xf numFmtId="165" fontId="42" fillId="0" borderId="35" xfId="0" applyNumberFormat="1" applyFont="1" applyBorder="1" applyAlignment="1">
      <alignment horizontal="center" vertical="center"/>
    </xf>
    <xf numFmtId="165" fontId="42" fillId="0" borderId="19" xfId="0" applyNumberFormat="1" applyFont="1" applyBorder="1" applyAlignment="1">
      <alignment horizontal="center" vertical="center"/>
    </xf>
    <xf numFmtId="165" fontId="42" fillId="0" borderId="24" xfId="0" applyNumberFormat="1" applyFont="1" applyBorder="1" applyAlignment="1">
      <alignment horizontal="center" vertical="center"/>
    </xf>
    <xf numFmtId="1" fontId="2" fillId="0" borderId="11" xfId="0" applyNumberFormat="1" applyFont="1" applyBorder="1" applyAlignment="1">
      <alignment horizontal="center" vertical="center"/>
    </xf>
    <xf numFmtId="0" fontId="21" fillId="26" borderId="11" xfId="47" applyFont="1" applyFill="1" applyBorder="1" applyAlignment="1">
      <alignment horizontal="center" vertical="center"/>
    </xf>
    <xf numFmtId="0" fontId="21" fillId="26" borderId="0" xfId="47" applyFont="1" applyFill="1" applyAlignment="1">
      <alignment horizontal="center" vertical="center" wrapText="1"/>
    </xf>
    <xf numFmtId="0" fontId="21" fillId="26" borderId="10" xfId="47" applyFont="1" applyFill="1" applyBorder="1" applyAlignment="1">
      <alignment horizontal="center" vertical="center" wrapText="1"/>
    </xf>
    <xf numFmtId="0" fontId="21" fillId="26" borderId="25" xfId="47" applyFont="1" applyFill="1" applyBorder="1" applyAlignment="1">
      <alignment horizontal="center" vertical="center"/>
    </xf>
    <xf numFmtId="0" fontId="28" fillId="26" borderId="0" xfId="47" applyFont="1" applyFill="1" applyAlignment="1">
      <alignment horizontal="center" vertical="center"/>
    </xf>
    <xf numFmtId="0" fontId="21" fillId="26" borderId="0" xfId="47" applyFont="1" applyFill="1" applyAlignment="1">
      <alignment horizontal="center" vertical="top"/>
    </xf>
    <xf numFmtId="0" fontId="21" fillId="26" borderId="10" xfId="47" applyFont="1" applyFill="1" applyBorder="1" applyAlignment="1">
      <alignment horizontal="center" vertical="top"/>
    </xf>
    <xf numFmtId="0" fontId="2" fillId="0" borderId="21" xfId="37" applyBorder="1" applyAlignment="1">
      <alignment vertical="center" wrapText="1"/>
    </xf>
    <xf numFmtId="0" fontId="2" fillId="0" borderId="0" xfId="37" applyAlignment="1">
      <alignment vertical="center" wrapText="1"/>
    </xf>
    <xf numFmtId="0" fontId="2" fillId="0" borderId="10" xfId="37" applyBorder="1" applyAlignment="1">
      <alignment vertical="center" wrapText="1"/>
    </xf>
    <xf numFmtId="0" fontId="30" fillId="28" borderId="10" xfId="47" applyFont="1" applyFill="1" applyBorder="1" applyAlignment="1">
      <alignment horizontal="left" vertical="top"/>
    </xf>
    <xf numFmtId="0" fontId="30" fillId="28" borderId="21" xfId="47" applyFont="1" applyFill="1" applyBorder="1" applyAlignment="1">
      <alignment horizontal="left" vertical="top"/>
    </xf>
    <xf numFmtId="168" fontId="28" fillId="26" borderId="26" xfId="0" applyNumberFormat="1" applyFont="1" applyFill="1" applyBorder="1" applyAlignment="1">
      <alignment vertical="center" wrapText="1"/>
    </xf>
    <xf numFmtId="0" fontId="21" fillId="31" borderId="0" xfId="0" applyFont="1" applyFill="1" applyAlignment="1">
      <alignment vertical="center" wrapText="1"/>
    </xf>
    <xf numFmtId="0" fontId="21" fillId="26" borderId="29" xfId="47" applyFont="1" applyFill="1" applyBorder="1" applyAlignment="1">
      <alignment vertical="center"/>
    </xf>
    <xf numFmtId="0" fontId="28" fillId="26" borderId="31" xfId="47" applyFont="1" applyFill="1" applyBorder="1"/>
    <xf numFmtId="0" fontId="21" fillId="26" borderId="21" xfId="47" applyFont="1" applyFill="1" applyBorder="1" applyAlignment="1">
      <alignment vertical="top" wrapText="1"/>
    </xf>
    <xf numFmtId="0" fontId="28" fillId="26" borderId="52" xfId="47" applyFont="1" applyFill="1" applyBorder="1" applyAlignment="1">
      <alignment horizontal="right" vertical="center"/>
    </xf>
    <xf numFmtId="168" fontId="28" fillId="26" borderId="32" xfId="47" applyNumberFormat="1" applyFont="1" applyFill="1" applyBorder="1" applyAlignment="1">
      <alignment horizontal="left" vertical="center"/>
    </xf>
    <xf numFmtId="0" fontId="21" fillId="26" borderId="10" xfId="47" applyFont="1" applyFill="1" applyBorder="1" applyAlignment="1">
      <alignment vertical="center" wrapText="1"/>
    </xf>
    <xf numFmtId="0" fontId="28" fillId="26" borderId="0" xfId="47" applyFont="1" applyFill="1" applyAlignment="1">
      <alignment horizontal="left" vertical="center" wrapText="1"/>
    </xf>
    <xf numFmtId="0" fontId="21" fillId="26" borderId="39" xfId="47" applyFont="1" applyFill="1" applyBorder="1" applyAlignment="1">
      <alignment horizontal="left" vertical="top"/>
    </xf>
    <xf numFmtId="0" fontId="21" fillId="26" borderId="34" xfId="37" applyFont="1" applyFill="1" applyBorder="1" applyAlignment="1">
      <alignment horizontal="center" vertical="center"/>
    </xf>
    <xf numFmtId="0" fontId="21" fillId="26" borderId="38" xfId="37" applyFont="1" applyFill="1" applyBorder="1" applyAlignment="1">
      <alignment horizontal="center" vertical="center"/>
    </xf>
    <xf numFmtId="0" fontId="21" fillId="26" borderId="51" xfId="37" applyFont="1" applyFill="1" applyBorder="1" applyAlignment="1">
      <alignment horizontal="center" vertical="center"/>
    </xf>
    <xf numFmtId="0" fontId="2" fillId="28" borderId="27" xfId="47" applyFill="1" applyBorder="1" applyAlignment="1">
      <alignment horizontal="left" vertical="center"/>
    </xf>
    <xf numFmtId="0" fontId="2" fillId="28" borderId="11" xfId="47" applyFill="1" applyBorder="1" applyAlignment="1">
      <alignment horizontal="center" vertical="top"/>
    </xf>
    <xf numFmtId="0" fontId="2" fillId="28" borderId="30" xfId="47" applyFill="1" applyBorder="1" applyAlignment="1">
      <alignment horizontal="left" vertical="center"/>
    </xf>
    <xf numFmtId="0" fontId="2" fillId="28" borderId="13" xfId="47" applyFill="1" applyBorder="1" applyAlignment="1">
      <alignment horizontal="left" vertical="center"/>
    </xf>
    <xf numFmtId="0" fontId="2" fillId="26" borderId="13" xfId="47" applyFill="1" applyBorder="1" applyAlignment="1">
      <alignment horizontal="left" vertical="center"/>
    </xf>
    <xf numFmtId="0" fontId="2" fillId="26" borderId="0" xfId="47" applyFill="1" applyAlignment="1">
      <alignment horizontal="left" vertical="top"/>
    </xf>
    <xf numFmtId="0" fontId="2" fillId="26" borderId="29" xfId="47" applyFill="1" applyBorder="1" applyAlignment="1">
      <alignment horizontal="left" vertical="top"/>
    </xf>
    <xf numFmtId="0" fontId="2" fillId="26" borderId="31" xfId="47" applyFill="1" applyBorder="1" applyAlignment="1">
      <alignment horizontal="left" vertical="top"/>
    </xf>
    <xf numFmtId="0" fontId="2" fillId="26" borderId="14" xfId="47" applyFill="1" applyBorder="1" applyAlignment="1">
      <alignment horizontal="left" vertical="center"/>
    </xf>
    <xf numFmtId="0" fontId="2" fillId="28" borderId="14" xfId="47" applyFill="1" applyBorder="1" applyAlignment="1">
      <alignment horizontal="left" vertical="center"/>
    </xf>
    <xf numFmtId="0" fontId="2" fillId="31" borderId="14" xfId="0" applyFont="1" applyFill="1" applyBorder="1" applyAlignment="1">
      <alignment vertical="center" wrapText="1"/>
    </xf>
    <xf numFmtId="0" fontId="2" fillId="31" borderId="14" xfId="0" applyFont="1" applyFill="1" applyBorder="1" applyAlignment="1">
      <alignment vertical="center"/>
    </xf>
    <xf numFmtId="0" fontId="2" fillId="26" borderId="27" xfId="47" applyFill="1" applyBorder="1" applyAlignment="1">
      <alignment horizontal="center" vertical="center" wrapText="1"/>
    </xf>
    <xf numFmtId="0" fontId="2" fillId="26" borderId="21" xfId="47" applyFill="1" applyBorder="1" applyAlignment="1">
      <alignment horizontal="left" vertical="center"/>
    </xf>
    <xf numFmtId="0" fontId="2" fillId="26" borderId="14" xfId="47" applyFill="1" applyBorder="1" applyAlignment="1">
      <alignment vertical="center" wrapText="1"/>
    </xf>
    <xf numFmtId="0" fontId="2" fillId="26" borderId="28" xfId="47" applyFill="1" applyBorder="1" applyAlignment="1">
      <alignment horizontal="left" vertical="center"/>
    </xf>
    <xf numFmtId="0" fontId="2" fillId="26" borderId="11" xfId="47" applyFill="1" applyBorder="1" applyAlignment="1">
      <alignment horizontal="left" vertical="center"/>
    </xf>
    <xf numFmtId="0" fontId="2" fillId="26" borderId="13" xfId="47" applyFill="1" applyBorder="1" applyAlignment="1">
      <alignment horizontal="left" vertical="top"/>
    </xf>
    <xf numFmtId="0" fontId="2" fillId="26" borderId="26" xfId="47" applyFill="1" applyBorder="1" applyAlignment="1">
      <alignment horizontal="center" vertical="top"/>
    </xf>
    <xf numFmtId="0" fontId="2" fillId="26" borderId="11" xfId="47" applyFill="1" applyBorder="1" applyAlignment="1">
      <alignment horizontal="center" vertical="center"/>
    </xf>
    <xf numFmtId="0" fontId="2" fillId="26" borderId="10" xfId="47" applyFill="1" applyBorder="1" applyAlignment="1">
      <alignment vertical="center"/>
    </xf>
    <xf numFmtId="0" fontId="23" fillId="26" borderId="21" xfId="47" applyFont="1" applyFill="1" applyBorder="1" applyAlignment="1">
      <alignment horizontal="left" vertical="center" wrapText="1"/>
    </xf>
    <xf numFmtId="0" fontId="2" fillId="26" borderId="14" xfId="47" applyFill="1" applyBorder="1" applyAlignment="1">
      <alignment horizontal="left" vertical="center" wrapText="1" indent="1"/>
    </xf>
    <xf numFmtId="0" fontId="23" fillId="26" borderId="13" xfId="47" applyFont="1" applyFill="1" applyBorder="1" applyAlignment="1">
      <alignment horizontal="left" vertical="center"/>
    </xf>
    <xf numFmtId="0" fontId="2" fillId="26" borderId="28" xfId="47" applyFill="1" applyBorder="1" applyAlignment="1">
      <alignment horizontal="left" vertical="center" indent="1"/>
    </xf>
    <xf numFmtId="0" fontId="2" fillId="26" borderId="14" xfId="47" applyFill="1" applyBorder="1" applyAlignment="1">
      <alignment horizontal="left" vertical="center" indent="1"/>
    </xf>
    <xf numFmtId="0" fontId="2" fillId="26" borderId="14" xfId="47" applyFill="1" applyBorder="1" applyAlignment="1">
      <alignment horizontal="left" vertical="top" indent="3"/>
    </xf>
    <xf numFmtId="0" fontId="23" fillId="26" borderId="13" xfId="47" applyFont="1" applyFill="1" applyBorder="1" applyAlignment="1">
      <alignment vertical="center" wrapText="1"/>
    </xf>
    <xf numFmtId="0" fontId="2" fillId="26" borderId="14" xfId="47" applyFill="1" applyBorder="1" applyAlignment="1">
      <alignment horizontal="left" vertical="center" wrapText="1" indent="3"/>
    </xf>
    <xf numFmtId="0" fontId="23" fillId="26" borderId="14" xfId="47" applyFont="1" applyFill="1" applyBorder="1" applyAlignment="1">
      <alignment vertical="center" wrapText="1"/>
    </xf>
    <xf numFmtId="0" fontId="2" fillId="26" borderId="11" xfId="47" applyFill="1" applyBorder="1" applyAlignment="1">
      <alignment horizontal="center" vertical="center" wrapText="1"/>
    </xf>
    <xf numFmtId="0" fontId="2" fillId="26" borderId="14" xfId="47" applyFill="1" applyBorder="1" applyAlignment="1">
      <alignment horizontal="left" vertical="top"/>
    </xf>
    <xf numFmtId="0" fontId="21" fillId="26" borderId="20" xfId="47" applyFont="1" applyFill="1" applyBorder="1" applyAlignment="1">
      <alignment horizontal="center" vertical="center"/>
    </xf>
    <xf numFmtId="0" fontId="2" fillId="26" borderId="20" xfId="47" applyFill="1" applyBorder="1" applyAlignment="1">
      <alignment horizontal="center" vertical="center"/>
    </xf>
    <xf numFmtId="0" fontId="2" fillId="26" borderId="75" xfId="47" applyFill="1" applyBorder="1" applyAlignment="1">
      <alignment horizontal="center" vertical="center"/>
    </xf>
    <xf numFmtId="0" fontId="2" fillId="26" borderId="10" xfId="47" applyFill="1" applyBorder="1" applyAlignment="1">
      <alignment horizontal="center" vertical="top" wrapText="1"/>
    </xf>
    <xf numFmtId="0" fontId="2" fillId="26" borderId="30" xfId="47" applyFill="1" applyBorder="1" applyAlignment="1">
      <alignment horizontal="left" vertical="center"/>
    </xf>
    <xf numFmtId="0" fontId="21" fillId="26" borderId="29" xfId="47" applyFont="1" applyFill="1" applyBorder="1" applyAlignment="1">
      <alignment vertical="top"/>
    </xf>
    <xf numFmtId="0" fontId="2" fillId="26" borderId="27" xfId="47" applyFill="1" applyBorder="1" applyAlignment="1">
      <alignment horizontal="left" vertical="center"/>
    </xf>
    <xf numFmtId="0" fontId="21" fillId="26" borderId="0" xfId="47" applyFont="1" applyFill="1" applyAlignment="1">
      <alignment vertical="top" wrapText="1"/>
    </xf>
    <xf numFmtId="0" fontId="2" fillId="26" borderId="27" xfId="47" applyFill="1" applyBorder="1" applyAlignment="1">
      <alignment horizontal="left" vertical="top"/>
    </xf>
    <xf numFmtId="0" fontId="2" fillId="26" borderId="27" xfId="47" applyFill="1" applyBorder="1" applyAlignment="1">
      <alignment vertical="center" wrapText="1"/>
    </xf>
    <xf numFmtId="0" fontId="21" fillId="26" borderId="37" xfId="47" applyFont="1" applyFill="1" applyBorder="1" applyAlignment="1">
      <alignment horizontal="center" vertical="center"/>
    </xf>
    <xf numFmtId="0" fontId="2" fillId="0" borderId="53" xfId="40" applyFont="1" applyBorder="1" applyAlignment="1">
      <alignment vertical="center"/>
    </xf>
    <xf numFmtId="0" fontId="30" fillId="26" borderId="21" xfId="47" applyFont="1" applyFill="1" applyBorder="1" applyAlignment="1">
      <alignment vertical="top"/>
    </xf>
    <xf numFmtId="0" fontId="30" fillId="26" borderId="0" xfId="47" applyFont="1" applyFill="1" applyAlignment="1">
      <alignment vertical="top"/>
    </xf>
    <xf numFmtId="0" fontId="30" fillId="26" borderId="10" xfId="47" applyFont="1" applyFill="1" applyBorder="1" applyAlignment="1">
      <alignment vertical="top"/>
    </xf>
    <xf numFmtId="0" fontId="30" fillId="26" borderId="21" xfId="47" applyFont="1" applyFill="1" applyBorder="1" applyAlignment="1">
      <alignment vertical="top" wrapText="1"/>
    </xf>
    <xf numFmtId="0" fontId="21" fillId="0" borderId="23" xfId="47" applyFont="1" applyBorder="1" applyAlignment="1">
      <alignment horizontal="left" vertical="top"/>
    </xf>
    <xf numFmtId="0" fontId="21" fillId="0" borderId="23" xfId="47" applyFont="1" applyBorder="1" applyAlignment="1">
      <alignment vertical="center"/>
    </xf>
    <xf numFmtId="0" fontId="21" fillId="0" borderId="33" xfId="47" applyFont="1" applyBorder="1" applyAlignment="1">
      <alignment vertical="center"/>
    </xf>
    <xf numFmtId="0" fontId="21" fillId="0" borderId="36" xfId="47" applyFont="1" applyBorder="1" applyAlignment="1">
      <alignment vertical="center"/>
    </xf>
    <xf numFmtId="0" fontId="21" fillId="0" borderId="0" xfId="47" applyFont="1" applyAlignment="1">
      <alignment vertical="center"/>
    </xf>
    <xf numFmtId="0" fontId="2" fillId="26" borderId="33" xfId="37" applyFill="1" applyBorder="1" applyAlignment="1">
      <alignment horizontal="center"/>
    </xf>
    <xf numFmtId="0" fontId="2" fillId="26" borderId="34" xfId="37" applyFill="1" applyBorder="1" applyAlignment="1">
      <alignment horizontal="center"/>
    </xf>
    <xf numFmtId="0" fontId="2" fillId="26" borderId="25" xfId="37" applyFill="1" applyBorder="1" applyAlignment="1">
      <alignment horizontal="center"/>
    </xf>
    <xf numFmtId="166" fontId="2" fillId="26" borderId="34" xfId="0" applyNumberFormat="1" applyFont="1" applyFill="1" applyBorder="1" applyAlignment="1">
      <alignment vertical="top" wrapText="1"/>
    </xf>
    <xf numFmtId="166" fontId="2" fillId="26" borderId="25" xfId="0" applyNumberFormat="1" applyFont="1" applyFill="1" applyBorder="1" applyAlignment="1">
      <alignment vertical="top" wrapText="1"/>
    </xf>
    <xf numFmtId="0" fontId="30" fillId="26" borderId="0" xfId="0" applyFont="1" applyFill="1"/>
    <xf numFmtId="0" fontId="2" fillId="26" borderId="14" xfId="0" applyFont="1" applyFill="1" applyBorder="1" applyAlignment="1">
      <alignment vertical="center" wrapText="1"/>
    </xf>
    <xf numFmtId="0" fontId="30" fillId="26" borderId="0" xfId="0" applyFont="1" applyFill="1" applyAlignment="1">
      <alignment horizontal="right"/>
    </xf>
    <xf numFmtId="0" fontId="30" fillId="28" borderId="21" xfId="47" applyFont="1" applyFill="1" applyBorder="1" applyAlignment="1">
      <alignment vertical="top" wrapText="1"/>
    </xf>
    <xf numFmtId="0" fontId="30" fillId="28" borderId="0" xfId="47" applyFont="1" applyFill="1" applyAlignment="1">
      <alignment vertical="top" wrapText="1"/>
    </xf>
    <xf numFmtId="0" fontId="30" fillId="28" borderId="10" xfId="47" applyFont="1" applyFill="1" applyBorder="1" applyAlignment="1">
      <alignment vertical="top" wrapText="1"/>
    </xf>
    <xf numFmtId="0" fontId="30" fillId="28" borderId="12" xfId="47" applyFont="1" applyFill="1" applyBorder="1" applyAlignment="1">
      <alignment vertical="top" wrapText="1"/>
    </xf>
    <xf numFmtId="166" fontId="2" fillId="26" borderId="15" xfId="47" applyNumberFormat="1" applyFill="1" applyBorder="1" applyAlignment="1">
      <alignment horizontal="left" vertical="center"/>
    </xf>
    <xf numFmtId="166" fontId="28" fillId="26" borderId="29" xfId="47" applyNumberFormat="1" applyFont="1" applyFill="1" applyBorder="1" applyAlignment="1">
      <alignment vertical="center"/>
    </xf>
    <xf numFmtId="166" fontId="28" fillId="26" borderId="11" xfId="47" applyNumberFormat="1" applyFont="1" applyFill="1" applyBorder="1" applyAlignment="1">
      <alignment horizontal="center" vertical="center"/>
    </xf>
    <xf numFmtId="166" fontId="21" fillId="26" borderId="11" xfId="47" applyNumberFormat="1" applyFont="1" applyFill="1" applyBorder="1" applyAlignment="1">
      <alignment vertical="top"/>
    </xf>
    <xf numFmtId="166" fontId="21" fillId="26" borderId="26" xfId="47" applyNumberFormat="1" applyFont="1" applyFill="1" applyBorder="1" applyAlignment="1">
      <alignment vertical="top"/>
    </xf>
    <xf numFmtId="166" fontId="28" fillId="26" borderId="29" xfId="47" applyNumberFormat="1" applyFont="1" applyFill="1" applyBorder="1" applyAlignment="1">
      <alignment horizontal="center" vertical="center"/>
    </xf>
    <xf numFmtId="166" fontId="28" fillId="26" borderId="11" xfId="47" applyNumberFormat="1" applyFont="1" applyFill="1" applyBorder="1" applyAlignment="1">
      <alignment horizontal="left" vertical="center" wrapText="1"/>
    </xf>
    <xf numFmtId="166" fontId="2" fillId="0" borderId="0" xfId="37" applyNumberFormat="1" applyAlignment="1">
      <alignment horizontal="center" vertical="center"/>
    </xf>
    <xf numFmtId="0" fontId="2" fillId="0" borderId="0" xfId="37" applyAlignment="1">
      <alignment horizontal="right"/>
    </xf>
    <xf numFmtId="0" fontId="2" fillId="26" borderId="21" xfId="37" applyFill="1" applyBorder="1" applyAlignment="1">
      <alignment vertical="top" wrapText="1"/>
    </xf>
    <xf numFmtId="0" fontId="2" fillId="26" borderId="10" xfId="37" applyFill="1" applyBorder="1" applyAlignment="1">
      <alignment vertical="top" wrapText="1"/>
    </xf>
    <xf numFmtId="0" fontId="2" fillId="26" borderId="11" xfId="0" applyFont="1" applyFill="1" applyBorder="1" applyAlignment="1">
      <alignment horizontal="center" vertical="center"/>
    </xf>
    <xf numFmtId="166" fontId="62" fillId="26" borderId="34" xfId="0" applyNumberFormat="1" applyFont="1" applyFill="1" applyBorder="1" applyAlignment="1">
      <alignment horizontal="left" vertical="center"/>
    </xf>
    <xf numFmtId="166" fontId="62" fillId="26" borderId="34" xfId="0" applyNumberFormat="1" applyFont="1" applyFill="1" applyBorder="1" applyAlignment="1">
      <alignment vertical="center"/>
    </xf>
    <xf numFmtId="0" fontId="30" fillId="26" borderId="21" xfId="47" applyFont="1" applyFill="1" applyBorder="1" applyAlignment="1">
      <alignment horizontal="center" vertical="top" wrapText="1"/>
    </xf>
    <xf numFmtId="0" fontId="30" fillId="26" borderId="0" xfId="47" applyFont="1" applyFill="1" applyAlignment="1">
      <alignment horizontal="center" vertical="top" wrapText="1"/>
    </xf>
    <xf numFmtId="0" fontId="30" fillId="26" borderId="10" xfId="47" applyFont="1" applyFill="1" applyBorder="1" applyAlignment="1">
      <alignment horizontal="center" vertical="top" wrapText="1"/>
    </xf>
    <xf numFmtId="0" fontId="2" fillId="26" borderId="26" xfId="47" applyFill="1" applyBorder="1" applyAlignment="1">
      <alignment horizontal="center" vertical="center"/>
    </xf>
    <xf numFmtId="0" fontId="2" fillId="26" borderId="29" xfId="47" applyFill="1" applyBorder="1" applyAlignment="1">
      <alignment horizontal="center" vertical="center"/>
    </xf>
    <xf numFmtId="0" fontId="2" fillId="26" borderId="26" xfId="47" applyFill="1" applyBorder="1" applyAlignment="1">
      <alignment horizontal="left" vertical="center"/>
    </xf>
    <xf numFmtId="0" fontId="2" fillId="26" borderId="29" xfId="47" applyFill="1" applyBorder="1" applyAlignment="1">
      <alignment horizontal="left" vertical="center"/>
    </xf>
    <xf numFmtId="0" fontId="2" fillId="26" borderId="10" xfId="47" applyFill="1" applyBorder="1" applyAlignment="1">
      <alignment horizontal="center" vertical="center"/>
    </xf>
    <xf numFmtId="166" fontId="28" fillId="26" borderId="29" xfId="47" applyNumberFormat="1" applyFont="1" applyFill="1" applyBorder="1" applyAlignment="1">
      <alignment horizontal="right" vertical="center"/>
    </xf>
    <xf numFmtId="166" fontId="21" fillId="26" borderId="21" xfId="47" applyNumberFormat="1" applyFont="1" applyFill="1" applyBorder="1" applyAlignment="1">
      <alignment horizontal="center" vertical="top"/>
    </xf>
    <xf numFmtId="166" fontId="21" fillId="26" borderId="10" xfId="47" applyNumberFormat="1" applyFont="1" applyFill="1" applyBorder="1" applyAlignment="1">
      <alignment horizontal="center" vertical="top"/>
    </xf>
    <xf numFmtId="0" fontId="2" fillId="26" borderId="14" xfId="47" applyFill="1" applyBorder="1" applyAlignment="1">
      <alignment horizontal="left" vertical="center" wrapText="1"/>
    </xf>
    <xf numFmtId="0" fontId="2" fillId="26" borderId="27" xfId="47" applyFill="1" applyBorder="1" applyAlignment="1">
      <alignment horizontal="left" vertical="center" wrapText="1"/>
    </xf>
    <xf numFmtId="0" fontId="21" fillId="0" borderId="0" xfId="0" applyFont="1" applyAlignment="1">
      <alignment horizontal="left"/>
    </xf>
    <xf numFmtId="166" fontId="27" fillId="0" borderId="20" xfId="0" applyNumberFormat="1" applyFont="1" applyBorder="1" applyAlignment="1">
      <alignment horizontal="right" wrapText="1"/>
    </xf>
    <xf numFmtId="166" fontId="27" fillId="0" borderId="22" xfId="0" applyNumberFormat="1" applyFont="1" applyBorder="1" applyAlignment="1">
      <alignment horizontal="right" wrapText="1"/>
    </xf>
    <xf numFmtId="0" fontId="21" fillId="0" borderId="10" xfId="0" applyFont="1" applyBorder="1" applyAlignment="1">
      <alignment horizontal="left"/>
    </xf>
    <xf numFmtId="0" fontId="2" fillId="28" borderId="30" xfId="0" applyFont="1" applyFill="1" applyBorder="1" applyAlignment="1">
      <alignment horizontal="left" vertical="center"/>
    </xf>
    <xf numFmtId="166" fontId="28" fillId="28" borderId="31" xfId="0" applyNumberFormat="1" applyFont="1" applyFill="1" applyBorder="1" applyAlignment="1">
      <alignment vertical="center"/>
    </xf>
    <xf numFmtId="0" fontId="2" fillId="28" borderId="11" xfId="0" applyFont="1" applyFill="1" applyBorder="1" applyAlignment="1">
      <alignment horizontal="left" vertical="center"/>
    </xf>
    <xf numFmtId="166" fontId="28" fillId="0" borderId="21" xfId="0" applyNumberFormat="1" applyFont="1" applyBorder="1" applyAlignment="1">
      <alignment horizontal="left"/>
    </xf>
    <xf numFmtId="166" fontId="28" fillId="0" borderId="10" xfId="0" applyNumberFormat="1" applyFont="1" applyBorder="1" applyAlignment="1">
      <alignment horizontal="left"/>
    </xf>
    <xf numFmtId="166" fontId="28" fillId="0" borderId="28" xfId="0" applyNumberFormat="1" applyFont="1" applyBorder="1" applyAlignment="1">
      <alignment horizontal="left" wrapText="1"/>
    </xf>
    <xf numFmtId="166" fontId="28" fillId="0" borderId="31" xfId="0" applyNumberFormat="1" applyFont="1" applyBorder="1" applyAlignment="1">
      <alignment vertical="center"/>
    </xf>
    <xf numFmtId="0" fontId="30" fillId="26" borderId="21" xfId="47" applyFont="1" applyFill="1" applyBorder="1" applyAlignment="1">
      <alignment vertical="center" wrapText="1"/>
    </xf>
    <xf numFmtId="0" fontId="30" fillId="26" borderId="10" xfId="47" applyFont="1" applyFill="1" applyBorder="1" applyAlignment="1">
      <alignment vertical="center" wrapText="1"/>
    </xf>
    <xf numFmtId="0" fontId="2" fillId="26" borderId="28" xfId="47" applyFill="1" applyBorder="1" applyAlignment="1">
      <alignment horizontal="left" vertical="center" wrapText="1" indent="1"/>
    </xf>
    <xf numFmtId="0" fontId="2" fillId="26" borderId="34" xfId="47" applyFill="1" applyBorder="1"/>
    <xf numFmtId="0" fontId="2" fillId="26" borderId="25" xfId="47" applyFill="1" applyBorder="1" applyAlignment="1">
      <alignment horizontal="center"/>
    </xf>
    <xf numFmtId="0" fontId="2" fillId="26" borderId="31" xfId="47" applyFill="1" applyBorder="1" applyAlignment="1">
      <alignment horizontal="left" vertical="center"/>
    </xf>
    <xf numFmtId="166" fontId="28" fillId="26" borderId="29" xfId="47" applyNumberFormat="1" applyFont="1" applyFill="1" applyBorder="1" applyAlignment="1">
      <alignment horizontal="right" vertical="center" wrapText="1"/>
    </xf>
    <xf numFmtId="0" fontId="21" fillId="26" borderId="62" xfId="47" applyFont="1" applyFill="1" applyBorder="1" applyAlignment="1">
      <alignment vertical="center"/>
    </xf>
    <xf numFmtId="0" fontId="21" fillId="26" borderId="71" xfId="47" applyFont="1" applyFill="1" applyBorder="1" applyAlignment="1">
      <alignment vertical="center"/>
    </xf>
    <xf numFmtId="0" fontId="21" fillId="26" borderId="73" xfId="47" applyFont="1" applyFill="1" applyBorder="1" applyAlignment="1">
      <alignment vertical="center"/>
    </xf>
    <xf numFmtId="0" fontId="21" fillId="26" borderId="72" xfId="47" applyFont="1" applyFill="1" applyBorder="1" applyAlignment="1">
      <alignment vertical="center"/>
    </xf>
    <xf numFmtId="0" fontId="21" fillId="26" borderId="74" xfId="47" applyFont="1" applyFill="1" applyBorder="1" applyAlignment="1">
      <alignment vertical="center"/>
    </xf>
    <xf numFmtId="0" fontId="21" fillId="26" borderId="65" xfId="47" applyFont="1" applyFill="1" applyBorder="1" applyAlignment="1">
      <alignment vertical="center"/>
    </xf>
    <xf numFmtId="0" fontId="21" fillId="26" borderId="68" xfId="47" applyFont="1" applyFill="1" applyBorder="1" applyAlignment="1">
      <alignment vertical="center"/>
    </xf>
    <xf numFmtId="0" fontId="21" fillId="26" borderId="69" xfId="47" applyFont="1" applyFill="1" applyBorder="1" applyAlignment="1">
      <alignment vertical="center"/>
    </xf>
    <xf numFmtId="0" fontId="21" fillId="26" borderId="70" xfId="47" applyFont="1" applyFill="1" applyBorder="1" applyAlignment="1">
      <alignment vertical="center"/>
    </xf>
    <xf numFmtId="0" fontId="23" fillId="26" borderId="0" xfId="47" applyFont="1" applyFill="1" applyAlignment="1">
      <alignment horizontal="left" vertical="center" wrapText="1"/>
    </xf>
    <xf numFmtId="0" fontId="2" fillId="27" borderId="0" xfId="47" applyFill="1" applyAlignment="1">
      <alignment vertical="center"/>
    </xf>
    <xf numFmtId="0" fontId="25" fillId="26" borderId="0" xfId="47" applyFont="1" applyFill="1" applyAlignment="1">
      <alignment horizontal="right" vertical="center"/>
    </xf>
    <xf numFmtId="0" fontId="2" fillId="26" borderId="61" xfId="37" applyFill="1" applyBorder="1" applyAlignment="1">
      <alignment horizontal="left" vertical="center"/>
    </xf>
    <xf numFmtId="0" fontId="2" fillId="26" borderId="39" xfId="37" applyFill="1" applyBorder="1" applyAlignment="1">
      <alignment horizontal="left" vertical="center"/>
    </xf>
    <xf numFmtId="166" fontId="28" fillId="0" borderId="0" xfId="0" applyNumberFormat="1" applyFont="1" applyAlignment="1">
      <alignment horizontal="center" vertical="center"/>
    </xf>
    <xf numFmtId="167" fontId="23" fillId="0" borderId="24" xfId="47" applyNumberFormat="1" applyFont="1" applyBorder="1" applyAlignment="1">
      <alignment horizontal="center" vertical="center"/>
    </xf>
    <xf numFmtId="0" fontId="2" fillId="0" borderId="0" xfId="47" applyAlignment="1">
      <alignment vertical="center"/>
    </xf>
    <xf numFmtId="167" fontId="2" fillId="0" borderId="24" xfId="47" applyNumberFormat="1" applyBorder="1" applyAlignment="1">
      <alignment horizontal="center" vertical="center"/>
    </xf>
    <xf numFmtId="2" fontId="2" fillId="0" borderId="33" xfId="47" applyNumberFormat="1" applyBorder="1" applyAlignment="1">
      <alignment horizontal="left" vertical="center"/>
    </xf>
    <xf numFmtId="0" fontId="2" fillId="0" borderId="24" xfId="47" applyBorder="1" applyAlignment="1">
      <alignment vertical="center"/>
    </xf>
    <xf numFmtId="0" fontId="2" fillId="0" borderId="25" xfId="47" applyBorder="1" applyAlignment="1">
      <alignment vertical="center"/>
    </xf>
    <xf numFmtId="0" fontId="2" fillId="0" borderId="25" xfId="47" applyBorder="1" applyAlignment="1">
      <alignment horizontal="left" vertical="center"/>
    </xf>
    <xf numFmtId="0" fontId="2" fillId="26" borderId="26" xfId="47" applyFill="1" applyBorder="1" applyAlignment="1">
      <alignment vertical="center" wrapText="1"/>
    </xf>
    <xf numFmtId="0" fontId="2" fillId="26" borderId="10" xfId="47" applyFill="1" applyBorder="1" applyAlignment="1">
      <alignment vertical="center" wrapText="1"/>
    </xf>
    <xf numFmtId="0" fontId="2" fillId="0" borderId="11" xfId="0" applyFont="1" applyBorder="1" applyAlignment="1">
      <alignment vertical="top" wrapText="1"/>
    </xf>
    <xf numFmtId="0" fontId="23" fillId="0" borderId="0" xfId="37" applyFont="1" applyAlignment="1">
      <alignment horizontal="right" vertical="center" indent="1"/>
    </xf>
    <xf numFmtId="2" fontId="2" fillId="0" borderId="24" xfId="0" applyNumberFormat="1" applyFont="1" applyBorder="1" applyAlignment="1">
      <alignment horizontal="left" vertical="center" wrapText="1"/>
    </xf>
    <xf numFmtId="0" fontId="23" fillId="26" borderId="24" xfId="47" applyFont="1" applyFill="1" applyBorder="1" applyAlignment="1">
      <alignment horizontal="center" vertical="center"/>
    </xf>
    <xf numFmtId="0" fontId="23" fillId="26" borderId="0" xfId="47" applyFont="1" applyFill="1" applyAlignment="1">
      <alignment vertical="center"/>
    </xf>
    <xf numFmtId="0" fontId="2" fillId="0" borderId="27" xfId="0" applyFont="1" applyBorder="1" applyAlignment="1">
      <alignment horizontal="left" vertical="center" wrapText="1" indent="10"/>
    </xf>
    <xf numFmtId="0" fontId="42" fillId="0" borderId="27" xfId="0" applyFont="1" applyBorder="1" applyAlignment="1">
      <alignment horizontal="right" vertical="center"/>
    </xf>
    <xf numFmtId="166" fontId="28" fillId="0" borderId="29" xfId="0" applyNumberFormat="1" applyFont="1" applyBorder="1" applyAlignment="1">
      <alignment horizontal="left" vertical="center"/>
    </xf>
    <xf numFmtId="0" fontId="2" fillId="31" borderId="28" xfId="0" applyFont="1" applyFill="1" applyBorder="1" applyAlignment="1">
      <alignment vertical="center" wrapText="1"/>
    </xf>
    <xf numFmtId="0" fontId="2" fillId="26" borderId="31" xfId="47" applyFill="1" applyBorder="1" applyAlignment="1">
      <alignment horizontal="center" vertical="center" wrapText="1"/>
    </xf>
    <xf numFmtId="166" fontId="28" fillId="0" borderId="29" xfId="0" applyNumberFormat="1" applyFont="1" applyBorder="1" applyAlignment="1">
      <alignment horizontal="left" vertical="center" wrapText="1"/>
    </xf>
    <xf numFmtId="0" fontId="23" fillId="0" borderId="26" xfId="0" applyFont="1" applyBorder="1" applyAlignment="1">
      <alignment horizontal="left" vertical="center"/>
    </xf>
    <xf numFmtId="166" fontId="28" fillId="28" borderId="29" xfId="37" applyNumberFormat="1" applyFont="1" applyFill="1" applyBorder="1" applyAlignment="1">
      <alignment horizontal="right" vertical="center"/>
    </xf>
    <xf numFmtId="166" fontId="28" fillId="0" borderId="29" xfId="37" applyNumberFormat="1" applyFont="1" applyBorder="1" applyAlignment="1">
      <alignment horizontal="right" vertical="center"/>
    </xf>
    <xf numFmtId="0" fontId="2" fillId="0" borderId="30" xfId="37" applyBorder="1" applyAlignment="1">
      <alignment horizontal="left" vertical="center"/>
    </xf>
    <xf numFmtId="0" fontId="2" fillId="0" borderId="31" xfId="37" applyBorder="1" applyAlignment="1">
      <alignment horizontal="left" vertical="center"/>
    </xf>
    <xf numFmtId="0" fontId="21" fillId="0" borderId="26" xfId="37" applyFont="1" applyBorder="1" applyAlignment="1">
      <alignment vertical="center"/>
    </xf>
    <xf numFmtId="166" fontId="28" fillId="0" borderId="10" xfId="37" applyNumberFormat="1" applyFont="1" applyBorder="1" applyAlignment="1">
      <alignment horizontal="center" vertical="center"/>
    </xf>
    <xf numFmtId="166" fontId="58" fillId="28" borderId="29" xfId="0" applyNumberFormat="1" applyFont="1" applyFill="1" applyBorder="1" applyAlignment="1">
      <alignment horizontal="right" vertical="center"/>
    </xf>
    <xf numFmtId="0" fontId="59" fillId="28" borderId="0" xfId="0" applyFont="1" applyFill="1" applyAlignment="1">
      <alignment vertical="top" wrapText="1"/>
    </xf>
    <xf numFmtId="0" fontId="59" fillId="28" borderId="10" xfId="0" applyFont="1" applyFill="1" applyBorder="1" applyAlignment="1">
      <alignment vertical="top" wrapText="1"/>
    </xf>
    <xf numFmtId="0" fontId="2" fillId="0" borderId="45" xfId="37" applyBorder="1" applyAlignment="1">
      <alignment horizontal="center" vertical="center"/>
    </xf>
    <xf numFmtId="0" fontId="2" fillId="0" borderId="45" xfId="37" applyBorder="1" applyAlignment="1">
      <alignment horizontal="center" vertical="center" wrapText="1"/>
    </xf>
    <xf numFmtId="0" fontId="23" fillId="28" borderId="26" xfId="0" applyFont="1" applyFill="1" applyBorder="1" applyAlignment="1">
      <alignment horizontal="left" vertical="center"/>
    </xf>
    <xf numFmtId="166" fontId="28" fillId="28" borderId="29" xfId="47" applyNumberFormat="1" applyFont="1" applyFill="1" applyBorder="1" applyAlignment="1">
      <alignment horizontal="right" vertical="center"/>
    </xf>
    <xf numFmtId="0" fontId="2" fillId="28" borderId="11" xfId="47" applyFill="1" applyBorder="1" applyAlignment="1">
      <alignment horizontal="left" vertical="center"/>
    </xf>
    <xf numFmtId="166" fontId="28" fillId="26" borderId="31" xfId="47" applyNumberFormat="1" applyFont="1" applyFill="1" applyBorder="1" applyAlignment="1">
      <alignment horizontal="right" vertical="center"/>
    </xf>
    <xf numFmtId="166" fontId="28" fillId="26" borderId="10" xfId="47" applyNumberFormat="1" applyFont="1" applyFill="1" applyBorder="1" applyAlignment="1">
      <alignment horizontal="right" vertical="center"/>
    </xf>
    <xf numFmtId="166" fontId="28" fillId="26" borderId="0" xfId="47" applyNumberFormat="1" applyFont="1" applyFill="1" applyAlignment="1">
      <alignment horizontal="right" wrapText="1"/>
    </xf>
    <xf numFmtId="0" fontId="2" fillId="26" borderId="27" xfId="0" applyFont="1" applyFill="1" applyBorder="1" applyAlignment="1">
      <alignment horizontal="left" vertical="center" wrapText="1"/>
    </xf>
    <xf numFmtId="0" fontId="21" fillId="26" borderId="26" xfId="47" applyFont="1" applyFill="1" applyBorder="1" applyAlignment="1">
      <alignment horizontal="left" vertical="top"/>
    </xf>
    <xf numFmtId="0" fontId="21" fillId="26" borderId="11" xfId="47" applyFont="1" applyFill="1" applyBorder="1" applyAlignment="1">
      <alignment horizontal="left" vertical="top"/>
    </xf>
    <xf numFmtId="166" fontId="28" fillId="26" borderId="0" xfId="47" applyNumberFormat="1" applyFont="1" applyFill="1" applyAlignment="1">
      <alignment horizontal="right" vertical="center"/>
    </xf>
    <xf numFmtId="0" fontId="21" fillId="26" borderId="13" xfId="47" applyFont="1" applyFill="1" applyBorder="1" applyAlignment="1">
      <alignment horizontal="left" vertical="top"/>
    </xf>
    <xf numFmtId="0" fontId="25" fillId="26" borderId="0" xfId="47" applyFont="1" applyFill="1" applyAlignment="1">
      <alignment horizontal="right" vertical="center" indent="1"/>
    </xf>
    <xf numFmtId="0" fontId="21" fillId="26" borderId="10" xfId="47" applyFont="1" applyFill="1" applyBorder="1" applyAlignment="1">
      <alignment horizontal="center" vertical="center"/>
    </xf>
    <xf numFmtId="0" fontId="2" fillId="26" borderId="63" xfId="47" applyFill="1" applyBorder="1" applyAlignment="1">
      <alignment horizontal="center" vertical="center" wrapText="1"/>
    </xf>
    <xf numFmtId="0" fontId="2" fillId="26" borderId="44" xfId="47" applyFill="1" applyBorder="1" applyAlignment="1">
      <alignment horizontal="center" vertical="center"/>
    </xf>
    <xf numFmtId="0" fontId="2" fillId="26" borderId="42" xfId="47" applyFill="1" applyBorder="1" applyAlignment="1">
      <alignment horizontal="left" vertical="center" indent="1"/>
    </xf>
    <xf numFmtId="0" fontId="2" fillId="26" borderId="42" xfId="47" applyFill="1" applyBorder="1" applyAlignment="1">
      <alignment horizontal="center" vertical="center"/>
    </xf>
    <xf numFmtId="0" fontId="2" fillId="26" borderId="42" xfId="47" applyFill="1" applyBorder="1" applyAlignment="1">
      <alignment horizontal="center" vertical="center" wrapText="1"/>
    </xf>
    <xf numFmtId="0" fontId="2" fillId="26" borderId="44" xfId="47" applyFill="1" applyBorder="1" applyAlignment="1">
      <alignment horizontal="center" vertical="center" wrapText="1"/>
    </xf>
    <xf numFmtId="0" fontId="21" fillId="26" borderId="66" xfId="47" applyFont="1" applyFill="1" applyBorder="1" applyAlignment="1">
      <alignment horizontal="center" vertical="center" wrapText="1"/>
    </xf>
    <xf numFmtId="0" fontId="23" fillId="26" borderId="21" xfId="47" applyFont="1" applyFill="1" applyBorder="1" applyAlignment="1">
      <alignment horizontal="left" vertical="center"/>
    </xf>
    <xf numFmtId="0" fontId="2" fillId="26" borderId="105" xfId="47" applyFill="1" applyBorder="1" applyAlignment="1">
      <alignment horizontal="center" vertical="center" wrapText="1"/>
    </xf>
    <xf numFmtId="0" fontId="21" fillId="26" borderId="11" xfId="47" applyFont="1" applyFill="1" applyBorder="1" applyAlignment="1">
      <alignment horizontal="center" vertical="center" wrapText="1"/>
    </xf>
    <xf numFmtId="0" fontId="2" fillId="26" borderId="44" xfId="47" applyFill="1" applyBorder="1" applyAlignment="1">
      <alignment vertical="center" wrapText="1"/>
    </xf>
    <xf numFmtId="0" fontId="21" fillId="26" borderId="29" xfId="47" applyFont="1" applyFill="1" applyBorder="1" applyAlignment="1">
      <alignment horizontal="center" vertical="center" wrapText="1"/>
    </xf>
    <xf numFmtId="0" fontId="21" fillId="26" borderId="11" xfId="47" applyFont="1" applyFill="1" applyBorder="1" applyAlignment="1">
      <alignment horizontal="center" vertical="top"/>
    </xf>
    <xf numFmtId="166" fontId="2" fillId="26" borderId="13" xfId="47" applyNumberFormat="1" applyFill="1" applyBorder="1" applyAlignment="1">
      <alignment vertical="top" wrapText="1"/>
    </xf>
    <xf numFmtId="166" fontId="2" fillId="26" borderId="28" xfId="47" applyNumberFormat="1" applyFill="1" applyBorder="1" applyAlignment="1">
      <alignment vertical="top" wrapText="1"/>
    </xf>
    <xf numFmtId="0" fontId="2" fillId="0" borderId="14" xfId="47" applyBorder="1" applyAlignment="1">
      <alignment vertical="center" wrapText="1"/>
    </xf>
    <xf numFmtId="0" fontId="2" fillId="26" borderId="26" xfId="0" applyFont="1" applyFill="1" applyBorder="1" applyAlignment="1">
      <alignment vertical="center"/>
    </xf>
    <xf numFmtId="166" fontId="28" fillId="26" borderId="10" xfId="0" applyNumberFormat="1" applyFont="1" applyFill="1" applyBorder="1" applyAlignment="1">
      <alignment horizontal="right" vertical="center"/>
    </xf>
    <xf numFmtId="0" fontId="21" fillId="26" borderId="41" xfId="47" applyFont="1" applyFill="1" applyBorder="1" applyAlignment="1">
      <alignment horizontal="center" vertical="center" wrapText="1"/>
    </xf>
    <xf numFmtId="0" fontId="21" fillId="26" borderId="106" xfId="47" applyFont="1" applyFill="1" applyBorder="1" applyAlignment="1">
      <alignment horizontal="center" vertical="top"/>
    </xf>
    <xf numFmtId="0" fontId="21" fillId="26" borderId="106" xfId="47" applyFont="1" applyFill="1" applyBorder="1" applyAlignment="1">
      <alignment horizontal="center" vertical="center" wrapText="1"/>
    </xf>
    <xf numFmtId="0" fontId="21" fillId="26" borderId="106" xfId="47" applyFont="1" applyFill="1" applyBorder="1" applyAlignment="1">
      <alignment horizontal="center" vertical="center"/>
    </xf>
    <xf numFmtId="0" fontId="30" fillId="26" borderId="0" xfId="47" applyFont="1" applyFill="1" applyAlignment="1">
      <alignment horizontal="right" indent="1"/>
    </xf>
    <xf numFmtId="0" fontId="2" fillId="26" borderId="21" xfId="47" applyFill="1" applyBorder="1" applyAlignment="1">
      <alignment horizontal="left" vertical="center" wrapText="1" indent="1"/>
    </xf>
    <xf numFmtId="0" fontId="2" fillId="26" borderId="0" xfId="47" applyFill="1" applyAlignment="1">
      <alignment horizontal="center" vertical="center" wrapText="1"/>
    </xf>
    <xf numFmtId="0" fontId="30" fillId="26" borderId="0" xfId="47" applyFont="1" applyFill="1" applyAlignment="1">
      <alignment vertical="center" wrapText="1"/>
    </xf>
    <xf numFmtId="166" fontId="28" fillId="0" borderId="29" xfId="37" applyNumberFormat="1" applyFont="1" applyBorder="1" applyAlignment="1">
      <alignment horizontal="right" vertical="center" wrapText="1"/>
    </xf>
    <xf numFmtId="0" fontId="21" fillId="26" borderId="52" xfId="47" applyFont="1" applyFill="1" applyBorder="1" applyAlignment="1">
      <alignment vertical="center"/>
    </xf>
    <xf numFmtId="0" fontId="21" fillId="26" borderId="39" xfId="47" applyFont="1" applyFill="1" applyBorder="1" applyAlignment="1">
      <alignment vertical="center"/>
    </xf>
    <xf numFmtId="0" fontId="21" fillId="26" borderId="39" xfId="37" applyFont="1" applyFill="1" applyBorder="1" applyAlignment="1">
      <alignment vertical="center"/>
    </xf>
    <xf numFmtId="0" fontId="21" fillId="26" borderId="32" xfId="47" applyFont="1" applyFill="1" applyBorder="1" applyAlignment="1">
      <alignment vertical="center"/>
    </xf>
    <xf numFmtId="0" fontId="21" fillId="26" borderId="52" xfId="37" applyFont="1" applyFill="1" applyBorder="1" applyAlignment="1">
      <alignment vertical="center"/>
    </xf>
    <xf numFmtId="0" fontId="21" fillId="26" borderId="32" xfId="37" applyFont="1" applyFill="1" applyBorder="1" applyAlignment="1">
      <alignment vertical="center"/>
    </xf>
    <xf numFmtId="166" fontId="28" fillId="0" borderId="29" xfId="0" applyNumberFormat="1" applyFont="1" applyBorder="1" applyAlignment="1">
      <alignment horizontal="right" vertical="center" wrapText="1"/>
    </xf>
    <xf numFmtId="169" fontId="28" fillId="0" borderId="29" xfId="0" quotePrefix="1" applyNumberFormat="1" applyFont="1" applyBorder="1" applyAlignment="1">
      <alignment horizontal="right" vertical="center" wrapText="1"/>
    </xf>
    <xf numFmtId="0" fontId="65" fillId="26" borderId="0" xfId="47" applyFont="1" applyFill="1" applyAlignment="1">
      <alignment vertical="center"/>
    </xf>
    <xf numFmtId="0" fontId="30" fillId="0" borderId="22" xfId="0" applyFont="1" applyBorder="1" applyAlignment="1">
      <alignment horizontal="left" vertical="center" wrapText="1"/>
    </xf>
    <xf numFmtId="0" fontId="2" fillId="0" borderId="27" xfId="0" applyFont="1" applyBorder="1" applyAlignment="1">
      <alignment horizontal="left" vertical="center" wrapText="1"/>
    </xf>
    <xf numFmtId="0" fontId="2" fillId="0" borderId="12" xfId="0" applyFont="1" applyBorder="1"/>
    <xf numFmtId="166" fontId="2" fillId="28" borderId="17" xfId="37" applyNumberFormat="1" applyFill="1" applyBorder="1" applyAlignment="1">
      <alignment horizontal="left" vertical="center"/>
    </xf>
    <xf numFmtId="166" fontId="2" fillId="0" borderId="17" xfId="37" quotePrefix="1" applyNumberFormat="1" applyBorder="1" applyAlignment="1">
      <alignment horizontal="left" vertical="center" wrapText="1"/>
    </xf>
    <xf numFmtId="0" fontId="21" fillId="0" borderId="10" xfId="37" applyFont="1" applyBorder="1" applyAlignment="1">
      <alignment horizontal="center" vertical="center"/>
    </xf>
    <xf numFmtId="0" fontId="2" fillId="0" borderId="26" xfId="37" applyBorder="1" applyAlignment="1">
      <alignment horizontal="center" vertical="center" wrapText="1"/>
    </xf>
    <xf numFmtId="0" fontId="2" fillId="0" borderId="10" xfId="37" applyBorder="1" applyAlignment="1">
      <alignment vertical="top" wrapText="1"/>
    </xf>
    <xf numFmtId="0" fontId="2" fillId="0" borderId="21" xfId="37" applyBorder="1" applyAlignment="1">
      <alignment horizontal="left" vertical="top" wrapText="1"/>
    </xf>
    <xf numFmtId="0" fontId="2" fillId="0" borderId="0" xfId="37" applyAlignment="1">
      <alignment horizontal="left" vertical="top" wrapText="1"/>
    </xf>
    <xf numFmtId="0" fontId="2" fillId="0" borderId="10" xfId="37" applyBorder="1" applyAlignment="1">
      <alignment horizontal="left" vertical="top" wrapText="1"/>
    </xf>
    <xf numFmtId="0" fontId="30" fillId="0" borderId="21" xfId="37" applyFont="1" applyBorder="1" applyAlignment="1">
      <alignment horizontal="center" vertical="top" wrapText="1"/>
    </xf>
    <xf numFmtId="0" fontId="30" fillId="0" borderId="0" xfId="37" applyFont="1" applyAlignment="1">
      <alignment horizontal="center" vertical="top" wrapText="1"/>
    </xf>
    <xf numFmtId="0" fontId="2" fillId="0" borderId="11" xfId="37" applyBorder="1" applyAlignment="1">
      <alignment horizontal="center" vertical="center" wrapText="1"/>
    </xf>
    <xf numFmtId="0" fontId="2" fillId="0" borderId="30" xfId="37" applyBorder="1" applyAlignment="1">
      <alignment horizontal="center" vertical="center"/>
    </xf>
    <xf numFmtId="0" fontId="30" fillId="0" borderId="12" xfId="37" applyFont="1" applyBorder="1" applyAlignment="1">
      <alignment horizontal="center" vertical="top" wrapText="1"/>
    </xf>
    <xf numFmtId="0" fontId="30" fillId="0" borderId="10" xfId="37" applyFont="1" applyBorder="1" applyAlignment="1">
      <alignment horizontal="center" vertical="center" wrapText="1"/>
    </xf>
    <xf numFmtId="0" fontId="2" fillId="0" borderId="10" xfId="37" applyBorder="1" applyAlignment="1">
      <alignment horizontal="left" vertical="center"/>
    </xf>
    <xf numFmtId="0" fontId="2" fillId="0" borderId="19" xfId="0" applyFont="1" applyBorder="1" applyAlignment="1">
      <alignment horizontal="left" vertical="top" wrapText="1"/>
    </xf>
    <xf numFmtId="0" fontId="2" fillId="0" borderId="23" xfId="37" applyBorder="1" applyAlignment="1">
      <alignment horizontal="center" vertical="center"/>
    </xf>
    <xf numFmtId="0" fontId="2" fillId="0" borderId="18" xfId="37" applyBorder="1"/>
    <xf numFmtId="0" fontId="2" fillId="0" borderId="22" xfId="37" applyBorder="1"/>
    <xf numFmtId="0" fontId="2" fillId="0" borderId="34" xfId="37" applyBorder="1"/>
    <xf numFmtId="0" fontId="2" fillId="0" borderId="34" xfId="0" applyFont="1" applyBorder="1" applyAlignment="1">
      <alignment horizontal="center" vertical="center"/>
    </xf>
    <xf numFmtId="0" fontId="2" fillId="0" borderId="25" xfId="0" applyFont="1" applyBorder="1" applyAlignment="1">
      <alignment horizontal="center" vertical="center"/>
    </xf>
    <xf numFmtId="166" fontId="2" fillId="0" borderId="0" xfId="40" applyNumberFormat="1" applyFont="1" applyAlignment="1">
      <alignment horizontal="left" vertical="center"/>
    </xf>
    <xf numFmtId="0" fontId="2" fillId="0" borderId="34" xfId="40" applyFont="1" applyBorder="1" applyAlignment="1">
      <alignment horizontal="center" vertical="center"/>
    </xf>
    <xf numFmtId="0" fontId="21" fillId="0" borderId="33" xfId="40" applyFont="1" applyBorder="1" applyAlignment="1">
      <alignment horizontal="center" vertical="center"/>
    </xf>
    <xf numFmtId="0" fontId="21" fillId="0" borderId="25" xfId="40" applyFont="1" applyBorder="1" applyAlignment="1">
      <alignment horizontal="center" vertical="center"/>
    </xf>
    <xf numFmtId="0" fontId="2" fillId="26" borderId="34" xfId="37" applyFill="1" applyBorder="1" applyAlignment="1">
      <alignment horizontal="center" vertical="center"/>
    </xf>
    <xf numFmtId="166" fontId="2" fillId="26" borderId="18" xfId="0" applyNumberFormat="1" applyFont="1" applyFill="1" applyBorder="1" applyAlignment="1">
      <alignment horizontal="center"/>
    </xf>
    <xf numFmtId="166" fontId="2" fillId="26" borderId="16" xfId="0" applyNumberFormat="1" applyFont="1" applyFill="1" applyBorder="1" applyAlignment="1">
      <alignment horizontal="center"/>
    </xf>
    <xf numFmtId="166" fontId="2" fillId="26" borderId="10" xfId="0" applyNumberFormat="1" applyFont="1" applyFill="1" applyBorder="1" applyAlignment="1">
      <alignment horizontal="center"/>
    </xf>
    <xf numFmtId="166" fontId="2" fillId="26" borderId="22" xfId="0" applyNumberFormat="1" applyFont="1" applyFill="1" applyBorder="1" applyAlignment="1">
      <alignment horizontal="center"/>
    </xf>
    <xf numFmtId="166" fontId="2" fillId="26" borderId="20" xfId="0" applyNumberFormat="1" applyFont="1" applyFill="1" applyBorder="1" applyAlignment="1">
      <alignment horizontal="center"/>
    </xf>
    <xf numFmtId="0" fontId="23" fillId="26" borderId="25" xfId="47" applyFont="1" applyFill="1" applyBorder="1" applyAlignment="1">
      <alignment horizontal="left" vertical="center"/>
    </xf>
    <xf numFmtId="0" fontId="2" fillId="26" borderId="88" xfId="47" applyFill="1" applyBorder="1"/>
    <xf numFmtId="49" fontId="23" fillId="26" borderId="10" xfId="47" applyNumberFormat="1" applyFont="1" applyFill="1" applyBorder="1"/>
    <xf numFmtId="0" fontId="2" fillId="26" borderId="22" xfId="47" applyFill="1" applyBorder="1" applyAlignment="1">
      <alignment horizontal="right"/>
    </xf>
    <xf numFmtId="0" fontId="30" fillId="0" borderId="21" xfId="0" applyFont="1" applyBorder="1" applyAlignment="1">
      <alignment vertical="center" wrapText="1"/>
    </xf>
    <xf numFmtId="0" fontId="21" fillId="0" borderId="55" xfId="0" applyFont="1" applyBorder="1" applyAlignment="1">
      <alignment horizontal="left" vertical="center"/>
    </xf>
    <xf numFmtId="0" fontId="21" fillId="0" borderId="55" xfId="0" applyFont="1" applyBorder="1" applyAlignment="1">
      <alignment horizontal="left" vertical="top"/>
    </xf>
    <xf numFmtId="0" fontId="2" fillId="0" borderId="22" xfId="0" applyFont="1" applyBorder="1" applyAlignment="1">
      <alignment vertical="top" wrapText="1"/>
    </xf>
    <xf numFmtId="0" fontId="21" fillId="0" borderId="22" xfId="0" applyFont="1" applyBorder="1" applyAlignment="1">
      <alignment horizontal="right" vertical="top"/>
    </xf>
    <xf numFmtId="0" fontId="21" fillId="0" borderId="54" xfId="0" applyFont="1" applyBorder="1" applyAlignment="1">
      <alignment horizontal="left" vertical="top"/>
    </xf>
    <xf numFmtId="0" fontId="21" fillId="0" borderId="22" xfId="40" applyFont="1" applyBorder="1" applyAlignment="1">
      <alignment horizontal="center" vertical="center"/>
    </xf>
    <xf numFmtId="0" fontId="21" fillId="0" borderId="22" xfId="40" applyFont="1" applyBorder="1" applyAlignment="1">
      <alignment horizontal="left" vertical="center"/>
    </xf>
    <xf numFmtId="166" fontId="2" fillId="0" borderId="0" xfId="37" applyNumberFormat="1" applyAlignment="1">
      <alignment horizontal="center"/>
    </xf>
    <xf numFmtId="0" fontId="28" fillId="0" borderId="27" xfId="0" applyFont="1" applyBorder="1" applyAlignment="1">
      <alignment horizontal="right" vertical="center"/>
    </xf>
    <xf numFmtId="166" fontId="28" fillId="0" borderId="27" xfId="37" applyNumberFormat="1" applyFont="1" applyBorder="1" applyAlignment="1">
      <alignment horizontal="center" vertical="center"/>
    </xf>
    <xf numFmtId="166" fontId="28" fillId="0" borderId="0" xfId="37" applyNumberFormat="1" applyFont="1" applyAlignment="1">
      <alignment horizontal="center" vertical="center"/>
    </xf>
    <xf numFmtId="0" fontId="2" fillId="0" borderId="24" xfId="37" applyBorder="1"/>
    <xf numFmtId="0" fontId="28" fillId="0" borderId="0" xfId="37" applyFont="1" applyAlignment="1">
      <alignment horizontal="center"/>
    </xf>
    <xf numFmtId="0" fontId="2" fillId="26" borderId="18" xfId="0" applyFont="1" applyFill="1" applyBorder="1"/>
    <xf numFmtId="0" fontId="2" fillId="0" borderId="19" xfId="0" applyFont="1" applyBorder="1" applyAlignment="1">
      <alignment vertical="center"/>
    </xf>
    <xf numFmtId="0" fontId="2" fillId="0" borderId="22" xfId="0" applyFont="1" applyBorder="1" applyAlignment="1">
      <alignment horizontal="center" vertical="center"/>
    </xf>
    <xf numFmtId="2" fontId="2" fillId="26" borderId="86" xfId="47" applyNumberFormat="1" applyFill="1" applyBorder="1" applyAlignment="1">
      <alignment horizontal="center"/>
    </xf>
    <xf numFmtId="166" fontId="2" fillId="26" borderId="90" xfId="0" applyNumberFormat="1" applyFont="1" applyFill="1" applyBorder="1"/>
    <xf numFmtId="166" fontId="2" fillId="26" borderId="10" xfId="0" applyNumberFormat="1" applyFont="1" applyFill="1" applyBorder="1"/>
    <xf numFmtId="166" fontId="23" fillId="26" borderId="90" xfId="0" applyNumberFormat="1" applyFont="1" applyFill="1" applyBorder="1"/>
    <xf numFmtId="166" fontId="23" fillId="26" borderId="10" xfId="0" applyNumberFormat="1" applyFont="1" applyFill="1" applyBorder="1"/>
    <xf numFmtId="166" fontId="2" fillId="26" borderId="96" xfId="0" applyNumberFormat="1" applyFont="1" applyFill="1" applyBorder="1"/>
    <xf numFmtId="166" fontId="2" fillId="26" borderId="22" xfId="0" applyNumberFormat="1" applyFont="1" applyFill="1" applyBorder="1"/>
    <xf numFmtId="166" fontId="2" fillId="26" borderId="22" xfId="0" applyNumberFormat="1" applyFont="1" applyFill="1" applyBorder="1" applyAlignment="1">
      <alignment horizontal="right"/>
    </xf>
    <xf numFmtId="166" fontId="2" fillId="26" borderId="20" xfId="0" applyNumberFormat="1" applyFont="1" applyFill="1" applyBorder="1"/>
    <xf numFmtId="166" fontId="2" fillId="26" borderId="17" xfId="0" applyNumberFormat="1" applyFont="1" applyFill="1" applyBorder="1"/>
    <xf numFmtId="166" fontId="2" fillId="26" borderId="21" xfId="0" applyNumberFormat="1" applyFont="1" applyFill="1" applyBorder="1"/>
    <xf numFmtId="166" fontId="2" fillId="26" borderId="93" xfId="0" applyNumberFormat="1" applyFont="1" applyFill="1" applyBorder="1" applyAlignment="1">
      <alignment vertical="top" wrapText="1"/>
    </xf>
    <xf numFmtId="166" fontId="2" fillId="26" borderId="94" xfId="0" applyNumberFormat="1" applyFont="1" applyFill="1" applyBorder="1" applyAlignment="1">
      <alignment vertical="top" wrapText="1"/>
    </xf>
    <xf numFmtId="166" fontId="2" fillId="26" borderId="102" xfId="0" applyNumberFormat="1" applyFont="1" applyFill="1" applyBorder="1" applyAlignment="1">
      <alignment vertical="top" wrapText="1"/>
    </xf>
    <xf numFmtId="166" fontId="2" fillId="26" borderId="23" xfId="0" applyNumberFormat="1" applyFont="1" applyFill="1" applyBorder="1"/>
    <xf numFmtId="164" fontId="2" fillId="26" borderId="22" xfId="0" applyNumberFormat="1" applyFont="1" applyFill="1" applyBorder="1" applyAlignment="1">
      <alignment horizontal="center"/>
    </xf>
    <xf numFmtId="166" fontId="2" fillId="26" borderId="91" xfId="0" applyNumberFormat="1" applyFont="1" applyFill="1" applyBorder="1"/>
    <xf numFmtId="166" fontId="2" fillId="26" borderId="98" xfId="0" applyNumberFormat="1" applyFont="1" applyFill="1" applyBorder="1"/>
    <xf numFmtId="166" fontId="2" fillId="26" borderId="99" xfId="0" applyNumberFormat="1" applyFont="1" applyFill="1" applyBorder="1" applyAlignment="1">
      <alignment horizontal="center" vertical="center"/>
    </xf>
    <xf numFmtId="166" fontId="2" fillId="26" borderId="18" xfId="0" applyNumberFormat="1" applyFont="1" applyFill="1" applyBorder="1"/>
    <xf numFmtId="166" fontId="2" fillId="26" borderId="100" xfId="0" applyNumberFormat="1" applyFont="1" applyFill="1" applyBorder="1"/>
    <xf numFmtId="166" fontId="2" fillId="26" borderId="16" xfId="0" applyNumberFormat="1" applyFont="1" applyFill="1" applyBorder="1"/>
    <xf numFmtId="166" fontId="2" fillId="26" borderId="89" xfId="0" applyNumberFormat="1" applyFont="1" applyFill="1" applyBorder="1" applyAlignment="1">
      <alignment horizontal="center" vertical="center"/>
    </xf>
    <xf numFmtId="166" fontId="2" fillId="26" borderId="85" xfId="0" applyNumberFormat="1" applyFont="1" applyFill="1" applyBorder="1"/>
    <xf numFmtId="166" fontId="2" fillId="26" borderId="86" xfId="0" applyNumberFormat="1" applyFont="1" applyFill="1" applyBorder="1"/>
    <xf numFmtId="166" fontId="2" fillId="26" borderId="86" xfId="0" applyNumberFormat="1" applyFont="1" applyFill="1" applyBorder="1" applyAlignment="1">
      <alignment horizontal="center"/>
    </xf>
    <xf numFmtId="166" fontId="2" fillId="26" borderId="88" xfId="0" applyNumberFormat="1" applyFont="1" applyFill="1" applyBorder="1" applyAlignment="1">
      <alignment horizontal="center"/>
    </xf>
    <xf numFmtId="166" fontId="2" fillId="26" borderId="88" xfId="0" applyNumberFormat="1" applyFont="1" applyFill="1" applyBorder="1"/>
    <xf numFmtId="166" fontId="2" fillId="26" borderId="22" xfId="0" applyNumberFormat="1" applyFont="1" applyFill="1" applyBorder="1" applyAlignment="1">
      <alignment vertical="top" wrapText="1"/>
    </xf>
    <xf numFmtId="0" fontId="2" fillId="26" borderId="33" xfId="0" applyFont="1" applyFill="1" applyBorder="1" applyAlignment="1">
      <alignment vertical="center"/>
    </xf>
    <xf numFmtId="2" fontId="2" fillId="0" borderId="10" xfId="47" applyNumberFormat="1" applyBorder="1" applyAlignment="1">
      <alignment horizontal="center" vertical="top"/>
    </xf>
    <xf numFmtId="2" fontId="23" fillId="0" borderId="12" xfId="0" applyNumberFormat="1" applyFont="1" applyBorder="1" applyAlignment="1">
      <alignment horizontal="center" vertical="center" textRotation="90" wrapText="1"/>
    </xf>
    <xf numFmtId="0" fontId="2" fillId="0" borderId="23" xfId="0" applyFont="1" applyBorder="1" applyAlignment="1">
      <alignment horizontal="left"/>
    </xf>
    <xf numFmtId="0" fontId="2" fillId="0" borderId="23" xfId="0" applyFont="1" applyBorder="1" applyAlignment="1">
      <alignment horizontal="left" vertical="top" wrapText="1"/>
    </xf>
    <xf numFmtId="2" fontId="2" fillId="0" borderId="24" xfId="47" applyNumberFormat="1" applyBorder="1" applyAlignment="1">
      <alignment horizontal="left" vertical="center"/>
    </xf>
    <xf numFmtId="2" fontId="2" fillId="0" borderId="62" xfId="0" applyNumberFormat="1" applyFont="1" applyBorder="1" applyAlignment="1">
      <alignment horizontal="left" vertical="center" wrapText="1"/>
    </xf>
    <xf numFmtId="0" fontId="2" fillId="0" borderId="24" xfId="0" applyFont="1" applyBorder="1" applyAlignment="1">
      <alignment vertical="center" wrapText="1"/>
    </xf>
    <xf numFmtId="0" fontId="2" fillId="0" borderId="25" xfId="0" applyFont="1" applyBorder="1" applyAlignment="1">
      <alignment vertical="center" wrapText="1"/>
    </xf>
    <xf numFmtId="2" fontId="23" fillId="0" borderId="24" xfId="0" applyNumberFormat="1" applyFont="1" applyBorder="1" applyAlignment="1">
      <alignment horizontal="left" vertical="center" wrapText="1"/>
    </xf>
    <xf numFmtId="2" fontId="23" fillId="0" borderId="33" xfId="0" applyNumberFormat="1" applyFont="1" applyBorder="1" applyAlignment="1">
      <alignment vertical="center" wrapText="1"/>
    </xf>
    <xf numFmtId="2" fontId="2" fillId="0" borderId="34" xfId="0" applyNumberFormat="1" applyFont="1" applyBorder="1" applyAlignment="1">
      <alignment horizontal="left" vertical="center" wrapText="1"/>
    </xf>
    <xf numFmtId="2" fontId="23" fillId="0" borderId="62" xfId="0" applyNumberFormat="1" applyFont="1" applyBorder="1" applyAlignment="1">
      <alignment horizontal="left" vertical="center" wrapText="1"/>
    </xf>
    <xf numFmtId="0" fontId="23" fillId="26" borderId="24" xfId="47" applyFont="1" applyFill="1" applyBorder="1" applyAlignment="1">
      <alignment vertical="center"/>
    </xf>
    <xf numFmtId="0" fontId="23" fillId="26" borderId="25" xfId="47" applyFont="1" applyFill="1" applyBorder="1" applyAlignment="1">
      <alignment vertical="center"/>
    </xf>
    <xf numFmtId="2" fontId="23" fillId="0" borderId="33" xfId="0" applyNumberFormat="1" applyFont="1" applyBorder="1" applyAlignment="1">
      <alignment horizontal="left" vertical="center" wrapText="1"/>
    </xf>
    <xf numFmtId="2" fontId="2" fillId="0" borderId="24" xfId="0" applyNumberFormat="1" applyFont="1" applyBorder="1" applyAlignment="1">
      <alignment vertical="center" wrapText="1"/>
    </xf>
    <xf numFmtId="2" fontId="2" fillId="0" borderId="33" xfId="0" applyNumberFormat="1" applyFont="1" applyBorder="1" applyAlignment="1">
      <alignment horizontal="left" vertical="center" wrapText="1"/>
    </xf>
    <xf numFmtId="2" fontId="23" fillId="0" borderId="24" xfId="0" applyNumberFormat="1" applyFont="1" applyBorder="1" applyAlignment="1">
      <alignment vertical="center" wrapText="1"/>
    </xf>
    <xf numFmtId="0" fontId="2" fillId="26" borderId="26" xfId="0" applyFont="1" applyFill="1" applyBorder="1" applyAlignment="1">
      <alignment vertical="center" wrapText="1"/>
    </xf>
    <xf numFmtId="0" fontId="2" fillId="26" borderId="10" xfId="0" applyFont="1" applyFill="1" applyBorder="1" applyAlignment="1">
      <alignment vertical="center" wrapText="1"/>
    </xf>
    <xf numFmtId="0" fontId="28" fillId="26" borderId="10" xfId="0" applyFont="1" applyFill="1" applyBorder="1" applyAlignment="1">
      <alignment wrapText="1"/>
    </xf>
    <xf numFmtId="166" fontId="28" fillId="26" borderId="10" xfId="0" applyNumberFormat="1" applyFont="1" applyFill="1" applyBorder="1" applyAlignment="1">
      <alignment horizontal="right" wrapText="1"/>
    </xf>
    <xf numFmtId="0" fontId="2" fillId="26" borderId="42" xfId="37" applyFill="1" applyBorder="1" applyAlignment="1">
      <alignment horizontal="center" vertical="center"/>
    </xf>
    <xf numFmtId="0" fontId="21" fillId="26" borderId="10" xfId="37" applyFont="1" applyFill="1" applyBorder="1" applyAlignment="1">
      <alignment horizontal="left" vertical="center"/>
    </xf>
    <xf numFmtId="0" fontId="2" fillId="26" borderId="42" xfId="0" applyFont="1" applyFill="1" applyBorder="1" applyAlignment="1">
      <alignment horizontal="center" vertical="center" wrapText="1"/>
    </xf>
    <xf numFmtId="0" fontId="2" fillId="26" borderId="10" xfId="0" applyFont="1" applyFill="1" applyBorder="1" applyAlignment="1">
      <alignment horizontal="left" vertical="center" wrapText="1"/>
    </xf>
    <xf numFmtId="166" fontId="28" fillId="0" borderId="29" xfId="37" applyNumberFormat="1" applyFont="1" applyBorder="1" applyAlignment="1">
      <alignment vertical="center"/>
    </xf>
    <xf numFmtId="0" fontId="2" fillId="26" borderId="42" xfId="0" applyFont="1" applyFill="1" applyBorder="1" applyAlignment="1">
      <alignment horizontal="center" vertical="center"/>
    </xf>
    <xf numFmtId="0" fontId="2" fillId="26" borderId="10" xfId="0" applyFont="1" applyFill="1" applyBorder="1" applyAlignment="1">
      <alignment horizontal="left" vertical="center"/>
    </xf>
    <xf numFmtId="0" fontId="2" fillId="26" borderId="29" xfId="0" applyFont="1" applyFill="1" applyBorder="1" applyAlignment="1">
      <alignment horizontal="left" vertical="center"/>
    </xf>
    <xf numFmtId="0" fontId="2" fillId="0" borderId="21" xfId="0" applyFont="1" applyBorder="1" applyAlignment="1">
      <alignment horizontal="left"/>
    </xf>
    <xf numFmtId="0" fontId="2" fillId="0" borderId="10" xfId="0" applyFont="1" applyBorder="1" applyAlignment="1">
      <alignment horizontal="left"/>
    </xf>
    <xf numFmtId="0" fontId="2" fillId="0" borderId="0" xfId="0" applyFont="1" applyAlignment="1">
      <alignment horizontal="left"/>
    </xf>
    <xf numFmtId="1" fontId="2" fillId="0" borderId="12" xfId="0" applyNumberFormat="1" applyFont="1" applyBorder="1" applyAlignment="1">
      <alignment horizontal="center" vertical="center"/>
    </xf>
    <xf numFmtId="0" fontId="2" fillId="0" borderId="26" xfId="0" applyFont="1" applyBorder="1" applyAlignment="1">
      <alignment horizontal="left" vertical="center"/>
    </xf>
    <xf numFmtId="0" fontId="2" fillId="0" borderId="23" xfId="0" applyFont="1" applyBorder="1" applyAlignment="1">
      <alignment horizontal="center" vertical="center"/>
    </xf>
    <xf numFmtId="0" fontId="2" fillId="0" borderId="12" xfId="0" applyFont="1" applyBorder="1" applyAlignment="1">
      <alignment horizontal="center" vertical="center" wrapText="1"/>
    </xf>
    <xf numFmtId="0" fontId="30" fillId="0" borderId="10" xfId="0" applyFont="1" applyBorder="1" applyAlignment="1">
      <alignment wrapText="1"/>
    </xf>
    <xf numFmtId="0" fontId="21" fillId="0" borderId="22" xfId="40" applyFont="1" applyBorder="1" applyAlignment="1">
      <alignment vertical="center"/>
    </xf>
    <xf numFmtId="166" fontId="2" fillId="26" borderId="21" xfId="0" applyNumberFormat="1" applyFont="1" applyFill="1" applyBorder="1" applyAlignment="1">
      <alignment vertical="top" wrapText="1"/>
    </xf>
    <xf numFmtId="166" fontId="2" fillId="26" borderId="10" xfId="0" applyNumberFormat="1" applyFont="1" applyFill="1" applyBorder="1" applyAlignment="1">
      <alignment vertical="top" wrapText="1"/>
    </xf>
    <xf numFmtId="166" fontId="2" fillId="26" borderId="23" xfId="0" applyNumberFormat="1" applyFont="1" applyFill="1" applyBorder="1" applyAlignment="1">
      <alignment vertical="top" wrapText="1"/>
    </xf>
    <xf numFmtId="166" fontId="2" fillId="26" borderId="20" xfId="0" applyNumberFormat="1" applyFont="1" applyFill="1" applyBorder="1" applyAlignment="1">
      <alignment vertical="top" wrapText="1"/>
    </xf>
    <xf numFmtId="0" fontId="2" fillId="0" borderId="21" xfId="40" applyFont="1" applyBorder="1" applyAlignment="1">
      <alignment horizontal="right" vertical="center"/>
    </xf>
    <xf numFmtId="0" fontId="21" fillId="0" borderId="54" xfId="40" applyFont="1" applyBorder="1" applyAlignment="1">
      <alignment horizontal="center" vertical="center"/>
    </xf>
    <xf numFmtId="0" fontId="51" fillId="0" borderId="0" xfId="0" applyFont="1" applyAlignment="1">
      <alignment vertical="center"/>
    </xf>
    <xf numFmtId="0" fontId="51" fillId="0" borderId="33" xfId="0" applyFont="1" applyBorder="1" applyAlignment="1">
      <alignment vertical="center"/>
    </xf>
    <xf numFmtId="0" fontId="21" fillId="26" borderId="10" xfId="37" applyFont="1" applyFill="1" applyBorder="1" applyAlignment="1">
      <alignment horizontal="center" vertical="center"/>
    </xf>
    <xf numFmtId="0" fontId="2" fillId="26" borderId="0" xfId="37" applyFill="1" applyAlignment="1">
      <alignment horizontal="left" vertical="top" wrapText="1"/>
    </xf>
    <xf numFmtId="0" fontId="2" fillId="0" borderId="10" xfId="37" applyBorder="1" applyAlignment="1">
      <alignment horizontal="center" vertical="center"/>
    </xf>
    <xf numFmtId="0" fontId="2" fillId="26" borderId="0" xfId="48" applyFont="1" applyFill="1"/>
    <xf numFmtId="0" fontId="51" fillId="26" borderId="0" xfId="48" applyFont="1" applyFill="1"/>
    <xf numFmtId="0" fontId="2" fillId="26" borderId="19" xfId="48" applyFont="1" applyFill="1" applyBorder="1"/>
    <xf numFmtId="0" fontId="2" fillId="26" borderId="10" xfId="48" applyFont="1" applyFill="1" applyBorder="1"/>
    <xf numFmtId="0" fontId="2" fillId="26" borderId="31" xfId="48" applyFont="1" applyFill="1" applyBorder="1"/>
    <xf numFmtId="0" fontId="0" fillId="26" borderId="31" xfId="48" applyFont="1" applyFill="1" applyBorder="1"/>
    <xf numFmtId="0" fontId="2" fillId="26" borderId="29" xfId="48" applyFont="1" applyFill="1" applyBorder="1"/>
    <xf numFmtId="0" fontId="2" fillId="26" borderId="0" xfId="48" applyFont="1" applyFill="1" applyAlignment="1">
      <alignment vertical="top"/>
    </xf>
    <xf numFmtId="0" fontId="2" fillId="26" borderId="24" xfId="48" applyFont="1" applyFill="1" applyBorder="1"/>
    <xf numFmtId="0" fontId="0" fillId="26" borderId="10" xfId="48" applyFont="1" applyFill="1" applyBorder="1" applyAlignment="1">
      <alignment horizontal="right"/>
    </xf>
    <xf numFmtId="0" fontId="0" fillId="26" borderId="74" xfId="48" applyFont="1" applyFill="1" applyBorder="1"/>
    <xf numFmtId="0" fontId="0" fillId="26" borderId="65" xfId="48" applyFont="1" applyFill="1" applyBorder="1"/>
    <xf numFmtId="0" fontId="2" fillId="26" borderId="27" xfId="48" applyFont="1" applyFill="1" applyBorder="1"/>
    <xf numFmtId="0" fontId="0" fillId="26" borderId="19" xfId="48" applyFont="1" applyFill="1" applyBorder="1" applyAlignment="1">
      <alignment horizontal="center"/>
    </xf>
    <xf numFmtId="0" fontId="23" fillId="26" borderId="19" xfId="48" applyFont="1" applyFill="1" applyBorder="1" applyAlignment="1">
      <alignment horizontal="center"/>
    </xf>
    <xf numFmtId="0" fontId="2" fillId="26" borderId="17" xfId="49" applyFont="1" applyFill="1" applyBorder="1" applyAlignment="1">
      <alignment vertical="center"/>
    </xf>
    <xf numFmtId="0" fontId="2" fillId="26" borderId="107" xfId="49" applyFont="1" applyFill="1" applyBorder="1" applyAlignment="1">
      <alignment vertical="center"/>
    </xf>
    <xf numFmtId="0" fontId="2" fillId="26" borderId="107" xfId="49" applyFont="1" applyFill="1" applyBorder="1"/>
    <xf numFmtId="0" fontId="2" fillId="26" borderId="16" xfId="49" applyFont="1" applyFill="1" applyBorder="1"/>
    <xf numFmtId="0" fontId="2" fillId="26" borderId="17" xfId="49" applyFont="1" applyFill="1" applyBorder="1"/>
    <xf numFmtId="0" fontId="2" fillId="26" borderId="108" xfId="49" applyFont="1" applyFill="1" applyBorder="1"/>
    <xf numFmtId="0" fontId="2" fillId="26" borderId="109" xfId="49" applyFont="1" applyFill="1" applyBorder="1"/>
    <xf numFmtId="0" fontId="2" fillId="26" borderId="0" xfId="49" applyFont="1" applyFill="1"/>
    <xf numFmtId="0" fontId="2" fillId="26" borderId="0" xfId="48" applyFont="1" applyFill="1" applyAlignment="1">
      <alignment wrapText="1"/>
    </xf>
    <xf numFmtId="0" fontId="23" fillId="26" borderId="0" xfId="37" applyFont="1" applyFill="1" applyAlignment="1">
      <alignment horizontal="right" vertical="center"/>
    </xf>
    <xf numFmtId="164" fontId="21" fillId="26" borderId="0" xfId="37" applyNumberFormat="1" applyFont="1" applyFill="1" applyAlignment="1">
      <alignment horizontal="left" vertical="center"/>
    </xf>
    <xf numFmtId="0" fontId="21" fillId="26" borderId="21" xfId="37" applyFont="1" applyFill="1" applyBorder="1" applyAlignment="1">
      <alignment vertical="center"/>
    </xf>
    <xf numFmtId="0" fontId="2" fillId="26" borderId="26" xfId="37" applyFill="1" applyBorder="1" applyAlignment="1">
      <alignment horizontal="center" vertical="center" wrapText="1"/>
    </xf>
    <xf numFmtId="0" fontId="30" fillId="26" borderId="10" xfId="37" applyFont="1" applyFill="1" applyBorder="1" applyAlignment="1">
      <alignment vertical="top" wrapText="1"/>
    </xf>
    <xf numFmtId="0" fontId="21" fillId="26" borderId="21" xfId="37" applyFont="1" applyFill="1" applyBorder="1" applyAlignment="1">
      <alignment horizontal="center" vertical="center"/>
    </xf>
    <xf numFmtId="0" fontId="2" fillId="26" borderId="14" xfId="37" applyFill="1" applyBorder="1" applyAlignment="1">
      <alignment vertical="center"/>
    </xf>
    <xf numFmtId="0" fontId="2" fillId="26" borderId="11" xfId="37" applyFill="1" applyBorder="1" applyAlignment="1">
      <alignment horizontal="center" vertical="center" wrapText="1"/>
    </xf>
    <xf numFmtId="0" fontId="30" fillId="26" borderId="21" xfId="37" applyFont="1" applyFill="1" applyBorder="1" applyAlignment="1">
      <alignment vertical="top" wrapText="1"/>
    </xf>
    <xf numFmtId="0" fontId="30" fillId="26" borderId="0" xfId="37" applyFont="1" applyFill="1" applyAlignment="1">
      <alignment vertical="top" wrapText="1"/>
    </xf>
    <xf numFmtId="0" fontId="23" fillId="26" borderId="21" xfId="37" applyFont="1" applyFill="1" applyBorder="1" applyAlignment="1">
      <alignment horizontal="center" vertical="center" textRotation="90" wrapText="1"/>
    </xf>
    <xf numFmtId="0" fontId="30" fillId="26" borderId="21" xfId="37" applyFont="1" applyFill="1" applyBorder="1" applyAlignment="1">
      <alignment vertical="center" wrapText="1"/>
    </xf>
    <xf numFmtId="0" fontId="30" fillId="26" borderId="0" xfId="37" applyFont="1" applyFill="1" applyAlignment="1">
      <alignment vertical="center" wrapText="1"/>
    </xf>
    <xf numFmtId="0" fontId="30" fillId="26" borderId="10" xfId="37" applyFont="1" applyFill="1" applyBorder="1" applyAlignment="1">
      <alignment vertical="center" wrapText="1"/>
    </xf>
    <xf numFmtId="0" fontId="2" fillId="26" borderId="27" xfId="37" applyFill="1" applyBorder="1" applyAlignment="1">
      <alignment horizontal="center" vertical="center" wrapText="1"/>
    </xf>
    <xf numFmtId="0" fontId="21" fillId="26" borderId="28" xfId="37" applyFont="1" applyFill="1" applyBorder="1" applyAlignment="1">
      <alignment horizontal="center" vertical="center"/>
    </xf>
    <xf numFmtId="0" fontId="2" fillId="26" borderId="30" xfId="37" applyFill="1" applyBorder="1" applyAlignment="1">
      <alignment horizontal="left" vertical="center"/>
    </xf>
    <xf numFmtId="166" fontId="28" fillId="26" borderId="10" xfId="37" applyNumberFormat="1" applyFont="1" applyFill="1" applyBorder="1" applyAlignment="1">
      <alignment horizontal="center" vertical="center"/>
    </xf>
    <xf numFmtId="0" fontId="21" fillId="26" borderId="52" xfId="37" applyFont="1" applyFill="1" applyBorder="1" applyAlignment="1">
      <alignment horizontal="center" vertical="center"/>
    </xf>
    <xf numFmtId="0" fontId="21" fillId="26" borderId="32" xfId="37" applyFont="1" applyFill="1" applyBorder="1" applyAlignment="1">
      <alignment horizontal="center" vertical="center"/>
    </xf>
    <xf numFmtId="0" fontId="30" fillId="26" borderId="20" xfId="37" applyFont="1" applyFill="1" applyBorder="1" applyAlignment="1">
      <alignment vertical="top" wrapText="1"/>
    </xf>
    <xf numFmtId="0" fontId="30" fillId="26" borderId="23" xfId="37" applyFont="1" applyFill="1" applyBorder="1" applyAlignment="1">
      <alignment wrapText="1"/>
    </xf>
    <xf numFmtId="0" fontId="30" fillId="26" borderId="20" xfId="37" applyFont="1" applyFill="1" applyBorder="1" applyAlignment="1">
      <alignment wrapText="1"/>
    </xf>
    <xf numFmtId="165" fontId="23" fillId="26" borderId="33" xfId="37" applyNumberFormat="1" applyFont="1" applyFill="1" applyBorder="1" applyAlignment="1">
      <alignment horizontal="center" vertical="center"/>
    </xf>
    <xf numFmtId="0" fontId="21" fillId="26" borderId="68" xfId="37" applyFont="1" applyFill="1" applyBorder="1" applyAlignment="1">
      <alignment vertical="center"/>
    </xf>
    <xf numFmtId="0" fontId="21" fillId="26" borderId="24" xfId="37" applyFont="1" applyFill="1" applyBorder="1" applyAlignment="1">
      <alignment vertical="center"/>
    </xf>
    <xf numFmtId="0" fontId="21" fillId="26" borderId="33" xfId="37" applyFont="1" applyFill="1" applyBorder="1" applyAlignment="1">
      <alignment horizontal="center" vertical="center"/>
    </xf>
    <xf numFmtId="0" fontId="21" fillId="26" borderId="71" xfId="37" applyFont="1" applyFill="1" applyBorder="1" applyAlignment="1">
      <alignment vertical="center"/>
    </xf>
    <xf numFmtId="165" fontId="23" fillId="26" borderId="36" xfId="37" applyNumberFormat="1" applyFont="1" applyFill="1" applyBorder="1" applyAlignment="1">
      <alignment horizontal="center" vertical="center"/>
    </xf>
    <xf numFmtId="0" fontId="21" fillId="26" borderId="69" xfId="37" applyFont="1" applyFill="1" applyBorder="1" applyAlignment="1">
      <alignment vertical="center"/>
    </xf>
    <xf numFmtId="0" fontId="21" fillId="26" borderId="35" xfId="37" applyFont="1" applyFill="1" applyBorder="1" applyAlignment="1">
      <alignment vertical="center"/>
    </xf>
    <xf numFmtId="0" fontId="21" fillId="26" borderId="36" xfId="37" applyFont="1" applyFill="1" applyBorder="1" applyAlignment="1">
      <alignment horizontal="center" vertical="center"/>
    </xf>
    <xf numFmtId="0" fontId="21" fillId="26" borderId="73" xfId="37" applyFont="1" applyFill="1" applyBorder="1" applyAlignment="1">
      <alignment vertical="center"/>
    </xf>
    <xf numFmtId="0" fontId="21" fillId="26" borderId="72" xfId="37" applyFont="1" applyFill="1" applyBorder="1" applyAlignment="1">
      <alignment vertical="center"/>
    </xf>
    <xf numFmtId="165" fontId="23" fillId="26" borderId="23" xfId="37" applyNumberFormat="1" applyFont="1" applyFill="1" applyBorder="1" applyAlignment="1">
      <alignment horizontal="center" vertical="center"/>
    </xf>
    <xf numFmtId="0" fontId="21" fillId="26" borderId="70" xfId="37" applyFont="1" applyFill="1" applyBorder="1" applyAlignment="1">
      <alignment vertical="center"/>
    </xf>
    <xf numFmtId="0" fontId="21" fillId="26" borderId="19" xfId="37" applyFont="1" applyFill="1" applyBorder="1" applyAlignment="1">
      <alignment vertical="center"/>
    </xf>
    <xf numFmtId="0" fontId="21" fillId="26" borderId="23" xfId="37" applyFont="1" applyFill="1" applyBorder="1" applyAlignment="1">
      <alignment horizontal="center" vertical="center"/>
    </xf>
    <xf numFmtId="0" fontId="21" fillId="26" borderId="65" xfId="37" applyFont="1" applyFill="1" applyBorder="1" applyAlignment="1">
      <alignment vertical="center"/>
    </xf>
    <xf numFmtId="166" fontId="71" fillId="0" borderId="0" xfId="37" applyNumberFormat="1" applyFont="1" applyAlignment="1">
      <alignment horizontal="left" vertical="center"/>
    </xf>
    <xf numFmtId="0" fontId="71" fillId="0" borderId="0" xfId="37" applyFont="1" applyAlignment="1">
      <alignment vertical="center"/>
    </xf>
    <xf numFmtId="0" fontId="21" fillId="0" borderId="0" xfId="37" applyFont="1" applyAlignment="1">
      <alignment vertical="top"/>
    </xf>
    <xf numFmtId="0" fontId="2" fillId="28" borderId="10" xfId="37" applyFill="1" applyBorder="1" applyAlignment="1">
      <alignment wrapText="1"/>
    </xf>
    <xf numFmtId="0" fontId="29" fillId="26" borderId="0" xfId="47" applyFont="1" applyFill="1"/>
    <xf numFmtId="49" fontId="23" fillId="26" borderId="10" xfId="47" applyNumberFormat="1" applyFont="1" applyFill="1" applyBorder="1" applyAlignment="1">
      <alignment horizontal="left"/>
    </xf>
    <xf numFmtId="0" fontId="51" fillId="26" borderId="85" xfId="47" applyFont="1" applyFill="1" applyBorder="1"/>
    <xf numFmtId="0" fontId="51" fillId="26" borderId="86" xfId="47" applyFont="1" applyFill="1" applyBorder="1"/>
    <xf numFmtId="0" fontId="51" fillId="26" borderId="86" xfId="47" applyFont="1" applyFill="1" applyBorder="1" applyAlignment="1">
      <alignment horizontal="center"/>
    </xf>
    <xf numFmtId="0" fontId="51" fillId="26" borderId="88" xfId="47" applyFont="1" applyFill="1" applyBorder="1" applyAlignment="1">
      <alignment horizontal="center"/>
    </xf>
    <xf numFmtId="0" fontId="51" fillId="26" borderId="88" xfId="47" applyFont="1" applyFill="1" applyBorder="1"/>
    <xf numFmtId="0" fontId="51" fillId="26" borderId="90" xfId="47" applyFont="1" applyFill="1" applyBorder="1"/>
    <xf numFmtId="0" fontId="51" fillId="26" borderId="10" xfId="47" applyFont="1" applyFill="1" applyBorder="1" applyAlignment="1">
      <alignment horizontal="center"/>
    </xf>
    <xf numFmtId="49" fontId="52" fillId="26" borderId="10" xfId="47" applyNumberFormat="1" applyFont="1" applyFill="1" applyBorder="1"/>
    <xf numFmtId="0" fontId="51" fillId="0" borderId="0" xfId="37" applyFont="1"/>
    <xf numFmtId="0" fontId="51" fillId="26" borderId="22" xfId="47" applyFont="1" applyFill="1" applyBorder="1"/>
    <xf numFmtId="0" fontId="51" fillId="26" borderId="22" xfId="47" applyFont="1" applyFill="1" applyBorder="1" applyAlignment="1">
      <alignment horizontal="right"/>
    </xf>
    <xf numFmtId="0" fontId="51" fillId="26" borderId="22" xfId="47" applyFont="1" applyFill="1" applyBorder="1" applyAlignment="1">
      <alignment horizontal="center"/>
    </xf>
    <xf numFmtId="0" fontId="51" fillId="26" borderId="20" xfId="47" applyFont="1" applyFill="1" applyBorder="1" applyAlignment="1">
      <alignment horizontal="center"/>
    </xf>
    <xf numFmtId="0" fontId="51" fillId="26" borderId="100" xfId="47" applyFont="1" applyFill="1" applyBorder="1"/>
    <xf numFmtId="0" fontId="51" fillId="26" borderId="18" xfId="47" applyFont="1" applyFill="1" applyBorder="1"/>
    <xf numFmtId="0" fontId="51" fillId="26" borderId="18" xfId="47" applyFont="1" applyFill="1" applyBorder="1" applyAlignment="1">
      <alignment horizontal="center"/>
    </xf>
    <xf numFmtId="0" fontId="51" fillId="26" borderId="16" xfId="47" applyFont="1" applyFill="1" applyBorder="1"/>
    <xf numFmtId="39" fontId="23" fillId="26" borderId="10" xfId="47" applyNumberFormat="1" applyFont="1" applyFill="1" applyBorder="1"/>
    <xf numFmtId="39" fontId="23" fillId="26" borderId="10" xfId="47" applyNumberFormat="1" applyFont="1" applyFill="1" applyBorder="1" applyAlignment="1">
      <alignment horizontal="left"/>
    </xf>
    <xf numFmtId="0" fontId="51" fillId="0" borderId="21" xfId="47" applyFont="1" applyBorder="1"/>
    <xf numFmtId="0" fontId="51" fillId="26" borderId="14" xfId="37" applyFont="1" applyFill="1" applyBorder="1" applyAlignment="1">
      <alignment vertical="center"/>
    </xf>
    <xf numFmtId="0" fontId="21" fillId="0" borderId="24" xfId="0" applyFont="1" applyBorder="1" applyAlignment="1">
      <alignment horizontal="center" vertical="center"/>
    </xf>
    <xf numFmtId="0" fontId="21" fillId="0" borderId="113" xfId="37" applyFont="1" applyBorder="1" applyAlignment="1">
      <alignment vertical="center"/>
    </xf>
    <xf numFmtId="0" fontId="21" fillId="0" borderId="70" xfId="37" applyFont="1" applyBorder="1" applyAlignment="1">
      <alignment vertical="center"/>
    </xf>
    <xf numFmtId="0" fontId="21" fillId="0" borderId="57" xfId="37" applyFont="1" applyBorder="1" applyAlignment="1">
      <alignment vertical="center"/>
    </xf>
    <xf numFmtId="0" fontId="21" fillId="0" borderId="68" xfId="37" applyFont="1" applyBorder="1" applyAlignment="1">
      <alignment vertical="center"/>
    </xf>
    <xf numFmtId="0" fontId="21" fillId="0" borderId="114" xfId="37" applyFont="1" applyBorder="1" applyAlignment="1">
      <alignment vertical="center"/>
    </xf>
    <xf numFmtId="0" fontId="21" fillId="0" borderId="69" xfId="37" applyFont="1" applyBorder="1" applyAlignment="1">
      <alignment vertical="center"/>
    </xf>
    <xf numFmtId="0" fontId="21" fillId="0" borderId="71" xfId="37" applyFont="1" applyBorder="1" applyAlignment="1">
      <alignment vertical="center"/>
    </xf>
    <xf numFmtId="0" fontId="21" fillId="28" borderId="22" xfId="0" applyFont="1" applyFill="1" applyBorder="1" applyAlignment="1">
      <alignment vertical="center"/>
    </xf>
    <xf numFmtId="0" fontId="1" fillId="0" borderId="21" xfId="0" applyFont="1" applyBorder="1" applyAlignment="1">
      <alignment horizontal="left" vertical="top" wrapText="1"/>
    </xf>
    <xf numFmtId="0" fontId="51" fillId="26" borderId="91" xfId="47" applyFont="1" applyFill="1" applyBorder="1"/>
    <xf numFmtId="49" fontId="23" fillId="28" borderId="10" xfId="47" applyNumberFormat="1" applyFont="1" applyFill="1" applyBorder="1"/>
    <xf numFmtId="49" fontId="52" fillId="26" borderId="10" xfId="47" applyNumberFormat="1" applyFont="1" applyFill="1" applyBorder="1" applyAlignment="1">
      <alignment horizontal="left"/>
    </xf>
    <xf numFmtId="0" fontId="51" fillId="26" borderId="93" xfId="47" applyFont="1" applyFill="1" applyBorder="1"/>
    <xf numFmtId="0" fontId="51" fillId="26" borderId="102" xfId="47" applyFont="1" applyFill="1" applyBorder="1"/>
    <xf numFmtId="0" fontId="51" fillId="26" borderId="17" xfId="47" applyFont="1" applyFill="1" applyBorder="1"/>
    <xf numFmtId="0" fontId="51" fillId="26" borderId="23" xfId="47" applyFont="1" applyFill="1" applyBorder="1"/>
    <xf numFmtId="165" fontId="23" fillId="0" borderId="0" xfId="0" applyNumberFormat="1" applyFont="1" applyAlignment="1">
      <alignment horizontal="center" vertical="center"/>
    </xf>
    <xf numFmtId="165" fontId="52" fillId="0" borderId="24" xfId="0" applyNumberFormat="1" applyFont="1" applyBorder="1" applyAlignment="1">
      <alignment horizontal="center" vertical="center"/>
    </xf>
    <xf numFmtId="0" fontId="51" fillId="0" borderId="34" xfId="0" applyFont="1" applyBorder="1" applyAlignment="1">
      <alignment vertical="center"/>
    </xf>
    <xf numFmtId="0" fontId="51" fillId="0" borderId="25" xfId="0" applyFont="1" applyBorder="1" applyAlignment="1">
      <alignment vertical="center"/>
    </xf>
    <xf numFmtId="165" fontId="52" fillId="0" borderId="18" xfId="0" applyNumberFormat="1" applyFont="1" applyBorder="1" applyAlignment="1">
      <alignment horizontal="center" vertical="center"/>
    </xf>
    <xf numFmtId="0" fontId="51" fillId="0" borderId="18" xfId="0" applyFont="1" applyBorder="1" applyAlignment="1">
      <alignment vertical="center"/>
    </xf>
    <xf numFmtId="0" fontId="1" fillId="0" borderId="0" xfId="37" applyFont="1" applyAlignment="1">
      <alignment vertical="center"/>
    </xf>
    <xf numFmtId="0" fontId="1" fillId="0" borderId="27" xfId="37" applyFont="1" applyBorder="1" applyAlignment="1">
      <alignment horizontal="center" vertical="center"/>
    </xf>
    <xf numFmtId="0" fontId="1" fillId="0" borderId="27" xfId="37" applyFont="1" applyBorder="1" applyAlignment="1">
      <alignment vertical="center"/>
    </xf>
    <xf numFmtId="166" fontId="1" fillId="0" borderId="17" xfId="37" applyNumberFormat="1" applyFont="1" applyBorder="1" applyAlignment="1">
      <alignment horizontal="left" vertical="center"/>
    </xf>
    <xf numFmtId="166" fontId="1" fillId="0" borderId="15" xfId="37" applyNumberFormat="1" applyFont="1" applyBorder="1" applyAlignment="1">
      <alignment horizontal="left" vertical="center"/>
    </xf>
    <xf numFmtId="0" fontId="1" fillId="0" borderId="0" xfId="0" applyFont="1" applyAlignment="1">
      <alignment vertical="center"/>
    </xf>
    <xf numFmtId="0" fontId="1" fillId="0" borderId="0" xfId="0" applyFont="1" applyAlignment="1">
      <alignment horizontal="center" vertical="center"/>
    </xf>
    <xf numFmtId="166" fontId="1" fillId="0" borderId="0" xfId="0" applyNumberFormat="1" applyFont="1" applyAlignment="1">
      <alignment vertical="center"/>
    </xf>
    <xf numFmtId="0" fontId="1" fillId="0" borderId="0" xfId="0" applyFont="1" applyAlignment="1">
      <alignment horizontal="left" vertical="center"/>
    </xf>
    <xf numFmtId="0" fontId="1" fillId="24" borderId="34" xfId="0" applyFont="1" applyFill="1" applyBorder="1" applyAlignment="1">
      <alignment vertical="center"/>
    </xf>
    <xf numFmtId="0" fontId="1" fillId="0" borderId="0" xfId="0" applyFont="1" applyAlignment="1">
      <alignment horizontal="left" vertical="top" wrapText="1"/>
    </xf>
    <xf numFmtId="0" fontId="1" fillId="0" borderId="14" xfId="0" applyFont="1" applyBorder="1" applyAlignment="1">
      <alignment vertical="center"/>
    </xf>
    <xf numFmtId="0" fontId="1" fillId="0" borderId="27" xfId="0" applyFont="1" applyBorder="1" applyAlignment="1">
      <alignment vertical="center"/>
    </xf>
    <xf numFmtId="0" fontId="1" fillId="0" borderId="27" xfId="0" applyFont="1" applyBorder="1" applyAlignment="1">
      <alignment horizontal="center" vertical="center"/>
    </xf>
    <xf numFmtId="0" fontId="1" fillId="0" borderId="11" xfId="0" applyFont="1" applyBorder="1" applyAlignment="1">
      <alignment horizontal="center" vertical="center"/>
    </xf>
    <xf numFmtId="0" fontId="1" fillId="0" borderId="21" xfId="0" applyFont="1" applyBorder="1" applyAlignment="1">
      <alignment vertical="center"/>
    </xf>
    <xf numFmtId="0" fontId="1" fillId="0" borderId="30" xfId="0" applyFont="1" applyBorder="1" applyAlignment="1">
      <alignment vertical="center"/>
    </xf>
    <xf numFmtId="0" fontId="1" fillId="0" borderId="30" xfId="0" applyFont="1" applyBorder="1" applyAlignment="1">
      <alignment horizontal="center" vertical="center"/>
    </xf>
    <xf numFmtId="0" fontId="1" fillId="0" borderId="26" xfId="0" applyFont="1" applyBorder="1" applyAlignment="1">
      <alignment horizontal="center" vertical="center"/>
    </xf>
    <xf numFmtId="0" fontId="1" fillId="0" borderId="28" xfId="0" applyFont="1" applyBorder="1" applyAlignment="1">
      <alignment vertical="center"/>
    </xf>
    <xf numFmtId="0" fontId="1" fillId="0" borderId="31" xfId="0" applyFont="1" applyBorder="1" applyAlignment="1">
      <alignment horizontal="right" vertical="center"/>
    </xf>
    <xf numFmtId="0" fontId="1" fillId="0" borderId="31" xfId="0" applyFont="1" applyBorder="1" applyAlignment="1">
      <alignment vertical="center"/>
    </xf>
    <xf numFmtId="0" fontId="1" fillId="0" borderId="31" xfId="0" applyFont="1" applyBorder="1" applyAlignment="1">
      <alignment horizontal="center" vertical="center"/>
    </xf>
    <xf numFmtId="0" fontId="1" fillId="0" borderId="29" xfId="0" applyFont="1" applyBorder="1" applyAlignment="1">
      <alignment horizontal="center" vertical="center"/>
    </xf>
    <xf numFmtId="0" fontId="1" fillId="0" borderId="0" xfId="0" applyFont="1"/>
    <xf numFmtId="0" fontId="1" fillId="0" borderId="10" xfId="0" applyFont="1" applyBorder="1" applyAlignment="1">
      <alignment horizontal="center" vertical="center"/>
    </xf>
    <xf numFmtId="0" fontId="1" fillId="0" borderId="22" xfId="0" applyFont="1" applyBorder="1" applyAlignment="1">
      <alignment vertical="center"/>
    </xf>
    <xf numFmtId="0" fontId="1" fillId="0" borderId="22" xfId="0" applyFont="1" applyBorder="1"/>
    <xf numFmtId="0" fontId="1" fillId="0" borderId="22" xfId="0" applyFont="1" applyBorder="1" applyAlignment="1">
      <alignment horizontal="center" vertical="center"/>
    </xf>
    <xf numFmtId="0" fontId="1" fillId="0" borderId="20" xfId="0" applyFont="1" applyBorder="1" applyAlignment="1">
      <alignment horizontal="center" vertical="center"/>
    </xf>
    <xf numFmtId="0" fontId="1" fillId="0" borderId="23" xfId="0" applyFont="1" applyBorder="1" applyAlignment="1">
      <alignment vertical="center"/>
    </xf>
    <xf numFmtId="0" fontId="1" fillId="0" borderId="19" xfId="0" applyFont="1" applyBorder="1" applyAlignment="1">
      <alignment vertical="center"/>
    </xf>
    <xf numFmtId="0" fontId="1" fillId="0" borderId="22" xfId="0" applyFont="1" applyBorder="1" applyAlignment="1">
      <alignment vertical="center" wrapText="1"/>
    </xf>
    <xf numFmtId="0" fontId="1" fillId="0" borderId="20" xfId="0" applyFont="1" applyBorder="1" applyAlignment="1">
      <alignment vertical="center" wrapText="1"/>
    </xf>
    <xf numFmtId="0" fontId="1" fillId="0" borderId="20" xfId="0" applyFont="1" applyBorder="1" applyAlignment="1">
      <alignment vertical="center"/>
    </xf>
    <xf numFmtId="0" fontId="1" fillId="0" borderId="35" xfId="0" applyFont="1" applyBorder="1" applyAlignment="1">
      <alignment vertical="center"/>
    </xf>
    <xf numFmtId="0" fontId="1" fillId="0" borderId="36" xfId="0" applyFont="1" applyBorder="1" applyAlignment="1">
      <alignment vertical="center"/>
    </xf>
    <xf numFmtId="0" fontId="1" fillId="0" borderId="38" xfId="0" applyFont="1" applyBorder="1" applyAlignment="1">
      <alignment vertical="center"/>
    </xf>
    <xf numFmtId="0" fontId="1" fillId="0" borderId="37" xfId="0" applyFont="1" applyBorder="1" applyAlignment="1">
      <alignment vertical="center"/>
    </xf>
    <xf numFmtId="0" fontId="1" fillId="0" borderId="38" xfId="0" applyFont="1" applyBorder="1" applyAlignment="1">
      <alignment horizontal="center" vertical="center"/>
    </xf>
    <xf numFmtId="0" fontId="1" fillId="0" borderId="24" xfId="0" applyFont="1" applyBorder="1" applyAlignment="1">
      <alignment vertical="center"/>
    </xf>
    <xf numFmtId="0" fontId="1" fillId="0" borderId="33" xfId="0" applyFont="1" applyBorder="1" applyAlignment="1">
      <alignment vertical="center"/>
    </xf>
    <xf numFmtId="0" fontId="1" fillId="0" borderId="34" xfId="0" applyFont="1" applyBorder="1" applyAlignment="1">
      <alignment vertical="center"/>
    </xf>
    <xf numFmtId="0" fontId="1" fillId="0" borderId="34" xfId="0" applyFont="1" applyBorder="1" applyAlignment="1">
      <alignment horizontal="center" vertical="center"/>
    </xf>
    <xf numFmtId="0" fontId="1" fillId="0" borderId="25" xfId="0" applyFont="1" applyBorder="1" applyAlignment="1">
      <alignment vertical="center"/>
    </xf>
    <xf numFmtId="0" fontId="1" fillId="0" borderId="0" xfId="0" applyFont="1" applyAlignment="1">
      <alignment vertical="top" wrapText="1"/>
    </xf>
    <xf numFmtId="0" fontId="1" fillId="0" borderId="11" xfId="0" applyFont="1" applyBorder="1" applyAlignment="1">
      <alignment vertical="center"/>
    </xf>
    <xf numFmtId="2" fontId="1" fillId="0" borderId="24" xfId="0" applyNumberFormat="1" applyFont="1" applyBorder="1" applyAlignment="1">
      <alignment horizontal="left" vertical="center"/>
    </xf>
    <xf numFmtId="0" fontId="1" fillId="0" borderId="33" xfId="0" applyFont="1" applyBorder="1" applyAlignment="1">
      <alignment horizontal="center" vertical="center"/>
    </xf>
    <xf numFmtId="0" fontId="21" fillId="28" borderId="133" xfId="0" applyFont="1" applyFill="1" applyBorder="1" applyAlignment="1">
      <alignment vertical="center"/>
    </xf>
    <xf numFmtId="0" fontId="30" fillId="28" borderId="122" xfId="0" applyFont="1" applyFill="1" applyBorder="1" applyAlignment="1">
      <alignment wrapText="1"/>
    </xf>
    <xf numFmtId="0" fontId="30" fillId="28" borderId="133" xfId="0" applyFont="1" applyFill="1" applyBorder="1" applyAlignment="1">
      <alignment wrapText="1"/>
    </xf>
    <xf numFmtId="0" fontId="30" fillId="28" borderId="0" xfId="0" applyFont="1" applyFill="1" applyAlignment="1">
      <alignment vertical="top" wrapText="1"/>
    </xf>
    <xf numFmtId="0" fontId="30" fillId="28" borderId="122" xfId="0" applyFont="1" applyFill="1" applyBorder="1" applyAlignment="1">
      <alignment vertical="top" wrapText="1"/>
    </xf>
    <xf numFmtId="0" fontId="21" fillId="28" borderId="122" xfId="0" applyFont="1" applyFill="1" applyBorder="1" applyAlignment="1">
      <alignment vertical="center"/>
    </xf>
    <xf numFmtId="0" fontId="2" fillId="28" borderId="134" xfId="0" applyFont="1" applyFill="1" applyBorder="1" applyAlignment="1">
      <alignment vertical="center"/>
    </xf>
    <xf numFmtId="0" fontId="2" fillId="28" borderId="123" xfId="0" applyFont="1" applyFill="1" applyBorder="1" applyAlignment="1">
      <alignment horizontal="center" vertical="center"/>
    </xf>
    <xf numFmtId="0" fontId="23" fillId="28" borderId="123" xfId="0" applyFont="1" applyFill="1" applyBorder="1" applyAlignment="1">
      <alignment horizontal="center" vertical="center"/>
    </xf>
    <xf numFmtId="0" fontId="21" fillId="28" borderId="136" xfId="0" applyFont="1" applyFill="1" applyBorder="1" applyAlignment="1">
      <alignment vertical="center"/>
    </xf>
    <xf numFmtId="0" fontId="21" fillId="28" borderId="137" xfId="0" applyFont="1" applyFill="1" applyBorder="1" applyAlignment="1">
      <alignment vertical="center"/>
    </xf>
    <xf numFmtId="0" fontId="21" fillId="28" borderId="138" xfId="0" applyFont="1" applyFill="1" applyBorder="1" applyAlignment="1">
      <alignment vertical="center"/>
    </xf>
    <xf numFmtId="0" fontId="21" fillId="28" borderId="31" xfId="0" applyFont="1" applyFill="1" applyBorder="1" applyAlignment="1">
      <alignment vertical="center"/>
    </xf>
    <xf numFmtId="0" fontId="2" fillId="28" borderId="30" xfId="0" applyFont="1" applyFill="1" applyBorder="1" applyAlignment="1">
      <alignment vertical="center"/>
    </xf>
    <xf numFmtId="0" fontId="2" fillId="28" borderId="31" xfId="0" applyFont="1" applyFill="1" applyBorder="1" applyAlignment="1">
      <alignment horizontal="right" vertical="center"/>
    </xf>
    <xf numFmtId="0" fontId="2" fillId="28" borderId="27" xfId="0" applyFont="1" applyFill="1" applyBorder="1" applyAlignment="1">
      <alignment vertical="center"/>
    </xf>
    <xf numFmtId="0" fontId="45" fillId="0" borderId="0" xfId="0" applyFont="1" applyAlignment="1">
      <alignment vertical="center"/>
    </xf>
    <xf numFmtId="165" fontId="25" fillId="28" borderId="23" xfId="0" applyNumberFormat="1" applyFont="1" applyFill="1" applyBorder="1" applyAlignment="1">
      <alignment horizontal="center" vertical="center"/>
    </xf>
    <xf numFmtId="165" fontId="25" fillId="28" borderId="22" xfId="0" applyNumberFormat="1" applyFont="1" applyFill="1" applyBorder="1" applyAlignment="1">
      <alignment horizontal="center" vertical="center"/>
    </xf>
    <xf numFmtId="0" fontId="2" fillId="26" borderId="127" xfId="49" applyFont="1" applyFill="1" applyBorder="1" applyAlignment="1">
      <alignment vertical="center"/>
    </xf>
    <xf numFmtId="0" fontId="2" fillId="26" borderId="129" xfId="49" applyFont="1" applyFill="1" applyBorder="1" applyAlignment="1">
      <alignment vertical="center"/>
    </xf>
    <xf numFmtId="0" fontId="2" fillId="26" borderId="129" xfId="49" applyFont="1" applyFill="1" applyBorder="1"/>
    <xf numFmtId="0" fontId="2" fillId="26" borderId="128" xfId="49" applyFont="1" applyFill="1" applyBorder="1"/>
    <xf numFmtId="0" fontId="2" fillId="26" borderId="127" xfId="49" applyFont="1" applyFill="1" applyBorder="1"/>
    <xf numFmtId="0" fontId="2" fillId="26" borderId="130" xfId="49" applyFont="1" applyFill="1" applyBorder="1"/>
    <xf numFmtId="0" fontId="2" fillId="26" borderId="131" xfId="49" applyFont="1" applyFill="1" applyBorder="1"/>
    <xf numFmtId="0" fontId="2" fillId="26" borderId="33" xfId="49" applyFont="1" applyFill="1" applyBorder="1" applyAlignment="1">
      <alignment horizontal="center" vertical="center"/>
    </xf>
    <xf numFmtId="0" fontId="2" fillId="26" borderId="125" xfId="49" applyFont="1" applyFill="1" applyBorder="1" applyAlignment="1">
      <alignment horizontal="center" vertical="center"/>
    </xf>
    <xf numFmtId="166" fontId="2" fillId="26" borderId="17" xfId="37" applyNumberFormat="1" applyFill="1" applyBorder="1" applyAlignment="1">
      <alignment horizontal="left" vertical="center"/>
    </xf>
    <xf numFmtId="0" fontId="30" fillId="0" borderId="21" xfId="37" applyFont="1" applyBorder="1" applyAlignment="1">
      <alignment horizontal="center" vertical="center" wrapText="1"/>
    </xf>
    <xf numFmtId="0" fontId="21" fillId="0" borderId="21" xfId="37" applyFont="1" applyBorder="1" applyAlignment="1">
      <alignment horizontal="center" vertical="center"/>
    </xf>
    <xf numFmtId="165" fontId="2" fillId="0" borderId="17" xfId="40" applyNumberFormat="1" applyFont="1" applyBorder="1" applyAlignment="1">
      <alignment horizontal="center" vertical="center"/>
    </xf>
    <xf numFmtId="0" fontId="32" fillId="28" borderId="21" xfId="37" applyFont="1" applyFill="1" applyBorder="1" applyAlignment="1">
      <alignment horizontal="left" vertical="top" wrapText="1"/>
    </xf>
    <xf numFmtId="0" fontId="32" fillId="28" borderId="10" xfId="37" applyFont="1" applyFill="1" applyBorder="1" applyAlignment="1">
      <alignment horizontal="left" vertical="top" wrapText="1"/>
    </xf>
    <xf numFmtId="166" fontId="2" fillId="26" borderId="90" xfId="0" applyNumberFormat="1" applyFont="1" applyFill="1" applyBorder="1" applyAlignment="1">
      <alignment horizontal="left" vertical="top" wrapText="1"/>
    </xf>
    <xf numFmtId="166" fontId="2" fillId="26" borderId="10" xfId="0" applyNumberFormat="1" applyFont="1" applyFill="1" applyBorder="1" applyAlignment="1">
      <alignment horizontal="left" vertical="top" wrapText="1"/>
    </xf>
    <xf numFmtId="0" fontId="0" fillId="26" borderId="0" xfId="48" applyFont="1" applyFill="1"/>
    <xf numFmtId="0" fontId="0" fillId="26" borderId="0" xfId="48" applyFont="1" applyFill="1" applyAlignment="1">
      <alignment vertical="top"/>
    </xf>
    <xf numFmtId="0" fontId="44" fillId="26" borderId="19" xfId="48" applyFont="1" applyFill="1" applyBorder="1" applyAlignment="1">
      <alignment horizontal="center"/>
    </xf>
    <xf numFmtId="0" fontId="2" fillId="26" borderId="143" xfId="48" applyFont="1" applyFill="1" applyBorder="1"/>
    <xf numFmtId="0" fontId="2" fillId="26" borderId="144" xfId="48" applyFont="1" applyFill="1" applyBorder="1"/>
    <xf numFmtId="0" fontId="2" fillId="26" borderId="145" xfId="48" applyFont="1" applyFill="1" applyBorder="1"/>
    <xf numFmtId="0" fontId="29" fillId="26" borderId="146" xfId="48" applyFont="1" applyFill="1" applyBorder="1"/>
    <xf numFmtId="0" fontId="2" fillId="26" borderId="147" xfId="48" applyFont="1" applyFill="1" applyBorder="1"/>
    <xf numFmtId="0" fontId="2" fillId="26" borderId="146" xfId="48" applyFont="1" applyFill="1" applyBorder="1"/>
    <xf numFmtId="0" fontId="0" fillId="26" borderId="147" xfId="48" applyFont="1" applyFill="1" applyBorder="1"/>
    <xf numFmtId="0" fontId="2" fillId="26" borderId="148" xfId="48" applyFont="1" applyFill="1" applyBorder="1"/>
    <xf numFmtId="0" fontId="2" fillId="26" borderId="149" xfId="48" applyFont="1" applyFill="1" applyBorder="1"/>
    <xf numFmtId="0" fontId="0" fillId="26" borderId="149" xfId="48" applyFont="1" applyFill="1" applyBorder="1"/>
    <xf numFmtId="0" fontId="2" fillId="26" borderId="150" xfId="48" applyFont="1" applyFill="1" applyBorder="1"/>
    <xf numFmtId="0" fontId="2" fillId="26" borderId="29" xfId="37" applyFill="1" applyBorder="1" applyAlignment="1">
      <alignment horizontal="center" vertical="center" wrapText="1"/>
    </xf>
    <xf numFmtId="0" fontId="30" fillId="28" borderId="0" xfId="0" applyFont="1" applyFill="1" applyAlignment="1">
      <alignment horizontal="left" vertical="top" wrapText="1"/>
    </xf>
    <xf numFmtId="0" fontId="2" fillId="0" borderId="16" xfId="37" applyBorder="1" applyAlignment="1">
      <alignment horizontal="center" vertical="center"/>
    </xf>
    <xf numFmtId="0" fontId="2" fillId="0" borderId="18" xfId="37" applyBorder="1" applyAlignment="1">
      <alignment horizontal="center" vertical="center"/>
    </xf>
    <xf numFmtId="0" fontId="2" fillId="0" borderId="22" xfId="37" applyBorder="1" applyAlignment="1">
      <alignment horizontal="center" vertical="center"/>
    </xf>
    <xf numFmtId="0" fontId="2" fillId="0" borderId="20" xfId="37" applyBorder="1" applyAlignment="1">
      <alignment horizontal="center" vertical="center"/>
    </xf>
    <xf numFmtId="0" fontId="2" fillId="26" borderId="28" xfId="37" applyFill="1" applyBorder="1" applyAlignment="1">
      <alignment vertical="center"/>
    </xf>
    <xf numFmtId="0" fontId="2" fillId="26" borderId="13" xfId="37" applyFill="1" applyBorder="1" applyAlignment="1">
      <alignment vertical="center"/>
    </xf>
    <xf numFmtId="0" fontId="1" fillId="26" borderId="13" xfId="37" applyFont="1" applyFill="1" applyBorder="1" applyAlignment="1">
      <alignment horizontal="left" vertical="center" wrapText="1"/>
    </xf>
    <xf numFmtId="0" fontId="51" fillId="26" borderId="14" xfId="37" applyFont="1" applyFill="1" applyBorder="1" applyAlignment="1">
      <alignment vertical="center" wrapText="1"/>
    </xf>
    <xf numFmtId="0" fontId="2" fillId="26" borderId="26" xfId="37" applyFill="1" applyBorder="1" applyAlignment="1">
      <alignment horizontal="center" vertical="top" wrapText="1"/>
    </xf>
    <xf numFmtId="0" fontId="2" fillId="28" borderId="33" xfId="37" applyFill="1" applyBorder="1" applyAlignment="1">
      <alignment vertical="center"/>
    </xf>
    <xf numFmtId="0" fontId="2" fillId="28" borderId="34" xfId="37" applyFill="1" applyBorder="1" applyAlignment="1">
      <alignment vertical="center"/>
    </xf>
    <xf numFmtId="0" fontId="2" fillId="28" borderId="24" xfId="37" applyFill="1" applyBorder="1" applyAlignment="1">
      <alignment vertical="center"/>
    </xf>
    <xf numFmtId="0" fontId="2" fillId="0" borderId="33" xfId="37" applyBorder="1" applyAlignment="1">
      <alignment horizontal="center" vertical="center"/>
    </xf>
    <xf numFmtId="0" fontId="2" fillId="0" borderId="25" xfId="37" applyBorder="1" applyAlignment="1">
      <alignment horizontal="center" vertical="center"/>
    </xf>
    <xf numFmtId="0" fontId="2" fillId="0" borderId="34" xfId="37" applyBorder="1" applyAlignment="1">
      <alignment horizontal="center" vertical="center"/>
    </xf>
    <xf numFmtId="0" fontId="2" fillId="0" borderId="33" xfId="37" applyBorder="1" applyAlignment="1">
      <alignment vertical="center"/>
    </xf>
    <xf numFmtId="0" fontId="2" fillId="0" borderId="25" xfId="37" applyBorder="1" applyAlignment="1">
      <alignment vertical="center"/>
    </xf>
    <xf numFmtId="0" fontId="61" fillId="26" borderId="33" xfId="0" applyFont="1" applyFill="1" applyBorder="1" applyAlignment="1">
      <alignment vertical="center"/>
    </xf>
    <xf numFmtId="0" fontId="61" fillId="26" borderId="34" xfId="0" applyFont="1" applyFill="1" applyBorder="1" applyAlignment="1">
      <alignment vertical="center"/>
    </xf>
    <xf numFmtId="165" fontId="61" fillId="26" borderId="25" xfId="0" applyNumberFormat="1" applyFont="1" applyFill="1" applyBorder="1" applyAlignment="1">
      <alignment vertical="center"/>
    </xf>
    <xf numFmtId="0" fontId="61" fillId="28" borderId="33" xfId="0" applyFont="1" applyFill="1" applyBorder="1" applyAlignment="1">
      <alignment vertical="center"/>
    </xf>
    <xf numFmtId="0" fontId="61" fillId="28" borderId="34" xfId="0" applyFont="1" applyFill="1" applyBorder="1" applyAlignment="1">
      <alignment vertical="center"/>
    </xf>
    <xf numFmtId="165" fontId="61" fillId="28" borderId="25" xfId="0" applyNumberFormat="1" applyFont="1" applyFill="1" applyBorder="1" applyAlignment="1">
      <alignment vertical="center"/>
    </xf>
    <xf numFmtId="0" fontId="2" fillId="0" borderId="34" xfId="37" applyBorder="1" applyAlignment="1">
      <alignment vertical="center"/>
    </xf>
    <xf numFmtId="0" fontId="2" fillId="0" borderId="24" xfId="37" applyBorder="1" applyAlignment="1">
      <alignment vertical="center"/>
    </xf>
    <xf numFmtId="0" fontId="2" fillId="0" borderId="15" xfId="37" applyBorder="1" applyAlignment="1">
      <alignment horizontal="center" vertical="center"/>
    </xf>
    <xf numFmtId="0" fontId="61" fillId="26" borderId="21" xfId="0" applyFont="1" applyFill="1" applyBorder="1" applyAlignment="1">
      <alignment vertical="center"/>
    </xf>
    <xf numFmtId="0" fontId="61" fillId="26" borderId="0" xfId="0" applyFont="1" applyFill="1" applyAlignment="1">
      <alignment vertical="center"/>
    </xf>
    <xf numFmtId="0" fontId="61" fillId="26" borderId="10" xfId="0" applyFont="1" applyFill="1" applyBorder="1" applyAlignment="1">
      <alignment vertical="center"/>
    </xf>
    <xf numFmtId="0" fontId="61" fillId="28" borderId="21" xfId="0" applyFont="1" applyFill="1" applyBorder="1" applyAlignment="1">
      <alignment vertical="center"/>
    </xf>
    <xf numFmtId="0" fontId="61" fillId="28" borderId="0" xfId="0" applyFont="1" applyFill="1" applyAlignment="1">
      <alignment vertical="center"/>
    </xf>
    <xf numFmtId="0" fontId="61" fillId="28" borderId="10" xfId="0" applyFont="1" applyFill="1" applyBorder="1" applyAlignment="1">
      <alignment vertical="center"/>
    </xf>
    <xf numFmtId="0" fontId="2" fillId="0" borderId="24" xfId="37" applyBorder="1" applyAlignment="1">
      <alignment horizontal="center" vertical="center"/>
    </xf>
    <xf numFmtId="0" fontId="2" fillId="28" borderId="36" xfId="37" applyFill="1" applyBorder="1" applyAlignment="1">
      <alignment vertical="center"/>
    </xf>
    <xf numFmtId="0" fontId="2" fillId="28" borderId="38" xfId="37" applyFill="1" applyBorder="1" applyAlignment="1">
      <alignment vertical="center"/>
    </xf>
    <xf numFmtId="0" fontId="2" fillId="28" borderId="35" xfId="37" applyFill="1" applyBorder="1" applyAlignment="1">
      <alignment vertical="center"/>
    </xf>
    <xf numFmtId="0" fontId="2" fillId="0" borderId="36" xfId="37" applyBorder="1" applyAlignment="1">
      <alignment horizontal="center" vertical="center"/>
    </xf>
    <xf numFmtId="0" fontId="2" fillId="0" borderId="37" xfId="37" applyBorder="1" applyAlignment="1">
      <alignment horizontal="center" vertical="center"/>
    </xf>
    <xf numFmtId="0" fontId="2" fillId="0" borderId="38" xfId="37" applyBorder="1" applyAlignment="1">
      <alignment horizontal="center" vertical="center"/>
    </xf>
    <xf numFmtId="0" fontId="2" fillId="0" borderId="36" xfId="37" applyBorder="1" applyAlignment="1">
      <alignment vertical="center"/>
    </xf>
    <xf numFmtId="0" fontId="2" fillId="0" borderId="37" xfId="37" applyBorder="1" applyAlignment="1">
      <alignment vertical="center"/>
    </xf>
    <xf numFmtId="165" fontId="73" fillId="26" borderId="36" xfId="0" applyNumberFormat="1" applyFont="1" applyFill="1" applyBorder="1" applyAlignment="1">
      <alignment horizontal="center" vertical="center"/>
    </xf>
    <xf numFmtId="0" fontId="61" fillId="26" borderId="38" xfId="0" applyFont="1" applyFill="1" applyBorder="1" applyAlignment="1">
      <alignment vertical="center"/>
    </xf>
    <xf numFmtId="0" fontId="61" fillId="26" borderId="37" xfId="0" applyFont="1" applyFill="1" applyBorder="1" applyAlignment="1">
      <alignment vertical="center"/>
    </xf>
    <xf numFmtId="165" fontId="73" fillId="28" borderId="36" xfId="0" applyNumberFormat="1" applyFont="1" applyFill="1" applyBorder="1" applyAlignment="1">
      <alignment horizontal="center" vertical="center"/>
    </xf>
    <xf numFmtId="0" fontId="61" fillId="28" borderId="38" xfId="0" applyFont="1" applyFill="1" applyBorder="1" applyAlignment="1">
      <alignment vertical="center"/>
    </xf>
    <xf numFmtId="0" fontId="61" fillId="28" borderId="37" xfId="0" applyFont="1" applyFill="1" applyBorder="1" applyAlignment="1">
      <alignment vertical="center"/>
    </xf>
    <xf numFmtId="0" fontId="2" fillId="0" borderId="38" xfId="37" applyBorder="1" applyAlignment="1">
      <alignment vertical="center"/>
    </xf>
    <xf numFmtId="0" fontId="2" fillId="0" borderId="35" xfId="37" applyBorder="1" applyAlignment="1">
      <alignment vertical="center"/>
    </xf>
    <xf numFmtId="0" fontId="2" fillId="0" borderId="76" xfId="37" applyBorder="1" applyAlignment="1">
      <alignment horizontal="center" vertical="center"/>
    </xf>
    <xf numFmtId="0" fontId="2" fillId="0" borderId="77" xfId="37" applyBorder="1" applyAlignment="1">
      <alignment horizontal="center" vertical="center"/>
    </xf>
    <xf numFmtId="0" fontId="2" fillId="0" borderId="64" xfId="37" applyBorder="1" applyAlignment="1">
      <alignment horizontal="center" vertical="center"/>
    </xf>
    <xf numFmtId="0" fontId="2" fillId="0" borderId="50" xfId="37" applyBorder="1" applyAlignment="1">
      <alignment horizontal="center" vertical="center"/>
    </xf>
    <xf numFmtId="0" fontId="2" fillId="0" borderId="48" xfId="37" applyBorder="1" applyAlignment="1">
      <alignment horizontal="center" vertical="center"/>
    </xf>
    <xf numFmtId="0" fontId="61" fillId="26" borderId="23" xfId="0" applyFont="1" applyFill="1" applyBorder="1" applyAlignment="1">
      <alignment vertical="center"/>
    </xf>
    <xf numFmtId="0" fontId="61" fillId="26" borderId="22" xfId="0" applyFont="1" applyFill="1" applyBorder="1" applyAlignment="1">
      <alignment vertical="center"/>
    </xf>
    <xf numFmtId="165" fontId="61" fillId="26" borderId="20" xfId="0" applyNumberFormat="1" applyFont="1" applyFill="1" applyBorder="1" applyAlignment="1">
      <alignment vertical="center"/>
    </xf>
    <xf numFmtId="0" fontId="61" fillId="28" borderId="23" xfId="0" applyFont="1" applyFill="1" applyBorder="1" applyAlignment="1">
      <alignment vertical="center"/>
    </xf>
    <xf numFmtId="0" fontId="61" fillId="28" borderId="22" xfId="0" applyFont="1" applyFill="1" applyBorder="1" applyAlignment="1">
      <alignment vertical="center"/>
    </xf>
    <xf numFmtId="165" fontId="61" fillId="28" borderId="20" xfId="0" applyNumberFormat="1" applyFont="1" applyFill="1" applyBorder="1" applyAlignment="1">
      <alignment vertical="center"/>
    </xf>
    <xf numFmtId="0" fontId="2" fillId="28" borderId="50" xfId="37" applyFill="1" applyBorder="1" applyAlignment="1">
      <alignment vertical="center"/>
    </xf>
    <xf numFmtId="0" fontId="2" fillId="28" borderId="51" xfId="37" applyFill="1" applyBorder="1" applyAlignment="1">
      <alignment vertical="center"/>
    </xf>
    <xf numFmtId="0" fontId="2" fillId="28" borderId="49" xfId="37" applyFill="1" applyBorder="1" applyAlignment="1">
      <alignment vertical="center"/>
    </xf>
    <xf numFmtId="0" fontId="2" fillId="0" borderId="51" xfId="37" applyBorder="1" applyAlignment="1">
      <alignment horizontal="center" vertical="center"/>
    </xf>
    <xf numFmtId="0" fontId="2" fillId="0" borderId="50" xfId="37" applyBorder="1" applyAlignment="1">
      <alignment vertical="center"/>
    </xf>
    <xf numFmtId="0" fontId="2" fillId="0" borderId="48" xfId="37" applyBorder="1" applyAlignment="1">
      <alignment vertical="center"/>
    </xf>
    <xf numFmtId="0" fontId="2" fillId="0" borderId="51" xfId="37" applyBorder="1" applyAlignment="1">
      <alignment vertical="center"/>
    </xf>
    <xf numFmtId="0" fontId="2" fillId="0" borderId="49" xfId="37" applyBorder="1" applyAlignment="1">
      <alignment vertical="center"/>
    </xf>
    <xf numFmtId="0" fontId="2" fillId="0" borderId="12" xfId="37" applyBorder="1" applyAlignment="1">
      <alignment horizontal="center" vertical="center"/>
    </xf>
    <xf numFmtId="0" fontId="61" fillId="26" borderId="17" xfId="0" applyFont="1" applyFill="1" applyBorder="1" applyAlignment="1">
      <alignment vertical="center"/>
    </xf>
    <xf numFmtId="0" fontId="61" fillId="26" borderId="18" xfId="0" applyFont="1" applyFill="1" applyBorder="1" applyAlignment="1">
      <alignment vertical="center"/>
    </xf>
    <xf numFmtId="0" fontId="61" fillId="26" borderId="16" xfId="0" applyFont="1" applyFill="1" applyBorder="1" applyAlignment="1">
      <alignment vertical="center"/>
    </xf>
    <xf numFmtId="0" fontId="61" fillId="28" borderId="17" xfId="0" applyFont="1" applyFill="1" applyBorder="1" applyAlignment="1">
      <alignment vertical="center"/>
    </xf>
    <xf numFmtId="0" fontId="61" fillId="28" borderId="18" xfId="0" applyFont="1" applyFill="1" applyBorder="1" applyAlignment="1">
      <alignment vertical="center"/>
    </xf>
    <xf numFmtId="0" fontId="61" fillId="28" borderId="16" xfId="0" applyFont="1" applyFill="1" applyBorder="1" applyAlignment="1">
      <alignment vertical="center"/>
    </xf>
    <xf numFmtId="165" fontId="73" fillId="26" borderId="33" xfId="0" applyNumberFormat="1" applyFont="1" applyFill="1" applyBorder="1" applyAlignment="1">
      <alignment horizontal="center" vertical="center"/>
    </xf>
    <xf numFmtId="0" fontId="61" fillId="26" borderId="25" xfId="0" applyFont="1" applyFill="1" applyBorder="1" applyAlignment="1">
      <alignment vertical="center"/>
    </xf>
    <xf numFmtId="165" fontId="73" fillId="28" borderId="33" xfId="0" applyNumberFormat="1" applyFont="1" applyFill="1" applyBorder="1" applyAlignment="1">
      <alignment horizontal="center" vertical="center"/>
    </xf>
    <xf numFmtId="0" fontId="61" fillId="28" borderId="25" xfId="0" applyFont="1" applyFill="1" applyBorder="1" applyAlignment="1">
      <alignment vertical="center"/>
    </xf>
    <xf numFmtId="166" fontId="28" fillId="26" borderId="10" xfId="0" applyNumberFormat="1" applyFont="1" applyFill="1" applyBorder="1" applyAlignment="1">
      <alignment horizontal="center" vertical="center" wrapText="1"/>
    </xf>
    <xf numFmtId="0" fontId="21" fillId="0" borderId="74" xfId="37" applyFont="1" applyBorder="1" applyAlignment="1">
      <alignment vertical="center"/>
    </xf>
    <xf numFmtId="0" fontId="21" fillId="0" borderId="62" xfId="37" applyFont="1" applyBorder="1" applyAlignment="1">
      <alignment vertical="center"/>
    </xf>
    <xf numFmtId="0" fontId="21" fillId="0" borderId="73" xfId="37" applyFont="1" applyBorder="1" applyAlignment="1">
      <alignment vertical="center"/>
    </xf>
    <xf numFmtId="0" fontId="21" fillId="0" borderId="65" xfId="37" applyFont="1" applyBorder="1" applyAlignment="1">
      <alignment vertical="center"/>
    </xf>
    <xf numFmtId="0" fontId="21" fillId="0" borderId="19" xfId="37" applyFont="1" applyBorder="1" applyAlignment="1">
      <alignment vertical="center"/>
    </xf>
    <xf numFmtId="0" fontId="21" fillId="0" borderId="72" xfId="37" applyFont="1" applyBorder="1" applyAlignment="1">
      <alignment vertical="center"/>
    </xf>
    <xf numFmtId="0" fontId="71" fillId="0" borderId="0" xfId="37" applyFont="1" applyAlignment="1">
      <alignment horizontal="center" vertical="center"/>
    </xf>
    <xf numFmtId="0" fontId="34" fillId="0" borderId="0" xfId="0" applyFont="1" applyAlignment="1">
      <alignment horizontal="right" vertical="center"/>
    </xf>
    <xf numFmtId="165" fontId="23" fillId="26" borderId="17" xfId="0" applyNumberFormat="1" applyFont="1" applyFill="1" applyBorder="1" applyAlignment="1">
      <alignment horizontal="center" vertical="center"/>
    </xf>
    <xf numFmtId="0" fontId="1" fillId="0" borderId="18" xfId="37" applyFont="1" applyBorder="1" applyAlignment="1">
      <alignment vertical="center"/>
    </xf>
    <xf numFmtId="0" fontId="33" fillId="0" borderId="0" xfId="0" applyFont="1" applyAlignment="1">
      <alignment vertical="center"/>
    </xf>
    <xf numFmtId="0" fontId="21" fillId="0" borderId="0" xfId="0" applyFont="1" applyAlignment="1">
      <alignment horizontal="right" vertical="center"/>
    </xf>
    <xf numFmtId="0" fontId="21" fillId="0" borderId="0" xfId="0" applyFont="1" applyAlignment="1">
      <alignment horizontal="right" vertical="top"/>
    </xf>
    <xf numFmtId="0" fontId="2" fillId="0" borderId="18" xfId="40" applyFont="1" applyBorder="1" applyAlignment="1">
      <alignment horizontal="right" vertical="center"/>
    </xf>
    <xf numFmtId="0" fontId="25" fillId="26" borderId="0" xfId="37" applyFont="1" applyFill="1" applyAlignment="1">
      <alignment horizontal="left" vertical="center"/>
    </xf>
    <xf numFmtId="166" fontId="2" fillId="26" borderId="0" xfId="37" applyNumberFormat="1" applyFill="1" applyAlignment="1">
      <alignment horizontal="left" vertical="center"/>
    </xf>
    <xf numFmtId="166" fontId="2" fillId="26" borderId="0" xfId="37" applyNumberFormat="1" applyFill="1" applyAlignment="1">
      <alignment horizontal="left"/>
    </xf>
    <xf numFmtId="0" fontId="2" fillId="0" borderId="0" xfId="37" applyAlignment="1">
      <alignment horizontal="left"/>
    </xf>
    <xf numFmtId="0" fontId="2" fillId="26" borderId="33" xfId="37" applyFill="1" applyBorder="1" applyAlignment="1">
      <alignment horizontal="left"/>
    </xf>
    <xf numFmtId="166" fontId="2" fillId="26" borderId="21" xfId="37" applyNumberFormat="1" applyFill="1" applyBorder="1" applyAlignment="1">
      <alignment horizontal="left" vertical="center"/>
    </xf>
    <xf numFmtId="0" fontId="2" fillId="26" borderId="21" xfId="37" applyFill="1" applyBorder="1" applyAlignment="1">
      <alignment horizontal="left" vertical="center"/>
    </xf>
    <xf numFmtId="0" fontId="2" fillId="26" borderId="23" xfId="37" applyFill="1" applyBorder="1" applyAlignment="1">
      <alignment horizontal="left" vertical="center"/>
    </xf>
    <xf numFmtId="0" fontId="2" fillId="26" borderId="23" xfId="37" applyFill="1" applyBorder="1" applyAlignment="1">
      <alignment horizontal="left"/>
    </xf>
    <xf numFmtId="166" fontId="2" fillId="26" borderId="23" xfId="37" applyNumberFormat="1" applyFill="1" applyBorder="1" applyAlignment="1">
      <alignment horizontal="left" vertical="top"/>
    </xf>
    <xf numFmtId="0" fontId="2" fillId="26" borderId="21" xfId="37" applyFill="1" applyBorder="1" applyAlignment="1">
      <alignment horizontal="left"/>
    </xf>
    <xf numFmtId="166" fontId="2" fillId="26" borderId="33" xfId="37" applyNumberFormat="1" applyFill="1" applyBorder="1" applyAlignment="1">
      <alignment horizontal="left" vertical="center"/>
    </xf>
    <xf numFmtId="0" fontId="30" fillId="26" borderId="0" xfId="37" applyFont="1" applyFill="1" applyAlignment="1">
      <alignment horizontal="left" vertical="top"/>
    </xf>
    <xf numFmtId="0" fontId="24" fillId="0" borderId="0" xfId="37" applyFont="1" applyAlignment="1">
      <alignment horizontal="center"/>
    </xf>
    <xf numFmtId="0" fontId="30" fillId="26" borderId="0" xfId="37" applyFont="1" applyFill="1"/>
    <xf numFmtId="0" fontId="2" fillId="26" borderId="85" xfId="37" applyFill="1" applyBorder="1"/>
    <xf numFmtId="0" fontId="2" fillId="26" borderId="86" xfId="37" applyFill="1" applyBorder="1"/>
    <xf numFmtId="0" fontId="2" fillId="26" borderId="86" xfId="37" applyFill="1" applyBorder="1" applyAlignment="1">
      <alignment horizontal="center"/>
    </xf>
    <xf numFmtId="0" fontId="2" fillId="26" borderId="88" xfId="37" applyFill="1" applyBorder="1" applyAlignment="1">
      <alignment horizontal="center"/>
    </xf>
    <xf numFmtId="0" fontId="2" fillId="26" borderId="88" xfId="37" applyFill="1" applyBorder="1"/>
    <xf numFmtId="0" fontId="2" fillId="26" borderId="90" xfId="37" applyFill="1" applyBorder="1"/>
    <xf numFmtId="0" fontId="2" fillId="26" borderId="96" xfId="37" applyFill="1" applyBorder="1"/>
    <xf numFmtId="0" fontId="2" fillId="26" borderId="22" xfId="37" applyFill="1" applyBorder="1" applyAlignment="1">
      <alignment horizontal="center"/>
    </xf>
    <xf numFmtId="0" fontId="2" fillId="26" borderId="20" xfId="37" applyFill="1" applyBorder="1" applyAlignment="1">
      <alignment horizontal="center"/>
    </xf>
    <xf numFmtId="0" fontId="2" fillId="26" borderId="88" xfId="47" applyFill="1" applyBorder="1" applyAlignment="1">
      <alignment horizontal="center"/>
    </xf>
    <xf numFmtId="0" fontId="2" fillId="26" borderId="0" xfId="47" applyFill="1" applyAlignment="1">
      <alignment horizontal="right"/>
    </xf>
    <xf numFmtId="0" fontId="2" fillId="26" borderId="62" xfId="47" applyFill="1" applyBorder="1"/>
    <xf numFmtId="0" fontId="2" fillId="26" borderId="0" xfId="47" applyFill="1" applyAlignment="1">
      <alignment horizontal="center"/>
    </xf>
    <xf numFmtId="0" fontId="2" fillId="26" borderId="0" xfId="47" applyFill="1" applyAlignment="1">
      <alignment horizontal="left"/>
    </xf>
    <xf numFmtId="0" fontId="2" fillId="26" borderId="18" xfId="47" applyFill="1" applyBorder="1" applyAlignment="1">
      <alignment horizontal="right"/>
    </xf>
    <xf numFmtId="0" fontId="2" fillId="26" borderId="17" xfId="47" applyFill="1" applyBorder="1"/>
    <xf numFmtId="0" fontId="2" fillId="26" borderId="21" xfId="47" applyFill="1" applyBorder="1"/>
    <xf numFmtId="0" fontId="2" fillId="26" borderId="93" xfId="47" applyFill="1" applyBorder="1"/>
    <xf numFmtId="0" fontId="2" fillId="26" borderId="94" xfId="47" applyFill="1" applyBorder="1"/>
    <xf numFmtId="0" fontId="2" fillId="26" borderId="94" xfId="47" applyFill="1" applyBorder="1" applyAlignment="1">
      <alignment horizontal="center"/>
    </xf>
    <xf numFmtId="0" fontId="2" fillId="26" borderId="95" xfId="47" applyFill="1" applyBorder="1"/>
    <xf numFmtId="0" fontId="2" fillId="26" borderId="102" xfId="47" applyFill="1" applyBorder="1"/>
    <xf numFmtId="0" fontId="2" fillId="26" borderId="116" xfId="47" applyFill="1" applyBorder="1"/>
    <xf numFmtId="0" fontId="2" fillId="26" borderId="77" xfId="47" applyFill="1" applyBorder="1"/>
    <xf numFmtId="0" fontId="2" fillId="26" borderId="77" xfId="47" applyFill="1" applyBorder="1" applyAlignment="1">
      <alignment horizontal="center"/>
    </xf>
    <xf numFmtId="0" fontId="2" fillId="26" borderId="117" xfId="47" applyFill="1" applyBorder="1"/>
    <xf numFmtId="0" fontId="2" fillId="26" borderId="64" xfId="47" applyFill="1" applyBorder="1"/>
    <xf numFmtId="0" fontId="2" fillId="26" borderId="23" xfId="47" applyFill="1" applyBorder="1"/>
    <xf numFmtId="0" fontId="2" fillId="28" borderId="85" xfId="47" applyFill="1" applyBorder="1"/>
    <xf numFmtId="0" fontId="2" fillId="28" borderId="86" xfId="47" applyFill="1" applyBorder="1"/>
    <xf numFmtId="0" fontId="2" fillId="28" borderId="86" xfId="47" applyFill="1" applyBorder="1" applyAlignment="1">
      <alignment horizontal="center"/>
    </xf>
    <xf numFmtId="0" fontId="2" fillId="28" borderId="88" xfId="47" applyFill="1" applyBorder="1" applyAlignment="1">
      <alignment horizontal="center"/>
    </xf>
    <xf numFmtId="0" fontId="2" fillId="28" borderId="88" xfId="47" applyFill="1" applyBorder="1"/>
    <xf numFmtId="0" fontId="2" fillId="28" borderId="90" xfId="47" applyFill="1" applyBorder="1"/>
    <xf numFmtId="0" fontId="2" fillId="28" borderId="10" xfId="47" applyFill="1" applyBorder="1" applyAlignment="1">
      <alignment horizontal="center"/>
    </xf>
    <xf numFmtId="0" fontId="2" fillId="28" borderId="10" xfId="47" applyFill="1" applyBorder="1"/>
    <xf numFmtId="0" fontId="2" fillId="28" borderId="96" xfId="47" applyFill="1" applyBorder="1"/>
    <xf numFmtId="0" fontId="2" fillId="28" borderId="22" xfId="47" applyFill="1" applyBorder="1"/>
    <xf numFmtId="0" fontId="2" fillId="28" borderId="22" xfId="47" applyFill="1" applyBorder="1" applyAlignment="1">
      <alignment horizontal="right"/>
    </xf>
    <xf numFmtId="0" fontId="2" fillId="28" borderId="22" xfId="47" applyFill="1" applyBorder="1" applyAlignment="1">
      <alignment horizontal="center"/>
    </xf>
    <xf numFmtId="0" fontId="2" fillId="28" borderId="20" xfId="47" applyFill="1" applyBorder="1" applyAlignment="1">
      <alignment horizontal="center"/>
    </xf>
    <xf numFmtId="0" fontId="2" fillId="28" borderId="20" xfId="47" applyFill="1" applyBorder="1"/>
    <xf numFmtId="0" fontId="2" fillId="26" borderId="33" xfId="47" applyFill="1" applyBorder="1"/>
    <xf numFmtId="39" fontId="2" fillId="26" borderId="10" xfId="47" applyNumberFormat="1" applyFill="1" applyBorder="1"/>
    <xf numFmtId="2" fontId="2" fillId="26" borderId="0" xfId="47" applyNumberFormat="1" applyFill="1"/>
    <xf numFmtId="49" fontId="2" fillId="26" borderId="18" xfId="47" applyNumberFormat="1" applyFill="1" applyBorder="1" applyAlignment="1">
      <alignment horizontal="center"/>
    </xf>
    <xf numFmtId="49" fontId="2" fillId="26" borderId="16" xfId="47" applyNumberFormat="1" applyFill="1" applyBorder="1" applyAlignment="1">
      <alignment horizontal="center"/>
    </xf>
    <xf numFmtId="0" fontId="2" fillId="26" borderId="68" xfId="47" applyFill="1" applyBorder="1" applyAlignment="1">
      <alignment horizontal="center"/>
    </xf>
    <xf numFmtId="0" fontId="2" fillId="28" borderId="18" xfId="37" applyFill="1" applyBorder="1"/>
    <xf numFmtId="0" fontId="2" fillId="28" borderId="18" xfId="37" applyFill="1" applyBorder="1" applyAlignment="1">
      <alignment horizontal="center"/>
    </xf>
    <xf numFmtId="0" fontId="2" fillId="28" borderId="16" xfId="37" applyFill="1" applyBorder="1" applyAlignment="1">
      <alignment horizontal="center"/>
    </xf>
    <xf numFmtId="0" fontId="2" fillId="28" borderId="16" xfId="37" applyFill="1" applyBorder="1"/>
    <xf numFmtId="0" fontId="2" fillId="28" borderId="10" xfId="37" applyFill="1" applyBorder="1" applyAlignment="1">
      <alignment horizontal="center"/>
    </xf>
    <xf numFmtId="0" fontId="2" fillId="28" borderId="10" xfId="37" applyFill="1" applyBorder="1"/>
    <xf numFmtId="0" fontId="2" fillId="28" borderId="22" xfId="37" applyFill="1" applyBorder="1"/>
    <xf numFmtId="0" fontId="2" fillId="28" borderId="22" xfId="37" applyFill="1" applyBorder="1" applyAlignment="1">
      <alignment horizontal="center"/>
    </xf>
    <xf numFmtId="0" fontId="2" fillId="28" borderId="20" xfId="37" applyFill="1" applyBorder="1" applyAlignment="1">
      <alignment horizontal="center"/>
    </xf>
    <xf numFmtId="0" fontId="2" fillId="28" borderId="17" xfId="37" applyFill="1" applyBorder="1"/>
    <xf numFmtId="0" fontId="2" fillId="28" borderId="21" xfId="37" applyFill="1" applyBorder="1"/>
    <xf numFmtId="0" fontId="2" fillId="28" borderId="23" xfId="37" applyFill="1" applyBorder="1"/>
    <xf numFmtId="0" fontId="2" fillId="28" borderId="100" xfId="37" applyFill="1" applyBorder="1"/>
    <xf numFmtId="0" fontId="2" fillId="28" borderId="90" xfId="37" applyFill="1" applyBorder="1"/>
    <xf numFmtId="0" fontId="2" fillId="28" borderId="96" xfId="37" applyFill="1" applyBorder="1"/>
    <xf numFmtId="0" fontId="2" fillId="26" borderId="100" xfId="37" applyFill="1" applyBorder="1"/>
    <xf numFmtId="0" fontId="2" fillId="26" borderId="18" xfId="37" applyFill="1" applyBorder="1" applyAlignment="1">
      <alignment horizontal="center"/>
    </xf>
    <xf numFmtId="0" fontId="2" fillId="26" borderId="10" xfId="37" applyFill="1" applyBorder="1" applyAlignment="1">
      <alignment horizontal="center"/>
    </xf>
    <xf numFmtId="0" fontId="2" fillId="26" borderId="20" xfId="37" applyFill="1" applyBorder="1" applyAlignment="1">
      <alignment wrapText="1"/>
    </xf>
    <xf numFmtId="0" fontId="2" fillId="26" borderId="10" xfId="37" applyFill="1" applyBorder="1" applyAlignment="1">
      <alignment wrapText="1"/>
    </xf>
    <xf numFmtId="0" fontId="2" fillId="28" borderId="23" xfId="47" applyFill="1" applyBorder="1"/>
    <xf numFmtId="2" fontId="2" fillId="26" borderId="0" xfId="47" applyNumberFormat="1" applyFill="1" applyAlignment="1">
      <alignment horizontal="center"/>
    </xf>
    <xf numFmtId="0" fontId="32" fillId="26" borderId="0" xfId="47" applyFont="1" applyFill="1" applyAlignment="1">
      <alignment horizontal="right"/>
    </xf>
    <xf numFmtId="2" fontId="2" fillId="26" borderId="86" xfId="37" applyNumberFormat="1" applyFill="1" applyBorder="1" applyAlignment="1">
      <alignment horizontal="center"/>
    </xf>
    <xf numFmtId="49" fontId="23" fillId="26" borderId="10" xfId="37" applyNumberFormat="1" applyFont="1" applyFill="1" applyBorder="1"/>
    <xf numFmtId="0" fontId="2" fillId="26" borderId="22" xfId="37" applyFill="1" applyBorder="1" applyAlignment="1">
      <alignment horizontal="right"/>
    </xf>
    <xf numFmtId="2" fontId="2" fillId="26" borderId="22" xfId="37" applyNumberFormat="1" applyFill="1" applyBorder="1" applyAlignment="1">
      <alignment horizontal="center"/>
    </xf>
    <xf numFmtId="2" fontId="51" fillId="26" borderId="86" xfId="47" applyNumberFormat="1" applyFont="1" applyFill="1" applyBorder="1" applyAlignment="1">
      <alignment horizontal="center"/>
    </xf>
    <xf numFmtId="2" fontId="51" fillId="26" borderId="94" xfId="47" applyNumberFormat="1" applyFont="1" applyFill="1" applyBorder="1" applyAlignment="1">
      <alignment horizontal="center"/>
    </xf>
    <xf numFmtId="2" fontId="2" fillId="26" borderId="94" xfId="47" applyNumberFormat="1" applyFill="1" applyBorder="1" applyAlignment="1">
      <alignment horizontal="center"/>
    </xf>
    <xf numFmtId="2" fontId="2" fillId="26" borderId="77" xfId="47" applyNumberFormat="1" applyFill="1" applyBorder="1" applyAlignment="1">
      <alignment horizontal="center"/>
    </xf>
    <xf numFmtId="2" fontId="2" fillId="28" borderId="86" xfId="47" applyNumberFormat="1" applyFill="1" applyBorder="1" applyAlignment="1">
      <alignment horizontal="center"/>
    </xf>
    <xf numFmtId="2" fontId="2" fillId="28" borderId="22" xfId="47" applyNumberFormat="1" applyFill="1" applyBorder="1" applyAlignment="1">
      <alignment horizontal="center"/>
    </xf>
    <xf numFmtId="2" fontId="51" fillId="26" borderId="18" xfId="47" applyNumberFormat="1" applyFont="1" applyFill="1" applyBorder="1" applyAlignment="1">
      <alignment horizontal="center"/>
    </xf>
    <xf numFmtId="2" fontId="2" fillId="28" borderId="18" xfId="37" applyNumberFormat="1" applyFill="1" applyBorder="1" applyAlignment="1">
      <alignment horizontal="center"/>
    </xf>
    <xf numFmtId="2" fontId="2" fillId="28" borderId="22" xfId="37" applyNumberFormat="1" applyFill="1" applyBorder="1" applyAlignment="1">
      <alignment horizontal="center"/>
    </xf>
    <xf numFmtId="0" fontId="2" fillId="28" borderId="20" xfId="37" applyFill="1" applyBorder="1"/>
    <xf numFmtId="2" fontId="2" fillId="26" borderId="22" xfId="37" applyNumberFormat="1" applyFill="1" applyBorder="1" applyAlignment="1">
      <alignment horizontal="center" wrapText="1"/>
    </xf>
    <xf numFmtId="0" fontId="74" fillId="29" borderId="103" xfId="47" applyFont="1" applyFill="1" applyBorder="1" applyAlignment="1">
      <alignment horizontal="center"/>
    </xf>
    <xf numFmtId="0" fontId="38" fillId="26" borderId="0" xfId="47" applyFont="1" applyFill="1" applyAlignment="1">
      <alignment horizontal="left" vertical="top"/>
    </xf>
    <xf numFmtId="0" fontId="74" fillId="29" borderId="80" xfId="47" applyFont="1" applyFill="1" applyBorder="1" applyAlignment="1">
      <alignment horizontal="left" vertical="top"/>
    </xf>
    <xf numFmtId="166" fontId="2" fillId="26" borderId="89" xfId="47" applyNumberFormat="1" applyFill="1" applyBorder="1" applyAlignment="1">
      <alignment horizontal="left" vertical="top"/>
    </xf>
    <xf numFmtId="166" fontId="2" fillId="26" borderId="0" xfId="0" applyNumberFormat="1" applyFont="1" applyFill="1" applyAlignment="1">
      <alignment horizontal="left" vertical="top" wrapText="1"/>
    </xf>
    <xf numFmtId="166" fontId="2" fillId="26" borderId="0" xfId="0" applyNumberFormat="1" applyFont="1" applyFill="1"/>
    <xf numFmtId="166" fontId="2" fillId="26" borderId="0" xfId="0" applyNumberFormat="1" applyFont="1" applyFill="1" applyAlignment="1">
      <alignment horizontal="center"/>
    </xf>
    <xf numFmtId="164" fontId="2" fillId="26" borderId="0" xfId="0" applyNumberFormat="1" applyFont="1" applyFill="1" applyAlignment="1">
      <alignment horizontal="center"/>
    </xf>
    <xf numFmtId="166" fontId="23" fillId="26" borderId="0" xfId="0" applyNumberFormat="1" applyFont="1" applyFill="1"/>
    <xf numFmtId="166" fontId="2" fillId="26" borderId="0" xfId="0" applyNumberFormat="1" applyFont="1" applyFill="1" applyAlignment="1">
      <alignment horizontal="left"/>
    </xf>
    <xf numFmtId="166" fontId="2" fillId="26" borderId="0" xfId="0" applyNumberFormat="1" applyFont="1" applyFill="1" applyAlignment="1">
      <alignment horizontal="left" indent="1"/>
    </xf>
    <xf numFmtId="166" fontId="2" fillId="26" borderId="0" xfId="0" applyNumberFormat="1" applyFont="1" applyFill="1" applyAlignment="1">
      <alignment horizontal="left" indent="3"/>
    </xf>
    <xf numFmtId="166" fontId="2" fillId="26" borderId="0" xfId="0" applyNumberFormat="1" applyFont="1" applyFill="1" applyAlignment="1">
      <alignment horizontal="right"/>
    </xf>
    <xf numFmtId="0" fontId="51" fillId="0" borderId="22" xfId="0" applyFont="1" applyBorder="1" applyAlignment="1">
      <alignment vertical="center"/>
    </xf>
    <xf numFmtId="0" fontId="2" fillId="27" borderId="0" xfId="37" applyFill="1"/>
    <xf numFmtId="165" fontId="30" fillId="0" borderId="0" xfId="37" applyNumberFormat="1" applyFont="1" applyAlignment="1">
      <alignment horizontal="right" vertical="center"/>
    </xf>
    <xf numFmtId="166" fontId="2" fillId="28" borderId="15" xfId="47" applyNumberFormat="1" applyFill="1" applyBorder="1" applyAlignment="1">
      <alignment horizontal="left" vertical="top"/>
    </xf>
    <xf numFmtId="0" fontId="2" fillId="26" borderId="28" xfId="47" applyFill="1" applyBorder="1" applyAlignment="1">
      <alignment vertical="top" wrapText="1"/>
    </xf>
    <xf numFmtId="0" fontId="2" fillId="26" borderId="29" xfId="47" applyFill="1" applyBorder="1" applyAlignment="1">
      <alignment vertical="top" wrapText="1"/>
    </xf>
    <xf numFmtId="0" fontId="75" fillId="0" borderId="0" xfId="0" applyFont="1" applyAlignment="1">
      <alignment horizontal="left" vertical="center"/>
    </xf>
    <xf numFmtId="0" fontId="21" fillId="0" borderId="25" xfId="37" applyFont="1" applyBorder="1" applyAlignment="1">
      <alignment horizontal="center" vertical="center"/>
    </xf>
    <xf numFmtId="0" fontId="71" fillId="0" borderId="0" xfId="0" applyFont="1" applyAlignment="1">
      <alignment vertical="center"/>
    </xf>
    <xf numFmtId="0" fontId="71" fillId="0" borderId="0" xfId="0" applyFont="1" applyAlignment="1">
      <alignment horizontal="right" vertical="center"/>
    </xf>
    <xf numFmtId="0" fontId="71" fillId="0" borderId="22" xfId="0" applyFont="1" applyBorder="1" applyAlignment="1">
      <alignment vertical="center"/>
    </xf>
    <xf numFmtId="0" fontId="71" fillId="0" borderId="22" xfId="37" applyFont="1" applyBorder="1" applyAlignment="1">
      <alignment vertical="center"/>
    </xf>
    <xf numFmtId="0" fontId="71" fillId="0" borderId="0" xfId="37" applyFont="1" applyAlignment="1">
      <alignment horizontal="right" vertical="center"/>
    </xf>
    <xf numFmtId="0" fontId="71" fillId="26" borderId="0" xfId="0" applyFont="1" applyFill="1" applyAlignment="1">
      <alignment horizontal="right"/>
    </xf>
    <xf numFmtId="0" fontId="71" fillId="0" borderId="22" xfId="0" applyFont="1" applyBorder="1" applyAlignment="1">
      <alignment horizontal="right" vertical="center"/>
    </xf>
    <xf numFmtId="0" fontId="71" fillId="26" borderId="0" xfId="47" applyFont="1" applyFill="1" applyAlignment="1">
      <alignment vertical="center"/>
    </xf>
    <xf numFmtId="0" fontId="71" fillId="26" borderId="0" xfId="47" applyFont="1" applyFill="1" applyAlignment="1">
      <alignment horizontal="right" vertical="center"/>
    </xf>
    <xf numFmtId="0" fontId="30" fillId="0" borderId="0" xfId="47" applyFont="1" applyAlignment="1">
      <alignment vertical="center"/>
    </xf>
    <xf numFmtId="166" fontId="71" fillId="0" borderId="0" xfId="37" applyNumberFormat="1" applyFont="1" applyAlignment="1">
      <alignment vertical="center"/>
    </xf>
    <xf numFmtId="0" fontId="71" fillId="0" borderId="0" xfId="40" applyFont="1" applyAlignment="1">
      <alignment horizontal="left" vertical="center"/>
    </xf>
    <xf numFmtId="0" fontId="71" fillId="0" borderId="0" xfId="40" applyFont="1" applyAlignment="1">
      <alignment horizontal="right" vertical="center"/>
    </xf>
    <xf numFmtId="0" fontId="71" fillId="0" borderId="0" xfId="37" applyFont="1" applyAlignment="1">
      <alignment horizontal="left"/>
    </xf>
    <xf numFmtId="0" fontId="71" fillId="0" borderId="0" xfId="37" applyFont="1" applyAlignment="1">
      <alignment horizontal="right"/>
    </xf>
    <xf numFmtId="0" fontId="71" fillId="26" borderId="0" xfId="0" applyFont="1" applyFill="1" applyAlignment="1">
      <alignment horizontal="left" vertical="center"/>
    </xf>
    <xf numFmtId="0" fontId="30" fillId="0" borderId="0" xfId="0" applyFont="1" applyAlignment="1">
      <alignment wrapText="1"/>
    </xf>
    <xf numFmtId="0" fontId="71" fillId="0" borderId="0" xfId="0" applyFont="1" applyAlignment="1">
      <alignment horizontal="right"/>
    </xf>
    <xf numFmtId="165" fontId="23" fillId="0" borderId="0" xfId="37" applyNumberFormat="1" applyFont="1" applyAlignment="1">
      <alignment horizontal="center" vertical="center"/>
    </xf>
    <xf numFmtId="0" fontId="43" fillId="0" borderId="0" xfId="37" applyFont="1" applyAlignment="1">
      <alignment horizontal="center" vertical="center"/>
    </xf>
    <xf numFmtId="165" fontId="35" fillId="0" borderId="0" xfId="37" applyNumberFormat="1" applyFont="1" applyAlignment="1">
      <alignment horizontal="center" vertical="center"/>
    </xf>
    <xf numFmtId="165" fontId="25" fillId="0" borderId="0" xfId="37" applyNumberFormat="1" applyFont="1" applyAlignment="1">
      <alignment horizontal="center" vertical="center"/>
    </xf>
    <xf numFmtId="165" fontId="25" fillId="0" borderId="0" xfId="0" applyNumberFormat="1" applyFont="1" applyAlignment="1">
      <alignment horizontal="center" vertical="center"/>
    </xf>
    <xf numFmtId="0" fontId="43" fillId="0" borderId="0" xfId="0" applyFont="1" applyAlignment="1">
      <alignment horizontal="center" vertical="center"/>
    </xf>
    <xf numFmtId="0" fontId="30" fillId="26" borderId="0" xfId="0" applyFont="1" applyFill="1" applyAlignment="1">
      <alignment horizontal="left"/>
    </xf>
    <xf numFmtId="0" fontId="51" fillId="26" borderId="0" xfId="37" applyFont="1" applyFill="1" applyAlignment="1">
      <alignment vertical="top"/>
    </xf>
    <xf numFmtId="0" fontId="21" fillId="0" borderId="37" xfId="37" applyFont="1" applyBorder="1" applyAlignment="1">
      <alignment horizontal="center" vertical="center"/>
    </xf>
    <xf numFmtId="0" fontId="51" fillId="32" borderId="0" xfId="47" applyFont="1" applyFill="1"/>
    <xf numFmtId="0" fontId="77" fillId="0" borderId="0" xfId="0" applyFont="1" applyAlignment="1">
      <alignment vertical="center"/>
    </xf>
    <xf numFmtId="0" fontId="79" fillId="26" borderId="0" xfId="47" applyFont="1" applyFill="1"/>
    <xf numFmtId="0" fontId="2" fillId="0" borderId="21" xfId="0" applyFont="1" applyBorder="1" applyAlignment="1">
      <alignment horizontal="left" vertical="top" wrapText="1"/>
    </xf>
    <xf numFmtId="0" fontId="2" fillId="0" borderId="10" xfId="0" applyFont="1" applyBorder="1" applyAlignment="1">
      <alignment horizontal="left" vertical="top" wrapText="1"/>
    </xf>
    <xf numFmtId="166" fontId="2" fillId="28" borderId="17" xfId="0" applyNumberFormat="1" applyFont="1" applyFill="1" applyBorder="1" applyAlignment="1">
      <alignment horizontal="left" vertical="center"/>
    </xf>
    <xf numFmtId="0" fontId="2" fillId="0" borderId="0" xfId="0" applyFont="1" applyAlignment="1">
      <alignment horizontal="left" vertical="top" wrapText="1"/>
    </xf>
    <xf numFmtId="0" fontId="30" fillId="0" borderId="0" xfId="37" applyFont="1" applyAlignment="1">
      <alignment horizontal="center" vertical="center" wrapText="1"/>
    </xf>
    <xf numFmtId="0" fontId="0" fillId="26" borderId="0" xfId="48" applyFont="1" applyFill="1" applyAlignment="1">
      <alignment horizontal="center"/>
    </xf>
    <xf numFmtId="0" fontId="25" fillId="26" borderId="0" xfId="48" applyFont="1" applyFill="1" applyAlignment="1">
      <alignment horizontal="right"/>
    </xf>
    <xf numFmtId="0" fontId="2" fillId="26" borderId="0" xfId="48" applyFont="1" applyFill="1" applyAlignment="1">
      <alignment horizontal="left" vertical="center"/>
    </xf>
    <xf numFmtId="0" fontId="2" fillId="26" borderId="0" xfId="48" applyFont="1" applyFill="1" applyAlignment="1">
      <alignment vertical="center"/>
    </xf>
    <xf numFmtId="0" fontId="2" fillId="26" borderId="0" xfId="48" applyFont="1" applyFill="1" applyAlignment="1">
      <alignment horizontal="left" vertical="center" indent="1"/>
    </xf>
    <xf numFmtId="0" fontId="2" fillId="26" borderId="0" xfId="48" applyFont="1" applyFill="1" applyAlignment="1">
      <alignment vertical="center" wrapText="1"/>
    </xf>
    <xf numFmtId="0" fontId="2" fillId="26" borderId="0" xfId="48" applyFont="1" applyFill="1" applyAlignment="1">
      <alignment horizontal="left"/>
    </xf>
    <xf numFmtId="0" fontId="23" fillId="26" borderId="0" xfId="48" applyFont="1" applyFill="1" applyAlignment="1">
      <alignment horizontal="center"/>
    </xf>
    <xf numFmtId="0" fontId="23" fillId="26" borderId="0" xfId="48" applyFont="1" applyFill="1"/>
    <xf numFmtId="0" fontId="23" fillId="26" borderId="0" xfId="48" applyFont="1" applyFill="1" applyAlignment="1">
      <alignment horizontal="center" vertical="center"/>
    </xf>
    <xf numFmtId="0" fontId="0" fillId="26" borderId="0" xfId="48" applyFont="1" applyFill="1" applyAlignment="1">
      <alignment vertical="top" wrapText="1"/>
    </xf>
    <xf numFmtId="0" fontId="2" fillId="26" borderId="0" xfId="48" applyFont="1" applyFill="1" applyAlignment="1">
      <alignment horizontal="center" vertical="center"/>
    </xf>
    <xf numFmtId="0" fontId="51" fillId="26" borderId="0" xfId="48" applyFont="1" applyFill="1" applyAlignment="1">
      <alignment horizontal="left"/>
    </xf>
    <xf numFmtId="0" fontId="51" fillId="26" borderId="0" xfId="48" applyFont="1" applyFill="1" applyAlignment="1">
      <alignment horizontal="right"/>
    </xf>
    <xf numFmtId="0" fontId="66" fillId="26" borderId="0" xfId="48" applyFont="1" applyFill="1" applyAlignment="1">
      <alignment vertical="top" wrapText="1"/>
    </xf>
    <xf numFmtId="0" fontId="2" fillId="26" borderId="0" xfId="48" applyFont="1" applyFill="1" applyAlignment="1">
      <alignment vertical="top" wrapText="1"/>
    </xf>
    <xf numFmtId="0" fontId="27" fillId="0" borderId="23" xfId="0" applyFont="1" applyBorder="1"/>
    <xf numFmtId="165" fontId="21" fillId="0" borderId="20" xfId="0" applyNumberFormat="1" applyFont="1" applyBorder="1"/>
    <xf numFmtId="0" fontId="30" fillId="0" borderId="0" xfId="0" applyFont="1" applyAlignment="1">
      <alignment vertical="top" wrapText="1"/>
    </xf>
    <xf numFmtId="0" fontId="2" fillId="0" borderId="0" xfId="0" applyFont="1" applyAlignment="1">
      <alignment vertical="top"/>
    </xf>
    <xf numFmtId="0" fontId="23" fillId="0" borderId="0" xfId="0" applyFont="1" applyAlignment="1">
      <alignment horizontal="center" vertical="top"/>
    </xf>
    <xf numFmtId="0" fontId="25" fillId="0" borderId="0" xfId="37" applyFont="1" applyAlignment="1">
      <alignment horizontal="center" vertical="center"/>
    </xf>
    <xf numFmtId="0" fontId="28" fillId="0" borderId="0" xfId="0" applyFont="1" applyAlignment="1">
      <alignment horizontal="center" vertical="center"/>
    </xf>
    <xf numFmtId="0" fontId="2" fillId="0" borderId="0" xfId="0" applyFont="1" applyAlignment="1">
      <alignment horizontal="center" vertical="top" wrapText="1"/>
    </xf>
    <xf numFmtId="166" fontId="71" fillId="0" borderId="0" xfId="37" applyNumberFormat="1" applyFont="1" applyAlignment="1">
      <alignment horizontal="center" vertical="center"/>
    </xf>
    <xf numFmtId="0" fontId="42" fillId="0" borderId="0" xfId="37" applyFont="1" applyAlignment="1">
      <alignment vertical="center"/>
    </xf>
    <xf numFmtId="0" fontId="28" fillId="0" borderId="0" xfId="37" applyFont="1" applyAlignment="1">
      <alignment vertical="center"/>
    </xf>
    <xf numFmtId="0" fontId="28" fillId="0" borderId="0" xfId="37" applyFont="1" applyAlignment="1">
      <alignment horizontal="center" vertical="center"/>
    </xf>
    <xf numFmtId="0" fontId="28" fillId="0" borderId="0" xfId="0" applyFont="1" applyAlignment="1">
      <alignment horizontal="right" vertical="center"/>
    </xf>
    <xf numFmtId="0" fontId="43" fillId="28" borderId="0" xfId="37" applyFont="1" applyFill="1" applyAlignment="1">
      <alignment vertical="center"/>
    </xf>
    <xf numFmtId="0" fontId="23" fillId="0" borderId="27" xfId="37" applyFont="1" applyBorder="1" applyAlignment="1">
      <alignment vertical="center"/>
    </xf>
    <xf numFmtId="0" fontId="71" fillId="26" borderId="0" xfId="47" applyFont="1" applyFill="1" applyAlignment="1">
      <alignment horizontal="left" vertical="center"/>
    </xf>
    <xf numFmtId="0" fontId="51" fillId="26" borderId="0" xfId="37" applyFont="1" applyFill="1"/>
    <xf numFmtId="166" fontId="52" fillId="26" borderId="0" xfId="37" applyNumberFormat="1" applyFont="1" applyFill="1" applyAlignment="1">
      <alignment horizontal="center"/>
    </xf>
    <xf numFmtId="39" fontId="23" fillId="26" borderId="0" xfId="47" applyNumberFormat="1" applyFont="1" applyFill="1" applyAlignment="1">
      <alignment horizontal="center"/>
    </xf>
    <xf numFmtId="0" fontId="51" fillId="26" borderId="0" xfId="47" applyFont="1" applyFill="1" applyAlignment="1">
      <alignment horizontal="center"/>
    </xf>
    <xf numFmtId="39" fontId="2" fillId="26" borderId="0" xfId="47" applyNumberFormat="1" applyFill="1" applyAlignment="1">
      <alignment horizontal="center"/>
    </xf>
    <xf numFmtId="0" fontId="51" fillId="26" borderId="0" xfId="47" applyFont="1" applyFill="1" applyAlignment="1">
      <alignment vertical="center"/>
    </xf>
    <xf numFmtId="0" fontId="51" fillId="26" borderId="0" xfId="47" applyFont="1" applyFill="1" applyAlignment="1">
      <alignment horizontal="right" vertical="center"/>
    </xf>
    <xf numFmtId="0" fontId="2" fillId="26" borderId="0" xfId="47" applyFill="1" applyAlignment="1">
      <alignment horizontal="left" indent="2"/>
    </xf>
    <xf numFmtId="49" fontId="2" fillId="26" borderId="0" xfId="47" applyNumberFormat="1" applyFill="1" applyAlignment="1">
      <alignment horizontal="center"/>
    </xf>
    <xf numFmtId="0" fontId="2" fillId="0" borderId="0" xfId="47"/>
    <xf numFmtId="0" fontId="32" fillId="28" borderId="0" xfId="37" applyFont="1" applyFill="1" applyAlignment="1">
      <alignment horizontal="left" vertical="top" wrapText="1"/>
    </xf>
    <xf numFmtId="0" fontId="2" fillId="28" borderId="0" xfId="37" applyFill="1"/>
    <xf numFmtId="0" fontId="23" fillId="28" borderId="0" xfId="37" applyFont="1" applyFill="1"/>
    <xf numFmtId="0" fontId="2" fillId="28" borderId="0" xfId="37" applyFill="1" applyAlignment="1">
      <alignment horizontal="center"/>
    </xf>
    <xf numFmtId="2" fontId="2" fillId="28" borderId="0" xfId="37" applyNumberFormat="1" applyFill="1" applyAlignment="1">
      <alignment horizontal="center"/>
    </xf>
    <xf numFmtId="0" fontId="2" fillId="28" borderId="0" xfId="37" applyFill="1" applyAlignment="1">
      <alignment horizontal="left" indent="2"/>
    </xf>
    <xf numFmtId="166" fontId="23" fillId="28" borderId="0" xfId="37" applyNumberFormat="1" applyFont="1" applyFill="1" applyAlignment="1">
      <alignment horizontal="center"/>
    </xf>
    <xf numFmtId="0" fontId="2" fillId="28" borderId="0" xfId="47" applyFill="1"/>
    <xf numFmtId="0" fontId="2" fillId="28" borderId="0" xfId="47" applyFill="1" applyAlignment="1">
      <alignment horizontal="right"/>
    </xf>
    <xf numFmtId="2" fontId="2" fillId="26" borderId="0" xfId="37" applyNumberFormat="1" applyFill="1" applyAlignment="1">
      <alignment horizontal="center"/>
    </xf>
    <xf numFmtId="0" fontId="2" fillId="26" borderId="0" xfId="37" applyFill="1" applyAlignment="1">
      <alignment horizontal="center"/>
    </xf>
    <xf numFmtId="2" fontId="2" fillId="26" borderId="0" xfId="37" applyNumberFormat="1" applyFill="1" applyAlignment="1">
      <alignment horizontal="center" wrapText="1"/>
    </xf>
    <xf numFmtId="166" fontId="23" fillId="26" borderId="0" xfId="37" applyNumberFormat="1" applyFont="1" applyFill="1" applyAlignment="1">
      <alignment horizontal="center"/>
    </xf>
    <xf numFmtId="2" fontId="2" fillId="28" borderId="0" xfId="37" applyNumberFormat="1" applyFill="1" applyAlignment="1">
      <alignment horizontal="center" wrapText="1"/>
    </xf>
    <xf numFmtId="0" fontId="2" fillId="26" borderId="0" xfId="37" applyFill="1" applyAlignment="1">
      <alignment horizontal="right"/>
    </xf>
    <xf numFmtId="0" fontId="23" fillId="26" borderId="0" xfId="37" applyFont="1" applyFill="1"/>
    <xf numFmtId="2" fontId="23" fillId="26" borderId="0" xfId="37" applyNumberFormat="1" applyFont="1" applyFill="1" applyAlignment="1">
      <alignment horizontal="center"/>
    </xf>
    <xf numFmtId="0" fontId="23" fillId="26" borderId="0" xfId="47" applyFont="1" applyFill="1" applyAlignment="1">
      <alignment horizontal="right"/>
    </xf>
    <xf numFmtId="0" fontId="23" fillId="26" borderId="0" xfId="47" applyFont="1" applyFill="1" applyAlignment="1">
      <alignment horizontal="center"/>
    </xf>
    <xf numFmtId="0" fontId="2" fillId="26" borderId="0" xfId="47" applyFill="1" applyAlignment="1">
      <alignment horizontal="left" indent="1"/>
    </xf>
    <xf numFmtId="0" fontId="52" fillId="26" borderId="0" xfId="47" applyFont="1" applyFill="1"/>
    <xf numFmtId="2" fontId="52" fillId="26" borderId="0" xfId="47" applyNumberFormat="1" applyFont="1" applyFill="1" applyAlignment="1">
      <alignment horizontal="center"/>
    </xf>
    <xf numFmtId="0" fontId="2" fillId="26" borderId="0" xfId="37" applyFill="1" applyAlignment="1">
      <alignment horizontal="left" indent="2"/>
    </xf>
    <xf numFmtId="166" fontId="52" fillId="26" borderId="0" xfId="47" applyNumberFormat="1" applyFont="1" applyFill="1" applyAlignment="1">
      <alignment horizontal="center"/>
    </xf>
    <xf numFmtId="0" fontId="2" fillId="28" borderId="0" xfId="47" applyFill="1" applyAlignment="1">
      <alignment horizontal="center"/>
    </xf>
    <xf numFmtId="166" fontId="23" fillId="28" borderId="0" xfId="47" applyNumberFormat="1" applyFont="1" applyFill="1" applyAlignment="1">
      <alignment horizontal="center"/>
    </xf>
    <xf numFmtId="0" fontId="1" fillId="0" borderId="0" xfId="39" applyFont="1"/>
    <xf numFmtId="0" fontId="71" fillId="0" borderId="0" xfId="0" applyFont="1" applyAlignment="1">
      <alignment horizontal="left" vertical="center"/>
    </xf>
    <xf numFmtId="167" fontId="2" fillId="26" borderId="0" xfId="47" applyNumberFormat="1" applyFill="1" applyAlignment="1">
      <alignment horizontal="center" vertical="center"/>
    </xf>
    <xf numFmtId="2" fontId="2" fillId="26" borderId="0" xfId="47" applyNumberFormat="1" applyFill="1" applyAlignment="1">
      <alignment horizontal="center" vertical="center"/>
    </xf>
    <xf numFmtId="0" fontId="32" fillId="26" borderId="0" xfId="47" applyFont="1" applyFill="1" applyAlignment="1">
      <alignment vertical="center"/>
    </xf>
    <xf numFmtId="2" fontId="51" fillId="0" borderId="24" xfId="0" applyNumberFormat="1" applyFont="1" applyBorder="1" applyAlignment="1">
      <alignment horizontal="left" vertical="center"/>
    </xf>
    <xf numFmtId="0" fontId="51" fillId="0" borderId="33" xfId="0" applyFont="1" applyBorder="1" applyAlignment="1">
      <alignment horizontal="center" vertical="center"/>
    </xf>
    <xf numFmtId="1" fontId="51" fillId="0" borderId="21" xfId="37" applyNumberFormat="1" applyFont="1" applyBorder="1" applyAlignment="1">
      <alignment horizontal="left" vertical="center"/>
    </xf>
    <xf numFmtId="1" fontId="51" fillId="0" borderId="10" xfId="37" applyNumberFormat="1" applyFont="1" applyBorder="1" applyAlignment="1">
      <alignment horizontal="left" vertical="center"/>
    </xf>
    <xf numFmtId="0" fontId="51" fillId="0" borderId="0" xfId="37" applyFont="1" applyAlignment="1">
      <alignment vertical="top" wrapText="1"/>
    </xf>
    <xf numFmtId="0" fontId="51" fillId="0" borderId="21" xfId="37" applyFont="1" applyBorder="1" applyAlignment="1">
      <alignment vertical="top" wrapText="1"/>
    </xf>
    <xf numFmtId="0" fontId="51" fillId="0" borderId="10" xfId="37" applyFont="1" applyBorder="1" applyAlignment="1">
      <alignment vertical="top" wrapText="1"/>
    </xf>
    <xf numFmtId="0" fontId="70" fillId="0" borderId="21" xfId="37" applyFont="1" applyBorder="1" applyAlignment="1">
      <alignment vertical="center" wrapText="1"/>
    </xf>
    <xf numFmtId="0" fontId="70" fillId="0" borderId="0" xfId="37" applyFont="1" applyAlignment="1">
      <alignment vertical="center" wrapText="1"/>
    </xf>
    <xf numFmtId="0" fontId="70" fillId="0" borderId="10" xfId="37" applyFont="1" applyBorder="1" applyAlignment="1">
      <alignment vertical="center" wrapText="1"/>
    </xf>
    <xf numFmtId="0" fontId="51" fillId="0" borderId="14" xfId="37" applyFont="1" applyBorder="1" applyAlignment="1">
      <alignment horizontal="left" vertical="center"/>
    </xf>
    <xf numFmtId="0" fontId="51" fillId="0" borderId="11" xfId="37" applyFont="1" applyBorder="1" applyAlignment="1">
      <alignment horizontal="center" vertical="center"/>
    </xf>
    <xf numFmtId="1" fontId="51" fillId="0" borderId="20" xfId="37" applyNumberFormat="1" applyFont="1" applyBorder="1" applyAlignment="1">
      <alignment horizontal="left" vertical="center"/>
    </xf>
    <xf numFmtId="0" fontId="71" fillId="0" borderId="0" xfId="37" applyFont="1" applyAlignment="1">
      <alignment vertical="top"/>
    </xf>
    <xf numFmtId="0" fontId="51" fillId="0" borderId="10" xfId="37" applyFont="1" applyBorder="1" applyAlignment="1">
      <alignment horizontal="center" vertical="center"/>
    </xf>
    <xf numFmtId="0" fontId="71" fillId="0" borderId="21" xfId="37" applyFont="1" applyBorder="1" applyAlignment="1">
      <alignment horizontal="center" vertical="center"/>
    </xf>
    <xf numFmtId="0" fontId="71" fillId="0" borderId="29" xfId="37" applyFont="1" applyBorder="1" applyAlignment="1">
      <alignment horizontal="center" vertical="center"/>
    </xf>
    <xf numFmtId="0" fontId="71" fillId="0" borderId="22" xfId="37" applyFont="1" applyBorder="1" applyAlignment="1">
      <alignment horizontal="center" vertical="center"/>
    </xf>
    <xf numFmtId="166" fontId="51" fillId="0" borderId="17" xfId="37" applyNumberFormat="1" applyFont="1" applyBorder="1" applyAlignment="1">
      <alignment horizontal="left" vertical="center"/>
    </xf>
    <xf numFmtId="0" fontId="51" fillId="0" borderId="18" xfId="37" applyFont="1" applyBorder="1" applyAlignment="1">
      <alignment vertical="center"/>
    </xf>
    <xf numFmtId="0" fontId="51" fillId="0" borderId="18" xfId="37" applyFont="1" applyBorder="1"/>
    <xf numFmtId="0" fontId="51" fillId="0" borderId="18" xfId="37" applyFont="1" applyBorder="1" applyAlignment="1">
      <alignment horizontal="right" vertical="center"/>
    </xf>
    <xf numFmtId="0" fontId="51" fillId="0" borderId="17" xfId="37" applyFont="1" applyBorder="1"/>
    <xf numFmtId="0" fontId="51" fillId="0" borderId="16" xfId="37" applyFont="1" applyBorder="1"/>
    <xf numFmtId="166" fontId="51" fillId="0" borderId="23" xfId="37" applyNumberFormat="1" applyFont="1" applyBorder="1" applyAlignment="1">
      <alignment horizontal="left" vertical="top"/>
    </xf>
    <xf numFmtId="0" fontId="51" fillId="0" borderId="22" xfId="37" applyFont="1" applyBorder="1" applyAlignment="1">
      <alignment vertical="top"/>
    </xf>
    <xf numFmtId="0" fontId="51" fillId="0" borderId="22" xfId="37" applyFont="1" applyBorder="1" applyAlignment="1">
      <alignment horizontal="right" vertical="top"/>
    </xf>
    <xf numFmtId="0" fontId="51" fillId="0" borderId="23" xfId="37" applyFont="1" applyBorder="1" applyAlignment="1">
      <alignment vertical="top"/>
    </xf>
    <xf numFmtId="0" fontId="51" fillId="0" borderId="20" xfId="37" applyFont="1" applyBorder="1" applyAlignment="1">
      <alignment vertical="top"/>
    </xf>
    <xf numFmtId="0" fontId="51" fillId="0" borderId="0" xfId="47" applyFont="1"/>
    <xf numFmtId="0" fontId="51" fillId="0" borderId="0" xfId="47" applyFont="1" applyAlignment="1">
      <alignment horizontal="center"/>
    </xf>
    <xf numFmtId="0" fontId="51" fillId="26" borderId="21" xfId="37" applyFont="1" applyFill="1" applyBorder="1" applyAlignment="1">
      <alignment vertical="top" wrapText="1"/>
    </xf>
    <xf numFmtId="0" fontId="51" fillId="26" borderId="0" xfId="37" applyFont="1" applyFill="1" applyAlignment="1">
      <alignment vertical="top" wrapText="1"/>
    </xf>
    <xf numFmtId="0" fontId="51" fillId="26" borderId="10" xfId="37" applyFont="1" applyFill="1" applyBorder="1" applyAlignment="1">
      <alignment vertical="top" wrapText="1"/>
    </xf>
    <xf numFmtId="0" fontId="70" fillId="26" borderId="21" xfId="37" applyFont="1" applyFill="1" applyBorder="1" applyAlignment="1">
      <alignment vertical="top" wrapText="1"/>
    </xf>
    <xf numFmtId="0" fontId="70" fillId="26" borderId="0" xfId="37" applyFont="1" applyFill="1" applyAlignment="1">
      <alignment vertical="top" wrapText="1"/>
    </xf>
    <xf numFmtId="0" fontId="70" fillId="26" borderId="10" xfId="37" applyFont="1" applyFill="1" applyBorder="1" applyAlignment="1">
      <alignment vertical="top" wrapText="1"/>
    </xf>
    <xf numFmtId="166" fontId="51" fillId="26" borderId="16" xfId="0" applyNumberFormat="1" applyFont="1" applyFill="1" applyBorder="1" applyAlignment="1">
      <alignment horizontal="center" vertical="top" wrapText="1"/>
    </xf>
    <xf numFmtId="0" fontId="51" fillId="26" borderId="12" xfId="0" applyFont="1" applyFill="1" applyBorder="1" applyAlignment="1">
      <alignment vertical="top" wrapText="1"/>
    </xf>
    <xf numFmtId="0" fontId="51" fillId="26" borderId="21" xfId="0" applyFont="1" applyFill="1" applyBorder="1" applyAlignment="1">
      <alignment vertical="top" wrapText="1"/>
    </xf>
    <xf numFmtId="0" fontId="51" fillId="26" borderId="10" xfId="0" applyFont="1" applyFill="1" applyBorder="1" applyAlignment="1">
      <alignment vertical="top" wrapText="1"/>
    </xf>
    <xf numFmtId="0" fontId="51" fillId="26" borderId="14" xfId="0" applyFont="1" applyFill="1" applyBorder="1" applyAlignment="1">
      <alignment vertical="center" wrapText="1"/>
    </xf>
    <xf numFmtId="0" fontId="51" fillId="26" borderId="30" xfId="0" applyFont="1" applyFill="1" applyBorder="1" applyAlignment="1">
      <alignment horizontal="center" vertical="center"/>
    </xf>
    <xf numFmtId="0" fontId="2" fillId="26" borderId="14" xfId="0" applyFont="1" applyFill="1" applyBorder="1" applyAlignment="1">
      <alignment horizontal="right" vertical="center" wrapText="1"/>
    </xf>
    <xf numFmtId="0" fontId="2" fillId="26" borderId="27" xfId="0" applyFont="1" applyFill="1" applyBorder="1" applyAlignment="1">
      <alignment horizontal="center" vertical="center" wrapText="1"/>
    </xf>
    <xf numFmtId="0" fontId="2" fillId="26" borderId="11" xfId="0" applyFont="1" applyFill="1" applyBorder="1" applyAlignment="1">
      <alignment horizontal="center" vertical="center" wrapText="1"/>
    </xf>
    <xf numFmtId="0" fontId="2" fillId="26" borderId="13" xfId="0" applyFont="1" applyFill="1" applyBorder="1" applyAlignment="1">
      <alignment horizontal="right" vertical="center" wrapText="1"/>
    </xf>
    <xf numFmtId="0" fontId="2" fillId="26" borderId="30" xfId="0" applyFont="1" applyFill="1" applyBorder="1" applyAlignment="1">
      <alignment horizontal="center" vertical="center" wrapText="1"/>
    </xf>
    <xf numFmtId="0" fontId="2" fillId="26" borderId="26" xfId="0" applyFont="1" applyFill="1" applyBorder="1" applyAlignment="1">
      <alignment horizontal="center" vertical="center" wrapText="1"/>
    </xf>
    <xf numFmtId="0" fontId="51" fillId="26" borderId="11" xfId="0" applyFont="1" applyFill="1" applyBorder="1" applyAlignment="1">
      <alignment horizontal="center" vertical="center" wrapText="1"/>
    </xf>
    <xf numFmtId="0" fontId="72" fillId="26" borderId="23" xfId="0" applyFont="1" applyFill="1" applyBorder="1" applyAlignment="1">
      <alignment wrapText="1"/>
    </xf>
    <xf numFmtId="0" fontId="70" fillId="26" borderId="20" xfId="0" applyFont="1" applyFill="1" applyBorder="1" applyAlignment="1">
      <alignment horizontal="left" wrapText="1"/>
    </xf>
    <xf numFmtId="0" fontId="70" fillId="26" borderId="20" xfId="0" applyFont="1" applyFill="1" applyBorder="1" applyAlignment="1">
      <alignment wrapText="1"/>
    </xf>
    <xf numFmtId="0" fontId="30" fillId="26" borderId="19" xfId="0" applyFont="1" applyFill="1" applyBorder="1" applyAlignment="1">
      <alignment wrapText="1"/>
    </xf>
    <xf numFmtId="0" fontId="21" fillId="26" borderId="21" xfId="0" applyFont="1" applyFill="1" applyBorder="1" applyAlignment="1">
      <alignment vertical="center"/>
    </xf>
    <xf numFmtId="0" fontId="21" fillId="26" borderId="0" xfId="0" applyFont="1" applyFill="1" applyAlignment="1">
      <alignment vertical="center"/>
    </xf>
    <xf numFmtId="0" fontId="21" fillId="26" borderId="10" xfId="0" applyFont="1" applyFill="1" applyBorder="1" applyAlignment="1">
      <alignment vertical="center"/>
    </xf>
    <xf numFmtId="0" fontId="24" fillId="26" borderId="30" xfId="37" applyFont="1" applyFill="1" applyBorder="1" applyAlignment="1">
      <alignment horizontal="center" vertical="center"/>
    </xf>
    <xf numFmtId="0" fontId="24" fillId="26" borderId="22" xfId="37" applyFont="1" applyFill="1" applyBorder="1" applyAlignment="1">
      <alignment horizontal="center" vertical="center"/>
    </xf>
    <xf numFmtId="0" fontId="2" fillId="26" borderId="22" xfId="37" applyFill="1" applyBorder="1" applyAlignment="1">
      <alignment horizontal="center" vertical="top"/>
    </xf>
    <xf numFmtId="0" fontId="51" fillId="0" borderId="18" xfId="37" applyFont="1" applyBorder="1" applyAlignment="1">
      <alignment horizontal="center" vertical="center"/>
    </xf>
    <xf numFmtId="0" fontId="51" fillId="0" borderId="22" xfId="37" applyFont="1" applyBorder="1" applyAlignment="1">
      <alignment horizontal="center" vertical="top"/>
    </xf>
    <xf numFmtId="166" fontId="2" fillId="0" borderId="33" xfId="40" applyNumberFormat="1" applyFont="1" applyBorder="1" applyAlignment="1">
      <alignment horizontal="left" vertical="center"/>
    </xf>
    <xf numFmtId="166" fontId="2" fillId="0" borderId="17" xfId="40" applyNumberFormat="1" applyFont="1" applyBorder="1" applyAlignment="1">
      <alignment horizontal="left" vertical="center"/>
    </xf>
    <xf numFmtId="166" fontId="2" fillId="0" borderId="21" xfId="40" applyNumberFormat="1" applyFont="1" applyBorder="1" applyAlignment="1">
      <alignment horizontal="left" vertical="center"/>
    </xf>
    <xf numFmtId="166" fontId="2" fillId="0" borderId="17" xfId="0" applyNumberFormat="1" applyFont="1" applyBorder="1" applyAlignment="1">
      <alignment horizontal="left" vertical="center" wrapText="1"/>
    </xf>
    <xf numFmtId="0" fontId="51" fillId="26" borderId="98" xfId="47" applyFont="1" applyFill="1" applyBorder="1"/>
    <xf numFmtId="0" fontId="51" fillId="26" borderId="101" xfId="47" applyFont="1" applyFill="1" applyBorder="1"/>
    <xf numFmtId="2" fontId="2" fillId="27" borderId="24" xfId="0" applyNumberFormat="1" applyFont="1" applyFill="1" applyBorder="1" applyAlignment="1">
      <alignment horizontal="left" vertical="center" wrapText="1"/>
    </xf>
    <xf numFmtId="2" fontId="2" fillId="27" borderId="24" xfId="0" applyNumberFormat="1" applyFont="1" applyFill="1" applyBorder="1" applyAlignment="1">
      <alignment vertical="center" wrapText="1"/>
    </xf>
    <xf numFmtId="0" fontId="51" fillId="26" borderId="0" xfId="47" applyFont="1" applyFill="1" applyAlignment="1">
      <alignment horizontal="right"/>
    </xf>
    <xf numFmtId="0" fontId="2" fillId="0" borderId="31" xfId="37" applyBorder="1" applyAlignment="1">
      <alignment horizontal="center" vertical="center"/>
    </xf>
    <xf numFmtId="166" fontId="24" fillId="0" borderId="0" xfId="40" applyNumberFormat="1" applyFont="1" applyAlignment="1">
      <alignment horizontal="center" vertical="center"/>
    </xf>
    <xf numFmtId="0" fontId="24" fillId="0" borderId="0" xfId="40" applyFont="1" applyAlignment="1">
      <alignment horizontal="left" vertical="center"/>
    </xf>
    <xf numFmtId="0" fontId="24" fillId="0" borderId="0" xfId="40" applyFont="1" applyAlignment="1">
      <alignment horizontal="center" vertical="center"/>
    </xf>
    <xf numFmtId="0" fontId="24" fillId="0" borderId="0" xfId="40" applyFont="1" applyAlignment="1">
      <alignment vertical="center"/>
    </xf>
    <xf numFmtId="0" fontId="24" fillId="0" borderId="0" xfId="40" applyFont="1" applyAlignment="1">
      <alignment horizontal="center" vertical="center" wrapText="1"/>
    </xf>
    <xf numFmtId="0" fontId="24" fillId="0" borderId="0" xfId="40" applyFont="1" applyAlignment="1">
      <alignment horizontal="left" vertical="center" wrapText="1"/>
    </xf>
    <xf numFmtId="0" fontId="24" fillId="0" borderId="31" xfId="0" applyFont="1" applyBorder="1" applyAlignment="1">
      <alignment vertical="center"/>
    </xf>
    <xf numFmtId="0" fontId="80" fillId="0" borderId="0" xfId="40" applyFont="1" applyAlignment="1">
      <alignment horizontal="center" vertical="center"/>
    </xf>
    <xf numFmtId="0" fontId="23" fillId="0" borderId="27" xfId="0" applyFont="1" applyBorder="1" applyAlignment="1">
      <alignment vertical="center"/>
    </xf>
    <xf numFmtId="0" fontId="23" fillId="0" borderId="27" xfId="40" applyFont="1" applyBorder="1" applyAlignment="1">
      <alignment horizontal="center" vertical="center"/>
    </xf>
    <xf numFmtId="0" fontId="2" fillId="0" borderId="27" xfId="40" applyFont="1" applyBorder="1" applyAlignment="1">
      <alignment horizontal="center" vertical="center"/>
    </xf>
    <xf numFmtId="0" fontId="21" fillId="0" borderId="0" xfId="37" applyFont="1"/>
    <xf numFmtId="0" fontId="30" fillId="26" borderId="22" xfId="37" applyFont="1" applyFill="1" applyBorder="1" applyAlignment="1">
      <alignment vertical="center"/>
    </xf>
    <xf numFmtId="0" fontId="70" fillId="0" borderId="22" xfId="37" applyFont="1" applyBorder="1" applyAlignment="1">
      <alignment vertical="center"/>
    </xf>
    <xf numFmtId="0" fontId="24" fillId="26" borderId="0" xfId="37" applyFont="1" applyFill="1" applyAlignment="1">
      <alignment horizontal="center" vertical="center"/>
    </xf>
    <xf numFmtId="0" fontId="21" fillId="0" borderId="18" xfId="0" applyFont="1" applyBorder="1" applyAlignment="1">
      <alignment vertical="center"/>
    </xf>
    <xf numFmtId="165" fontId="23" fillId="0" borderId="12" xfId="0" applyNumberFormat="1" applyFont="1" applyBorder="1" applyAlignment="1">
      <alignment horizontal="center" vertical="center"/>
    </xf>
    <xf numFmtId="1" fontId="23" fillId="0" borderId="18" xfId="0" applyNumberFormat="1" applyFont="1" applyBorder="1" applyAlignment="1">
      <alignment horizontal="center" vertical="center"/>
    </xf>
    <xf numFmtId="166" fontId="2" fillId="26" borderId="0" xfId="0" applyNumberFormat="1" applyFont="1" applyFill="1" applyAlignment="1">
      <alignment horizontal="left" indent="2"/>
    </xf>
    <xf numFmtId="164" fontId="2" fillId="26" borderId="0" xfId="0" applyNumberFormat="1" applyFont="1" applyFill="1" applyAlignment="1">
      <alignment horizontal="right"/>
    </xf>
    <xf numFmtId="166" fontId="2" fillId="26" borderId="0" xfId="0" applyNumberFormat="1" applyFont="1" applyFill="1" applyAlignment="1">
      <alignment vertical="top" wrapText="1"/>
    </xf>
    <xf numFmtId="0" fontId="30" fillId="0" borderId="21" xfId="0" applyFont="1" applyBorder="1" applyAlignment="1">
      <alignment wrapText="1"/>
    </xf>
    <xf numFmtId="0" fontId="51" fillId="0" borderId="29" xfId="37" applyFont="1" applyBorder="1" applyAlignment="1">
      <alignment horizontal="center" vertical="center"/>
    </xf>
    <xf numFmtId="0" fontId="37" fillId="0" borderId="0" xfId="0" applyFont="1" applyAlignment="1">
      <alignment horizontal="left" vertical="center"/>
    </xf>
    <xf numFmtId="167" fontId="2" fillId="27" borderId="24" xfId="47" applyNumberFormat="1" applyFill="1" applyBorder="1" applyAlignment="1">
      <alignment horizontal="center" vertical="center"/>
    </xf>
    <xf numFmtId="2" fontId="2" fillId="27" borderId="33" xfId="47" applyNumberFormat="1" applyFill="1" applyBorder="1" applyAlignment="1">
      <alignment horizontal="left" vertical="center"/>
    </xf>
    <xf numFmtId="0" fontId="2" fillId="27" borderId="24" xfId="47" applyFill="1" applyBorder="1" applyAlignment="1">
      <alignment vertical="center"/>
    </xf>
    <xf numFmtId="0" fontId="2" fillId="27" borderId="25" xfId="47" applyFill="1" applyBorder="1" applyAlignment="1">
      <alignment vertical="center"/>
    </xf>
    <xf numFmtId="0" fontId="2" fillId="27" borderId="25" xfId="47" applyFill="1" applyBorder="1" applyAlignment="1">
      <alignment horizontal="left" vertical="center"/>
    </xf>
    <xf numFmtId="0" fontId="2" fillId="0" borderId="14" xfId="37" applyBorder="1" applyAlignment="1">
      <alignment horizontal="left" vertical="center" wrapText="1"/>
    </xf>
    <xf numFmtId="0" fontId="21" fillId="0" borderId="33" xfId="37" applyFont="1" applyBorder="1" applyAlignment="1">
      <alignment horizontal="center" vertical="center"/>
    </xf>
    <xf numFmtId="0" fontId="2" fillId="0" borderId="0" xfId="0" applyFont="1" applyAlignment="1">
      <alignment horizontal="center" vertical="center" wrapText="1"/>
    </xf>
    <xf numFmtId="1" fontId="51" fillId="0" borderId="22" xfId="37" applyNumberFormat="1" applyFont="1" applyBorder="1" applyAlignment="1">
      <alignment horizontal="left" vertical="center"/>
    </xf>
    <xf numFmtId="0" fontId="0" fillId="0" borderId="0" xfId="37" applyFont="1" applyAlignment="1">
      <alignment vertical="top" wrapText="1"/>
    </xf>
    <xf numFmtId="0" fontId="23" fillId="33" borderId="33" xfId="0" applyFont="1" applyFill="1" applyBorder="1" applyAlignment="1">
      <alignment horizontal="left" vertical="center"/>
    </xf>
    <xf numFmtId="0" fontId="42" fillId="33" borderId="34" xfId="0" applyFont="1" applyFill="1" applyBorder="1" applyAlignment="1">
      <alignment horizontal="center" vertical="center"/>
    </xf>
    <xf numFmtId="1" fontId="70" fillId="0" borderId="21" xfId="37" applyNumberFormat="1" applyFont="1" applyBorder="1" applyAlignment="1">
      <alignment vertical="center" wrapText="1"/>
    </xf>
    <xf numFmtId="1" fontId="70" fillId="0" borderId="10" xfId="37" applyNumberFormat="1" applyFont="1" applyBorder="1" applyAlignment="1">
      <alignment vertical="center" wrapText="1"/>
    </xf>
    <xf numFmtId="1" fontId="70" fillId="0" borderId="28" xfId="37" applyNumberFormat="1" applyFont="1" applyBorder="1" applyAlignment="1">
      <alignment vertical="center" wrapText="1"/>
    </xf>
    <xf numFmtId="1" fontId="70" fillId="0" borderId="29" xfId="37" applyNumberFormat="1" applyFont="1" applyBorder="1" applyAlignment="1">
      <alignment vertical="center" wrapText="1"/>
    </xf>
    <xf numFmtId="1" fontId="70" fillId="0" borderId="0" xfId="37" applyNumberFormat="1" applyFont="1" applyAlignment="1">
      <alignment vertical="center" wrapText="1"/>
    </xf>
    <xf numFmtId="0" fontId="51" fillId="0" borderId="28" xfId="37" applyFont="1" applyBorder="1" applyAlignment="1">
      <alignment horizontal="left" vertical="center"/>
    </xf>
    <xf numFmtId="0" fontId="0" fillId="0" borderId="0" xfId="37" applyFont="1" applyAlignment="1">
      <alignment vertical="center"/>
    </xf>
    <xf numFmtId="0" fontId="0" fillId="0" borderId="0" xfId="0" applyAlignment="1">
      <alignment horizontal="center" vertical="center"/>
    </xf>
    <xf numFmtId="1" fontId="70" fillId="0" borderId="31" xfId="37" applyNumberFormat="1" applyFont="1" applyBorder="1" applyAlignment="1">
      <alignment vertical="center" wrapText="1"/>
    </xf>
    <xf numFmtId="0" fontId="21" fillId="28" borderId="22" xfId="37" applyFont="1" applyFill="1" applyBorder="1" applyAlignment="1">
      <alignment horizontal="center" vertical="center"/>
    </xf>
    <xf numFmtId="0" fontId="21" fillId="28" borderId="34" xfId="37" applyFont="1" applyFill="1" applyBorder="1" applyAlignment="1">
      <alignment horizontal="center" vertical="center"/>
    </xf>
    <xf numFmtId="0" fontId="21" fillId="28" borderId="38" xfId="37" applyFont="1" applyFill="1" applyBorder="1" applyAlignment="1">
      <alignment horizontal="center" vertical="center"/>
    </xf>
    <xf numFmtId="0" fontId="51" fillId="28" borderId="21" xfId="37" applyFont="1" applyFill="1" applyBorder="1" applyAlignment="1">
      <alignment horizontal="center" vertical="center" wrapText="1"/>
    </xf>
    <xf numFmtId="0" fontId="71" fillId="28" borderId="23" xfId="37" applyFont="1" applyFill="1" applyBorder="1" applyAlignment="1">
      <alignment horizontal="center" vertical="center"/>
    </xf>
    <xf numFmtId="0" fontId="51" fillId="28" borderId="10" xfId="37" applyFont="1" applyFill="1" applyBorder="1" applyAlignment="1">
      <alignment horizontal="center" vertical="center" wrapText="1"/>
    </xf>
    <xf numFmtId="0" fontId="71" fillId="28" borderId="20" xfId="37" applyFont="1" applyFill="1" applyBorder="1" applyAlignment="1">
      <alignment horizontal="center" vertical="center"/>
    </xf>
    <xf numFmtId="0" fontId="51" fillId="28" borderId="21" xfId="37" applyFont="1" applyFill="1" applyBorder="1" applyAlignment="1">
      <alignment horizontal="right" vertical="center" wrapText="1"/>
    </xf>
    <xf numFmtId="0" fontId="51" fillId="28" borderId="10" xfId="37" applyFont="1" applyFill="1" applyBorder="1" applyAlignment="1">
      <alignment horizontal="left" vertical="center" wrapText="1"/>
    </xf>
    <xf numFmtId="0" fontId="51" fillId="28" borderId="0" xfId="37" applyFont="1" applyFill="1" applyAlignment="1">
      <alignment horizontal="center" vertical="center" wrapText="1"/>
    </xf>
    <xf numFmtId="0" fontId="51" fillId="28" borderId="0" xfId="37" applyFont="1" applyFill="1" applyAlignment="1">
      <alignment horizontal="right" vertical="center" wrapText="1"/>
    </xf>
    <xf numFmtId="0" fontId="71" fillId="28" borderId="22" xfId="37" applyFont="1" applyFill="1" applyBorder="1" applyAlignment="1">
      <alignment horizontal="center" vertical="center"/>
    </xf>
    <xf numFmtId="0" fontId="71" fillId="28" borderId="28" xfId="37" applyFont="1" applyFill="1" applyBorder="1" applyAlignment="1">
      <alignment vertical="center"/>
    </xf>
    <xf numFmtId="0" fontId="71" fillId="28" borderId="31" xfId="37" applyFont="1" applyFill="1" applyBorder="1" applyAlignment="1">
      <alignment vertical="center"/>
    </xf>
    <xf numFmtId="166" fontId="82" fillId="28" borderId="29" xfId="37" applyNumberFormat="1" applyFont="1" applyFill="1" applyBorder="1" applyAlignment="1">
      <alignment vertical="center"/>
    </xf>
    <xf numFmtId="0" fontId="51" fillId="28" borderId="14" xfId="37" applyFont="1" applyFill="1" applyBorder="1" applyAlignment="1">
      <alignment horizontal="right" vertical="center" wrapText="1"/>
    </xf>
    <xf numFmtId="0" fontId="51" fillId="28" borderId="27" xfId="37" applyFont="1" applyFill="1" applyBorder="1" applyAlignment="1">
      <alignment horizontal="right" vertical="center" wrapText="1"/>
    </xf>
    <xf numFmtId="0" fontId="51" fillId="28" borderId="11" xfId="37" applyFont="1" applyFill="1" applyBorder="1" applyAlignment="1">
      <alignment horizontal="left" vertical="center" wrapText="1"/>
    </xf>
    <xf numFmtId="0" fontId="51" fillId="0" borderId="27" xfId="37" applyFont="1" applyBorder="1" applyAlignment="1">
      <alignment horizontal="center" vertical="center"/>
    </xf>
    <xf numFmtId="0" fontId="0" fillId="0" borderId="18" xfId="0" applyBorder="1" applyAlignment="1">
      <alignment horizontal="left" vertical="center"/>
    </xf>
    <xf numFmtId="0" fontId="2" fillId="0" borderId="10" xfId="37" applyBorder="1" applyAlignment="1">
      <alignment vertical="center"/>
    </xf>
    <xf numFmtId="0" fontId="30" fillId="0" borderId="12" xfId="37" applyFont="1" applyBorder="1" applyAlignment="1">
      <alignment vertical="center" wrapText="1"/>
    </xf>
    <xf numFmtId="0" fontId="2" fillId="0" borderId="11" xfId="37" applyBorder="1" applyAlignment="1">
      <alignment vertical="center"/>
    </xf>
    <xf numFmtId="0" fontId="2" fillId="0" borderId="21" xfId="0" applyFont="1" applyBorder="1" applyAlignment="1">
      <alignment horizontal="left" vertical="center"/>
    </xf>
    <xf numFmtId="0" fontId="2" fillId="0" borderId="0" xfId="37" applyAlignment="1">
      <alignment horizontal="left" vertical="center" indent="1"/>
    </xf>
    <xf numFmtId="0" fontId="2" fillId="0" borderId="14" xfId="37" applyBorder="1" applyAlignment="1">
      <alignment vertical="center" wrapText="1"/>
    </xf>
    <xf numFmtId="0" fontId="2" fillId="0" borderId="27" xfId="37" applyBorder="1" applyAlignment="1">
      <alignment horizontal="left" vertical="center" indent="1"/>
    </xf>
    <xf numFmtId="0" fontId="30" fillId="0" borderId="46" xfId="37" applyFont="1" applyBorder="1" applyAlignment="1">
      <alignment vertical="center" wrapText="1"/>
    </xf>
    <xf numFmtId="0" fontId="2" fillId="0" borderId="19" xfId="37" applyBorder="1" applyAlignment="1">
      <alignment horizontal="center" vertical="center"/>
    </xf>
    <xf numFmtId="0" fontId="21" fillId="0" borderId="52" xfId="37" applyFont="1" applyBorder="1" applyAlignment="1">
      <alignment vertical="center"/>
    </xf>
    <xf numFmtId="1" fontId="51" fillId="0" borderId="0" xfId="37" applyNumberFormat="1" applyFont="1" applyAlignment="1">
      <alignment horizontal="left" vertical="center"/>
    </xf>
    <xf numFmtId="1" fontId="51" fillId="0" borderId="0" xfId="37" applyNumberFormat="1" applyFont="1" applyAlignment="1">
      <alignment horizontal="center" vertical="center"/>
    </xf>
    <xf numFmtId="1" fontId="51" fillId="0" borderId="31" xfId="37" applyNumberFormat="1" applyFont="1" applyBorder="1" applyAlignment="1">
      <alignment horizontal="center" vertical="center"/>
    </xf>
    <xf numFmtId="165" fontId="52" fillId="28" borderId="24" xfId="0" applyNumberFormat="1" applyFont="1" applyFill="1" applyBorder="1" applyAlignment="1">
      <alignment horizontal="center" vertical="center"/>
    </xf>
    <xf numFmtId="165" fontId="52" fillId="28" borderId="35" xfId="0" applyNumberFormat="1" applyFont="1" applyFill="1" applyBorder="1" applyAlignment="1">
      <alignment horizontal="center" vertical="center"/>
    </xf>
    <xf numFmtId="165" fontId="52" fillId="28" borderId="19" xfId="0" applyNumberFormat="1" applyFont="1" applyFill="1" applyBorder="1" applyAlignment="1">
      <alignment horizontal="center" vertical="center"/>
    </xf>
    <xf numFmtId="0" fontId="51" fillId="0" borderId="0" xfId="37" applyFont="1" applyAlignment="1">
      <alignment horizontal="left" vertical="center" wrapText="1"/>
    </xf>
    <xf numFmtId="0" fontId="51" fillId="0" borderId="0" xfId="37" applyFont="1" applyAlignment="1">
      <alignment vertical="center"/>
    </xf>
    <xf numFmtId="0" fontId="51" fillId="0" borderId="0" xfId="37" applyFont="1" applyAlignment="1">
      <alignment horizontal="left" wrapText="1"/>
    </xf>
    <xf numFmtId="0" fontId="51" fillId="0" borderId="155" xfId="37" applyFont="1" applyBorder="1" applyAlignment="1">
      <alignment horizontal="left" vertical="center" wrapText="1"/>
    </xf>
    <xf numFmtId="0" fontId="0" fillId="0" borderId="133" xfId="0" applyBorder="1" applyAlignment="1">
      <alignment vertical="top" wrapText="1"/>
    </xf>
    <xf numFmtId="0" fontId="0" fillId="0" borderId="0" xfId="0" applyAlignment="1">
      <alignment vertical="top" wrapText="1"/>
    </xf>
    <xf numFmtId="0" fontId="0" fillId="0" borderId="122" xfId="0" applyBorder="1" applyAlignment="1">
      <alignment vertical="top" wrapText="1"/>
    </xf>
    <xf numFmtId="1" fontId="51" fillId="0" borderId="133" xfId="37" applyNumberFormat="1" applyFont="1" applyBorder="1" applyAlignment="1">
      <alignment horizontal="left" vertical="center"/>
    </xf>
    <xf numFmtId="1" fontId="51" fillId="0" borderId="122" xfId="37" applyNumberFormat="1" applyFont="1" applyBorder="1" applyAlignment="1">
      <alignment horizontal="left" vertical="center"/>
    </xf>
    <xf numFmtId="0" fontId="51" fillId="0" borderId="133" xfId="37" applyFont="1" applyBorder="1" applyAlignment="1">
      <alignment vertical="center"/>
    </xf>
    <xf numFmtId="0" fontId="51" fillId="0" borderId="122" xfId="37" applyFont="1" applyBorder="1" applyAlignment="1">
      <alignment horizontal="left" vertical="center"/>
    </xf>
    <xf numFmtId="166" fontId="82" fillId="0" borderId="122" xfId="37" applyNumberFormat="1" applyFont="1" applyBorder="1" applyAlignment="1">
      <alignment horizontal="left" vertical="center"/>
    </xf>
    <xf numFmtId="0" fontId="21" fillId="0" borderId="133" xfId="37" applyFont="1" applyBorder="1" applyAlignment="1">
      <alignment vertical="center"/>
    </xf>
    <xf numFmtId="0" fontId="21" fillId="0" borderId="122" xfId="37" applyFont="1" applyBorder="1" applyAlignment="1">
      <alignment vertical="center"/>
    </xf>
    <xf numFmtId="0" fontId="51" fillId="0" borderId="156" xfId="37" applyFont="1" applyBorder="1" applyAlignment="1">
      <alignment vertical="center" wrapText="1"/>
    </xf>
    <xf numFmtId="0" fontId="51" fillId="0" borderId="157" xfId="37" applyFont="1" applyBorder="1" applyAlignment="1">
      <alignment horizontal="left" vertical="center"/>
    </xf>
    <xf numFmtId="0" fontId="51" fillId="0" borderId="157" xfId="37" applyFont="1" applyBorder="1" applyAlignment="1">
      <alignment vertical="center"/>
    </xf>
    <xf numFmtId="166" fontId="82" fillId="0" borderId="122" xfId="37" applyNumberFormat="1" applyFont="1" applyBorder="1" applyAlignment="1">
      <alignment horizontal="left" vertical="center" wrapText="1"/>
    </xf>
    <xf numFmtId="1" fontId="51" fillId="0" borderId="158" xfId="37" applyNumberFormat="1" applyFont="1" applyBorder="1" applyAlignment="1">
      <alignment horizontal="left" vertical="center"/>
    </xf>
    <xf numFmtId="1" fontId="51" fillId="0" borderId="159" xfId="37" applyNumberFormat="1" applyFont="1" applyBorder="1" applyAlignment="1">
      <alignment horizontal="left" vertical="center"/>
    </xf>
    <xf numFmtId="0" fontId="21" fillId="0" borderId="160" xfId="37" applyFont="1" applyBorder="1" applyAlignment="1">
      <alignment vertical="center"/>
    </xf>
    <xf numFmtId="0" fontId="70" fillId="0" borderId="0" xfId="37" applyFont="1" applyAlignment="1">
      <alignment vertical="center"/>
    </xf>
    <xf numFmtId="0" fontId="21" fillId="0" borderId="36" xfId="37" applyFont="1" applyBorder="1" applyAlignment="1">
      <alignment horizontal="center" vertical="center"/>
    </xf>
    <xf numFmtId="0" fontId="71" fillId="0" borderId="31" xfId="37" applyFont="1" applyBorder="1" applyAlignment="1">
      <alignment vertical="center"/>
    </xf>
    <xf numFmtId="0" fontId="51" fillId="0" borderId="27" xfId="37" applyFont="1" applyBorder="1" applyAlignment="1">
      <alignment vertical="center"/>
    </xf>
    <xf numFmtId="0" fontId="51" fillId="0" borderId="27" xfId="37" applyFont="1" applyBorder="1" applyAlignment="1">
      <alignment horizontal="left" vertical="center" indent="1"/>
    </xf>
    <xf numFmtId="0" fontId="51" fillId="0" borderId="0" xfId="37" applyFont="1" applyAlignment="1">
      <alignment horizontal="left" vertical="center" indent="1"/>
    </xf>
    <xf numFmtId="1" fontId="51" fillId="0" borderId="122" xfId="37" applyNumberFormat="1" applyFont="1" applyBorder="1" applyAlignment="1">
      <alignment horizontal="center" vertical="center"/>
    </xf>
    <xf numFmtId="1" fontId="51" fillId="0" borderId="124" xfId="37" applyNumberFormat="1" applyFont="1" applyBorder="1" applyAlignment="1">
      <alignment horizontal="center" vertical="center"/>
    </xf>
    <xf numFmtId="0" fontId="51" fillId="0" borderId="161" xfId="37" applyFont="1" applyBorder="1" applyAlignment="1">
      <alignment vertical="center"/>
    </xf>
    <xf numFmtId="1" fontId="51" fillId="0" borderId="162" xfId="37" applyNumberFormat="1" applyFont="1" applyBorder="1" applyAlignment="1">
      <alignment horizontal="center" vertical="center"/>
    </xf>
    <xf numFmtId="0" fontId="51" fillId="0" borderId="161" xfId="37" applyFont="1" applyBorder="1" applyAlignment="1">
      <alignment vertical="center" wrapText="1"/>
    </xf>
    <xf numFmtId="0" fontId="51" fillId="26" borderId="161" xfId="37" applyFont="1" applyFill="1" applyBorder="1" applyAlignment="1">
      <alignment vertical="center"/>
    </xf>
    <xf numFmtId="166" fontId="0" fillId="0" borderId="17" xfId="0" applyNumberFormat="1" applyBorder="1" applyAlignment="1">
      <alignment horizontal="center" vertical="center"/>
    </xf>
    <xf numFmtId="166" fontId="2" fillId="0" borderId="15" xfId="37" applyNumberFormat="1" applyBorder="1" applyAlignment="1">
      <alignment horizontal="center" vertical="center"/>
    </xf>
    <xf numFmtId="0" fontId="51" fillId="0" borderId="133" xfId="37" applyFont="1" applyBorder="1" applyAlignment="1">
      <alignment vertical="top" wrapText="1"/>
    </xf>
    <xf numFmtId="0" fontId="51" fillId="0" borderId="122" xfId="37" applyFont="1" applyBorder="1" applyAlignment="1">
      <alignment vertical="top" wrapText="1"/>
    </xf>
    <xf numFmtId="0" fontId="2" fillId="33" borderId="85" xfId="47" applyFill="1" applyBorder="1"/>
    <xf numFmtId="0" fontId="2" fillId="33" borderId="86" xfId="47" applyFill="1" applyBorder="1"/>
    <xf numFmtId="0" fontId="2" fillId="33" borderId="86" xfId="47" applyFill="1" applyBorder="1" applyAlignment="1">
      <alignment horizontal="center"/>
    </xf>
    <xf numFmtId="0" fontId="2" fillId="33" borderId="88" xfId="47" applyFill="1" applyBorder="1" applyAlignment="1">
      <alignment horizontal="center"/>
    </xf>
    <xf numFmtId="2" fontId="2" fillId="33" borderId="86" xfId="47" applyNumberFormat="1" applyFill="1" applyBorder="1" applyAlignment="1">
      <alignment horizontal="center"/>
    </xf>
    <xf numFmtId="0" fontId="2" fillId="33" borderId="88" xfId="47" applyFill="1" applyBorder="1"/>
    <xf numFmtId="0" fontId="2" fillId="33" borderId="90" xfId="47" applyFill="1" applyBorder="1"/>
    <xf numFmtId="0" fontId="2" fillId="33" borderId="0" xfId="47" applyFill="1"/>
    <xf numFmtId="0" fontId="2" fillId="33" borderId="0" xfId="47" applyFill="1" applyAlignment="1">
      <alignment horizontal="right"/>
    </xf>
    <xf numFmtId="0" fontId="2" fillId="33" borderId="0" xfId="47" applyFill="1" applyAlignment="1">
      <alignment horizontal="center"/>
    </xf>
    <xf numFmtId="0" fontId="2" fillId="33" borderId="10" xfId="47" applyFill="1" applyBorder="1" applyAlignment="1">
      <alignment horizontal="center"/>
    </xf>
    <xf numFmtId="0" fontId="2" fillId="33" borderId="0" xfId="37" applyFill="1"/>
    <xf numFmtId="166" fontId="23" fillId="33" borderId="0" xfId="47" applyNumberFormat="1" applyFont="1" applyFill="1" applyAlignment="1">
      <alignment horizontal="center"/>
    </xf>
    <xf numFmtId="49" fontId="23" fillId="33" borderId="10" xfId="47" applyNumberFormat="1" applyFont="1" applyFill="1" applyBorder="1"/>
    <xf numFmtId="2" fontId="2" fillId="33" borderId="0" xfId="47" applyNumberFormat="1" applyFill="1" applyAlignment="1">
      <alignment horizontal="center"/>
    </xf>
    <xf numFmtId="0" fontId="2" fillId="33" borderId="10" xfId="47" applyFill="1" applyBorder="1"/>
    <xf numFmtId="0" fontId="2" fillId="33" borderId="0" xfId="47" applyFill="1" applyAlignment="1">
      <alignment horizontal="left" indent="2"/>
    </xf>
    <xf numFmtId="2" fontId="23" fillId="33" borderId="0" xfId="47" applyNumberFormat="1" applyFont="1" applyFill="1" applyAlignment="1">
      <alignment horizontal="center"/>
    </xf>
    <xf numFmtId="0" fontId="2" fillId="33" borderId="0" xfId="47" applyFill="1" applyAlignment="1">
      <alignment horizontal="left"/>
    </xf>
    <xf numFmtId="0" fontId="2" fillId="33" borderId="96" xfId="47" applyFill="1" applyBorder="1"/>
    <xf numFmtId="0" fontId="2" fillId="33" borderId="22" xfId="47" applyFill="1" applyBorder="1"/>
    <xf numFmtId="0" fontId="2" fillId="33" borderId="22" xfId="47" applyFill="1" applyBorder="1" applyAlignment="1">
      <alignment horizontal="right"/>
    </xf>
    <xf numFmtId="0" fontId="2" fillId="33" borderId="22" xfId="47" applyFill="1" applyBorder="1" applyAlignment="1">
      <alignment horizontal="center"/>
    </xf>
    <xf numFmtId="0" fontId="2" fillId="33" borderId="20" xfId="47" applyFill="1" applyBorder="1" applyAlignment="1">
      <alignment horizontal="center"/>
    </xf>
    <xf numFmtId="2" fontId="2" fillId="33" borderId="22" xfId="47" applyNumberFormat="1" applyFill="1" applyBorder="1" applyAlignment="1">
      <alignment horizontal="center"/>
    </xf>
    <xf numFmtId="0" fontId="2" fillId="33" borderId="20" xfId="47" applyFill="1" applyBorder="1"/>
    <xf numFmtId="0" fontId="35" fillId="26" borderId="0" xfId="48" applyFont="1" applyFill="1" applyAlignment="1">
      <alignment horizontal="center"/>
    </xf>
    <xf numFmtId="0" fontId="25" fillId="26" borderId="0" xfId="48" applyFont="1" applyFill="1" applyAlignment="1">
      <alignment horizontal="center"/>
    </xf>
    <xf numFmtId="0" fontId="23" fillId="26" borderId="0" xfId="48" applyFont="1" applyFill="1" applyAlignment="1">
      <alignment horizontal="center" vertical="center"/>
    </xf>
    <xf numFmtId="0" fontId="0" fillId="26" borderId="118" xfId="49" applyFont="1" applyFill="1" applyBorder="1" applyAlignment="1">
      <alignment horizontal="center" vertical="center" wrapText="1"/>
    </xf>
    <xf numFmtId="0" fontId="0" fillId="26" borderId="121" xfId="49" applyFont="1" applyFill="1" applyBorder="1" applyAlignment="1">
      <alignment horizontal="center" vertical="center" wrapText="1"/>
    </xf>
    <xf numFmtId="0" fontId="0" fillId="26" borderId="23" xfId="49" applyFont="1" applyFill="1" applyBorder="1" applyAlignment="1">
      <alignment horizontal="center" vertical="center" wrapText="1"/>
    </xf>
    <xf numFmtId="0" fontId="0" fillId="26" borderId="126" xfId="49" applyFont="1" applyFill="1" applyBorder="1" applyAlignment="1">
      <alignment horizontal="center" vertical="center" wrapText="1"/>
    </xf>
    <xf numFmtId="0" fontId="0" fillId="26" borderId="0" xfId="48" applyFont="1" applyFill="1" applyAlignment="1">
      <alignment horizontal="justify" vertical="top" wrapText="1"/>
    </xf>
    <xf numFmtId="0" fontId="0" fillId="26" borderId="0" xfId="48" applyFont="1" applyFill="1" applyAlignment="1">
      <alignment horizontal="center"/>
    </xf>
    <xf numFmtId="0" fontId="0" fillId="26" borderId="132" xfId="48" applyFont="1" applyFill="1" applyBorder="1" applyAlignment="1">
      <alignment horizontal="center" vertical="center" wrapText="1"/>
    </xf>
    <xf numFmtId="0" fontId="0" fillId="26" borderId="121" xfId="48" applyFont="1" applyFill="1" applyBorder="1" applyAlignment="1">
      <alignment horizontal="center" vertical="center" wrapText="1"/>
    </xf>
    <xf numFmtId="0" fontId="0" fillId="26" borderId="136" xfId="48" applyFont="1" applyFill="1" applyBorder="1" applyAlignment="1">
      <alignment horizontal="center" vertical="center" wrapText="1"/>
    </xf>
    <xf numFmtId="0" fontId="0" fillId="26" borderId="138" xfId="48" applyFont="1" applyFill="1" applyBorder="1" applyAlignment="1">
      <alignment horizontal="center" vertical="center" wrapText="1"/>
    </xf>
    <xf numFmtId="0" fontId="2" fillId="26" borderId="141" xfId="48" applyFont="1" applyFill="1" applyBorder="1" applyAlignment="1">
      <alignment horizontal="center" vertical="center"/>
    </xf>
    <xf numFmtId="0" fontId="2" fillId="26" borderId="120" xfId="48" applyFont="1" applyFill="1" applyBorder="1" applyAlignment="1">
      <alignment horizontal="center" vertical="center"/>
    </xf>
    <xf numFmtId="0" fontId="2" fillId="26" borderId="139" xfId="48" applyFont="1" applyFill="1" applyBorder="1" applyAlignment="1">
      <alignment horizontal="center" vertical="center"/>
    </xf>
    <xf numFmtId="0" fontId="2" fillId="26" borderId="25" xfId="48" applyFont="1" applyFill="1" applyBorder="1" applyAlignment="1">
      <alignment horizontal="center" vertical="center"/>
    </xf>
    <xf numFmtId="0" fontId="2" fillId="26" borderId="140" xfId="48" applyFont="1" applyFill="1" applyBorder="1" applyAlignment="1">
      <alignment horizontal="center" vertical="center"/>
    </xf>
    <xf numFmtId="0" fontId="2" fillId="26" borderId="128" xfId="48" applyFont="1" applyFill="1" applyBorder="1" applyAlignment="1">
      <alignment horizontal="center" vertical="center"/>
    </xf>
    <xf numFmtId="0" fontId="0" fillId="26" borderId="141" xfId="49" applyFont="1" applyFill="1" applyBorder="1" applyAlignment="1">
      <alignment horizontal="center" vertical="center"/>
    </xf>
    <xf numFmtId="0" fontId="0" fillId="26" borderId="142" xfId="49" applyFont="1" applyFill="1" applyBorder="1" applyAlignment="1">
      <alignment horizontal="center" vertical="center"/>
    </xf>
    <xf numFmtId="0" fontId="0" fillId="26" borderId="120" xfId="49" applyFont="1" applyFill="1" applyBorder="1" applyAlignment="1">
      <alignment horizontal="center" vertical="center"/>
    </xf>
    <xf numFmtId="0" fontId="0" fillId="26" borderId="139" xfId="49" applyFont="1" applyFill="1" applyBorder="1" applyAlignment="1">
      <alignment horizontal="center" vertical="center"/>
    </xf>
    <xf numFmtId="0" fontId="0" fillId="26" borderId="34" xfId="49" applyFont="1" applyFill="1" applyBorder="1" applyAlignment="1">
      <alignment horizontal="center" vertical="center"/>
    </xf>
    <xf numFmtId="0" fontId="0" fillId="26" borderId="25" xfId="49" applyFont="1" applyFill="1" applyBorder="1" applyAlignment="1">
      <alignment horizontal="center" vertical="center"/>
    </xf>
    <xf numFmtId="0" fontId="0" fillId="26" borderId="33" xfId="49" applyFont="1" applyFill="1" applyBorder="1" applyAlignment="1">
      <alignment horizontal="center" vertical="center"/>
    </xf>
    <xf numFmtId="0" fontId="0" fillId="26" borderId="33" xfId="48" applyFont="1" applyFill="1" applyBorder="1" applyAlignment="1">
      <alignment horizontal="center" vertical="center"/>
    </xf>
    <xf numFmtId="0" fontId="0" fillId="26" borderId="25" xfId="48" applyFont="1" applyFill="1" applyBorder="1" applyAlignment="1">
      <alignment horizontal="center" vertical="center"/>
    </xf>
    <xf numFmtId="0" fontId="70" fillId="26" borderId="12" xfId="0" applyFont="1" applyFill="1" applyBorder="1" applyAlignment="1">
      <alignment horizontal="center" vertical="center" wrapText="1"/>
    </xf>
    <xf numFmtId="0" fontId="70" fillId="26" borderId="46" xfId="0" applyFont="1" applyFill="1" applyBorder="1" applyAlignment="1">
      <alignment horizontal="center" vertical="center" wrapText="1"/>
    </xf>
    <xf numFmtId="0" fontId="51" fillId="26" borderId="12" xfId="0" applyFont="1" applyFill="1" applyBorder="1" applyAlignment="1">
      <alignment horizontal="left" vertical="top" wrapText="1"/>
    </xf>
    <xf numFmtId="166" fontId="51" fillId="26" borderId="17" xfId="0" applyNumberFormat="1" applyFont="1" applyFill="1" applyBorder="1" applyAlignment="1">
      <alignment horizontal="center" vertical="top" wrapText="1"/>
    </xf>
    <xf numFmtId="0" fontId="51" fillId="26" borderId="16" xfId="0" applyFont="1" applyFill="1" applyBorder="1" applyAlignment="1">
      <alignment horizontal="center" vertical="top" wrapText="1"/>
    </xf>
    <xf numFmtId="0" fontId="51" fillId="26" borderId="21" xfId="0" applyFont="1" applyFill="1" applyBorder="1" applyAlignment="1">
      <alignment horizontal="left" vertical="top" wrapText="1"/>
    </xf>
    <xf numFmtId="0" fontId="51" fillId="26" borderId="10" xfId="0" applyFont="1" applyFill="1" applyBorder="1" applyAlignment="1">
      <alignment horizontal="left" vertical="top" wrapText="1"/>
    </xf>
    <xf numFmtId="0" fontId="51" fillId="26" borderId="21" xfId="0" applyFont="1" applyFill="1" applyBorder="1" applyAlignment="1">
      <alignment horizontal="left" vertical="center" wrapText="1" indent="1"/>
    </xf>
    <xf numFmtId="0" fontId="51" fillId="26" borderId="28" xfId="0" applyFont="1" applyFill="1" applyBorder="1" applyAlignment="1">
      <alignment horizontal="left" vertical="center" wrapText="1" indent="1"/>
    </xf>
    <xf numFmtId="0" fontId="51" fillId="26" borderId="10" xfId="0" applyFont="1" applyFill="1" applyBorder="1" applyAlignment="1">
      <alignment horizontal="center" vertical="center" wrapText="1"/>
    </xf>
    <xf numFmtId="0" fontId="51" fillId="26" borderId="29" xfId="0" applyFont="1" applyFill="1" applyBorder="1" applyAlignment="1">
      <alignment horizontal="center" vertical="center" wrapText="1"/>
    </xf>
    <xf numFmtId="0" fontId="51" fillId="27" borderId="13" xfId="0" applyFont="1" applyFill="1" applyBorder="1" applyAlignment="1">
      <alignment horizontal="left" vertical="center" wrapText="1" indent="1"/>
    </xf>
    <xf numFmtId="0" fontId="51" fillId="27" borderId="21" xfId="0" applyFont="1" applyFill="1" applyBorder="1" applyAlignment="1">
      <alignment horizontal="left" vertical="center" wrapText="1" indent="1"/>
    </xf>
    <xf numFmtId="0" fontId="51" fillId="26" borderId="26" xfId="0" applyFont="1" applyFill="1" applyBorder="1" applyAlignment="1">
      <alignment horizontal="center" vertical="center" wrapText="1"/>
    </xf>
    <xf numFmtId="0" fontId="71" fillId="26" borderId="47" xfId="0" applyFont="1" applyFill="1" applyBorder="1" applyAlignment="1">
      <alignment horizontal="center" vertical="center" wrapText="1"/>
    </xf>
    <xf numFmtId="0" fontId="71" fillId="26" borderId="19" xfId="0" applyFont="1" applyFill="1" applyBorder="1" applyAlignment="1">
      <alignment horizontal="center" vertical="center" wrapText="1"/>
    </xf>
    <xf numFmtId="166" fontId="2" fillId="0" borderId="17" xfId="0" applyNumberFormat="1" applyFont="1" applyBorder="1" applyAlignment="1">
      <alignment horizontal="left" vertical="center"/>
    </xf>
    <xf numFmtId="166" fontId="2" fillId="0" borderId="16" xfId="0" applyNumberFormat="1" applyFont="1" applyBorder="1" applyAlignment="1">
      <alignment horizontal="left" vertical="center"/>
    </xf>
    <xf numFmtId="166" fontId="2" fillId="0" borderId="18" xfId="0" applyNumberFormat="1" applyFont="1" applyBorder="1" applyAlignment="1">
      <alignment horizontal="left" vertical="center"/>
    </xf>
    <xf numFmtId="0" fontId="2" fillId="0" borderId="21"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166" fontId="51" fillId="26" borderId="17" xfId="0" applyNumberFormat="1" applyFont="1" applyFill="1" applyBorder="1" applyAlignment="1">
      <alignment horizontal="center" vertical="center"/>
    </xf>
    <xf numFmtId="166" fontId="51" fillId="26" borderId="18" xfId="0" applyNumberFormat="1" applyFont="1" applyFill="1" applyBorder="1" applyAlignment="1">
      <alignment horizontal="center" vertical="center"/>
    </xf>
    <xf numFmtId="166" fontId="51" fillId="26" borderId="16" xfId="0" applyNumberFormat="1" applyFont="1" applyFill="1" applyBorder="1" applyAlignment="1">
      <alignment horizontal="center" vertical="center"/>
    </xf>
    <xf numFmtId="0" fontId="23" fillId="28" borderId="24" xfId="0" applyFont="1" applyFill="1" applyBorder="1" applyAlignment="1">
      <alignment horizontal="center" vertical="center" textRotation="90" wrapText="1"/>
    </xf>
    <xf numFmtId="166" fontId="51" fillId="26" borderId="33" xfId="0" applyNumberFormat="1" applyFont="1" applyFill="1" applyBorder="1" applyAlignment="1">
      <alignment horizontal="center" vertical="center"/>
    </xf>
    <xf numFmtId="166" fontId="51" fillId="26" borderId="25" xfId="0" applyNumberFormat="1" applyFont="1" applyFill="1" applyBorder="1" applyAlignment="1">
      <alignment horizontal="center" vertical="center"/>
    </xf>
    <xf numFmtId="0" fontId="30" fillId="0" borderId="21" xfId="0" applyFont="1" applyBorder="1" applyAlignment="1">
      <alignment horizontal="center" vertical="top" wrapText="1"/>
    </xf>
    <xf numFmtId="0" fontId="30" fillId="0" borderId="0" xfId="0" applyFont="1" applyAlignment="1">
      <alignment horizontal="center" vertical="top" wrapText="1"/>
    </xf>
    <xf numFmtId="0" fontId="2" fillId="26" borderId="15" xfId="0" applyFont="1" applyFill="1" applyBorder="1" applyAlignment="1">
      <alignment horizontal="left" vertical="top" wrapText="1"/>
    </xf>
    <xf numFmtId="0" fontId="2" fillId="26" borderId="12" xfId="0" applyFont="1" applyFill="1" applyBorder="1" applyAlignment="1">
      <alignment horizontal="left" vertical="top" wrapText="1"/>
    </xf>
    <xf numFmtId="0" fontId="30" fillId="0" borderId="12" xfId="0" applyFont="1" applyBorder="1" applyAlignment="1">
      <alignment horizontal="center" wrapText="1"/>
    </xf>
    <xf numFmtId="0" fontId="30" fillId="26" borderId="12" xfId="0" applyFont="1" applyFill="1" applyBorder="1" applyAlignment="1">
      <alignment horizontal="center" wrapText="1"/>
    </xf>
    <xf numFmtId="0" fontId="2" fillId="0" borderId="52"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32" xfId="0" applyFont="1" applyBorder="1" applyAlignment="1">
      <alignment horizontal="center" vertical="center" wrapText="1"/>
    </xf>
    <xf numFmtId="0" fontId="30" fillId="28" borderId="21" xfId="0" applyFont="1" applyFill="1" applyBorder="1" applyAlignment="1">
      <alignment horizontal="center" vertical="center" wrapText="1"/>
    </xf>
    <xf numFmtId="0" fontId="30" fillId="28" borderId="23" xfId="0" applyFont="1" applyFill="1" applyBorder="1" applyAlignment="1">
      <alignment horizontal="center" vertical="center" wrapText="1"/>
    </xf>
    <xf numFmtId="0" fontId="2" fillId="28" borderId="21" xfId="0" applyFont="1" applyFill="1" applyBorder="1" applyAlignment="1">
      <alignment horizontal="left" vertical="top" wrapText="1"/>
    </xf>
    <xf numFmtId="0" fontId="2" fillId="0" borderId="52" xfId="0" applyFont="1" applyBorder="1" applyAlignment="1">
      <alignment horizontal="center" vertical="center"/>
    </xf>
    <xf numFmtId="0" fontId="2" fillId="0" borderId="32" xfId="0" applyFont="1" applyBorder="1" applyAlignment="1">
      <alignment horizontal="center" vertical="center"/>
    </xf>
    <xf numFmtId="0" fontId="30" fillId="0" borderId="21" xfId="0" applyFont="1" applyBorder="1" applyAlignment="1">
      <alignment horizontal="center" vertical="center" wrapText="1"/>
    </xf>
    <xf numFmtId="0" fontId="30" fillId="0" borderId="0" xfId="0" applyFont="1" applyAlignment="1">
      <alignment horizontal="center" vertical="center" wrapText="1"/>
    </xf>
    <xf numFmtId="0" fontId="30" fillId="0" borderId="10" xfId="0" applyFont="1" applyBorder="1" applyAlignment="1">
      <alignment horizontal="center" vertical="center" wrapText="1"/>
    </xf>
    <xf numFmtId="0" fontId="30" fillId="0" borderId="28" xfId="0" applyFont="1" applyBorder="1" applyAlignment="1">
      <alignment horizontal="center" vertical="center" wrapText="1"/>
    </xf>
    <xf numFmtId="0" fontId="30" fillId="0" borderId="31" xfId="0" applyFont="1" applyBorder="1" applyAlignment="1">
      <alignment horizontal="center" vertical="center" wrapText="1"/>
    </xf>
    <xf numFmtId="0" fontId="30" fillId="0" borderId="29" xfId="0" applyFont="1" applyBorder="1" applyAlignment="1">
      <alignment horizontal="center" vertical="center" wrapText="1"/>
    </xf>
    <xf numFmtId="0" fontId="31" fillId="26" borderId="21" xfId="0" applyFont="1" applyFill="1" applyBorder="1" applyAlignment="1">
      <alignment horizontal="center" vertical="center" wrapText="1"/>
    </xf>
    <xf numFmtId="0" fontId="31" fillId="26" borderId="0" xfId="0" applyFont="1" applyFill="1" applyAlignment="1">
      <alignment horizontal="center" vertical="center" wrapText="1"/>
    </xf>
    <xf numFmtId="0" fontId="31" fillId="26" borderId="10" xfId="0" applyFont="1" applyFill="1" applyBorder="1" applyAlignment="1">
      <alignment horizontal="center" vertical="center" wrapText="1"/>
    </xf>
    <xf numFmtId="0" fontId="31" fillId="26" borderId="28" xfId="0" applyFont="1" applyFill="1" applyBorder="1" applyAlignment="1">
      <alignment horizontal="center" vertical="center" wrapText="1"/>
    </xf>
    <xf numFmtId="0" fontId="31" fillId="26" borderId="31" xfId="0" applyFont="1" applyFill="1" applyBorder="1" applyAlignment="1">
      <alignment horizontal="center" vertical="center" wrapText="1"/>
    </xf>
    <xf numFmtId="0" fontId="31" fillId="26" borderId="29" xfId="0" applyFont="1" applyFill="1" applyBorder="1" applyAlignment="1">
      <alignment horizontal="center" vertical="center" wrapText="1"/>
    </xf>
    <xf numFmtId="0" fontId="28" fillId="26" borderId="28" xfId="0" applyFont="1" applyFill="1" applyBorder="1" applyAlignment="1">
      <alignment horizontal="right" vertical="center"/>
    </xf>
    <xf numFmtId="0" fontId="28" fillId="26" borderId="31" xfId="0" applyFont="1" applyFill="1" applyBorder="1" applyAlignment="1">
      <alignment horizontal="right" vertical="center"/>
    </xf>
    <xf numFmtId="0" fontId="28" fillId="26" borderId="29" xfId="0" applyFont="1" applyFill="1" applyBorder="1" applyAlignment="1">
      <alignment horizontal="right" vertical="center"/>
    </xf>
    <xf numFmtId="0" fontId="2" fillId="0" borderId="39" xfId="0" applyFont="1" applyBorder="1" applyAlignment="1">
      <alignment horizontal="center" vertical="center"/>
    </xf>
    <xf numFmtId="166" fontId="2" fillId="0" borderId="17" xfId="0" applyNumberFormat="1" applyFont="1" applyBorder="1" applyAlignment="1">
      <alignment horizontal="left" vertical="top"/>
    </xf>
    <xf numFmtId="166" fontId="2" fillId="0" borderId="18" xfId="0" applyNumberFormat="1" applyFont="1" applyBorder="1" applyAlignment="1">
      <alignment horizontal="left" vertical="top"/>
    </xf>
    <xf numFmtId="166" fontId="2" fillId="0" borderId="16" xfId="0" applyNumberFormat="1" applyFont="1" applyBorder="1" applyAlignment="1">
      <alignment horizontal="left" vertical="top"/>
    </xf>
    <xf numFmtId="166" fontId="27" fillId="0" borderId="10" xfId="0" applyNumberFormat="1" applyFont="1" applyBorder="1" applyAlignment="1">
      <alignment horizontal="center" vertical="center"/>
    </xf>
    <xf numFmtId="0" fontId="28" fillId="0" borderId="17" xfId="0" applyFont="1" applyBorder="1" applyAlignment="1">
      <alignment horizontal="center" vertical="center" wrapText="1"/>
    </xf>
    <xf numFmtId="0" fontId="28" fillId="0" borderId="18" xfId="0" applyFont="1" applyBorder="1" applyAlignment="1">
      <alignment horizontal="center" vertical="center" wrapText="1"/>
    </xf>
    <xf numFmtId="0" fontId="28" fillId="0" borderId="16" xfId="0" applyFont="1" applyBorder="1" applyAlignment="1">
      <alignment horizontal="center" vertical="center" wrapText="1"/>
    </xf>
    <xf numFmtId="0" fontId="28" fillId="0" borderId="23" xfId="0" applyFont="1" applyBorder="1" applyAlignment="1">
      <alignment horizontal="center" vertical="center" wrapText="1"/>
    </xf>
    <xf numFmtId="0" fontId="28" fillId="0" borderId="22" xfId="0" applyFont="1" applyBorder="1" applyAlignment="1">
      <alignment horizontal="center" vertical="center" wrapText="1"/>
    </xf>
    <xf numFmtId="0" fontId="28" fillId="0" borderId="20" xfId="0" applyFont="1" applyBorder="1" applyAlignment="1">
      <alignment horizontal="center" vertical="center" wrapText="1"/>
    </xf>
    <xf numFmtId="0" fontId="27" fillId="0" borderId="0" xfId="0" applyFont="1" applyAlignment="1">
      <alignment horizontal="center" vertical="center"/>
    </xf>
    <xf numFmtId="0" fontId="27" fillId="0" borderId="21" xfId="0" applyFont="1" applyBorder="1" applyAlignment="1">
      <alignment vertical="center" wrapText="1"/>
    </xf>
    <xf numFmtId="0" fontId="30" fillId="0" borderId="10" xfId="0" applyFont="1" applyBorder="1" applyAlignment="1">
      <alignment vertical="top" wrapText="1"/>
    </xf>
    <xf numFmtId="0" fontId="30" fillId="0" borderId="10" xfId="0" applyFont="1" applyBorder="1"/>
    <xf numFmtId="166" fontId="2" fillId="26" borderId="17" xfId="37" applyNumberFormat="1" applyFill="1" applyBorder="1" applyAlignment="1">
      <alignment horizontal="left" vertical="center"/>
    </xf>
    <xf numFmtId="166" fontId="2" fillId="26" borderId="18" xfId="37" applyNumberFormat="1" applyFill="1" applyBorder="1" applyAlignment="1">
      <alignment horizontal="left" vertical="center"/>
    </xf>
    <xf numFmtId="166" fontId="2" fillId="26" borderId="16" xfId="37" applyNumberFormat="1" applyFill="1" applyBorder="1" applyAlignment="1">
      <alignment horizontal="left" vertical="center"/>
    </xf>
    <xf numFmtId="0" fontId="23" fillId="28" borderId="24" xfId="37" applyFont="1" applyFill="1" applyBorder="1" applyAlignment="1">
      <alignment horizontal="center" vertical="center" textRotation="90" wrapText="1"/>
    </xf>
    <xf numFmtId="0" fontId="2" fillId="26" borderId="14" xfId="37" applyFill="1" applyBorder="1" applyAlignment="1">
      <alignment vertical="center" wrapText="1"/>
    </xf>
    <xf numFmtId="0" fontId="2" fillId="26" borderId="26" xfId="37" applyFill="1" applyBorder="1" applyAlignment="1">
      <alignment horizontal="center" vertical="center" wrapText="1"/>
    </xf>
    <xf numFmtId="0" fontId="2" fillId="26" borderId="29" xfId="37" applyFill="1" applyBorder="1" applyAlignment="1">
      <alignment horizontal="center" vertical="center" wrapText="1"/>
    </xf>
    <xf numFmtId="0" fontId="2" fillId="26" borderId="13" xfId="37" applyFill="1" applyBorder="1" applyAlignment="1">
      <alignment horizontal="center" vertical="center" wrapText="1"/>
    </xf>
    <xf numFmtId="0" fontId="2" fillId="26" borderId="23" xfId="37" applyFill="1" applyBorder="1" applyAlignment="1">
      <alignment horizontal="center" vertical="center" wrapText="1"/>
    </xf>
    <xf numFmtId="165" fontId="2" fillId="26" borderId="47" xfId="37" applyNumberFormat="1" applyFill="1" applyBorder="1" applyAlignment="1">
      <alignment horizontal="center" vertical="center" wrapText="1"/>
    </xf>
    <xf numFmtId="165" fontId="2" fillId="26" borderId="19" xfId="37" applyNumberFormat="1" applyFill="1" applyBorder="1" applyAlignment="1">
      <alignment horizontal="center" vertical="center" wrapText="1"/>
    </xf>
    <xf numFmtId="165" fontId="2" fillId="26" borderId="30" xfId="37" applyNumberFormat="1" applyFill="1" applyBorder="1" applyAlignment="1">
      <alignment horizontal="center" vertical="center"/>
    </xf>
    <xf numFmtId="165" fontId="2" fillId="26" borderId="22" xfId="37" applyNumberFormat="1" applyFill="1" applyBorder="1" applyAlignment="1">
      <alignment horizontal="center" vertical="center"/>
    </xf>
    <xf numFmtId="165" fontId="2" fillId="26" borderId="20" xfId="37" applyNumberFormat="1" applyFill="1" applyBorder="1" applyAlignment="1">
      <alignment horizontal="center" vertical="center"/>
    </xf>
    <xf numFmtId="0" fontId="30" fillId="26" borderId="21" xfId="37" applyFont="1" applyFill="1" applyBorder="1" applyAlignment="1">
      <alignment horizontal="center" vertical="top" wrapText="1"/>
    </xf>
    <xf numFmtId="0" fontId="30" fillId="26" borderId="0" xfId="37" applyFont="1" applyFill="1" applyAlignment="1">
      <alignment horizontal="center" vertical="top" wrapText="1"/>
    </xf>
    <xf numFmtId="0" fontId="2" fillId="26" borderId="21" xfId="37" applyFill="1" applyBorder="1" applyAlignment="1">
      <alignment horizontal="left" vertical="top" wrapText="1"/>
    </xf>
    <xf numFmtId="0" fontId="2" fillId="26" borderId="10" xfId="37" applyFill="1" applyBorder="1" applyAlignment="1">
      <alignment horizontal="left" vertical="top" wrapText="1"/>
    </xf>
    <xf numFmtId="0" fontId="2" fillId="26" borderId="0" xfId="37" applyFill="1" applyAlignment="1">
      <alignment horizontal="left" vertical="top" wrapText="1"/>
    </xf>
    <xf numFmtId="166" fontId="2" fillId="26" borderId="17" xfId="37" applyNumberFormat="1" applyFill="1" applyBorder="1" applyAlignment="1">
      <alignment horizontal="left" vertical="top"/>
    </xf>
    <xf numFmtId="166" fontId="2" fillId="26" borderId="18" xfId="37" applyNumberFormat="1" applyFill="1" applyBorder="1" applyAlignment="1">
      <alignment horizontal="left" vertical="top"/>
    </xf>
    <xf numFmtId="166" fontId="2" fillId="26" borderId="16" xfId="37" applyNumberFormat="1" applyFill="1" applyBorder="1" applyAlignment="1">
      <alignment horizontal="left" vertical="top"/>
    </xf>
    <xf numFmtId="0" fontId="2" fillId="26" borderId="21" xfId="37" applyFill="1" applyBorder="1" applyAlignment="1">
      <alignment horizontal="left" vertical="center" wrapText="1"/>
    </xf>
    <xf numFmtId="0" fontId="2" fillId="26" borderId="28" xfId="37" applyFill="1" applyBorder="1" applyAlignment="1">
      <alignment horizontal="left" vertical="center" wrapText="1"/>
    </xf>
    <xf numFmtId="0" fontId="2" fillId="26" borderId="10" xfId="37" applyFill="1" applyBorder="1" applyAlignment="1">
      <alignment horizontal="center" vertical="center" wrapText="1"/>
    </xf>
    <xf numFmtId="0" fontId="30" fillId="26" borderId="10" xfId="37" applyFont="1" applyFill="1" applyBorder="1" applyAlignment="1">
      <alignment horizontal="center" vertical="top" wrapText="1"/>
    </xf>
    <xf numFmtId="0" fontId="51" fillId="26" borderId="21" xfId="37" applyFont="1" applyFill="1" applyBorder="1" applyAlignment="1">
      <alignment horizontal="left" vertical="top" wrapText="1"/>
    </xf>
    <xf numFmtId="0" fontId="51" fillId="26" borderId="0" xfId="37" applyFont="1" applyFill="1" applyAlignment="1">
      <alignment horizontal="left" vertical="top" wrapText="1"/>
    </xf>
    <xf numFmtId="0" fontId="51" fillId="26" borderId="10" xfId="37" applyFont="1" applyFill="1" applyBorder="1" applyAlignment="1">
      <alignment horizontal="left" vertical="top" wrapText="1"/>
    </xf>
    <xf numFmtId="0" fontId="30" fillId="26" borderId="28" xfId="37" applyFont="1" applyFill="1" applyBorder="1" applyAlignment="1">
      <alignment horizontal="center" vertical="top" wrapText="1"/>
    </xf>
    <xf numFmtId="0" fontId="30" fillId="26" borderId="31" xfId="37" applyFont="1" applyFill="1" applyBorder="1" applyAlignment="1">
      <alignment horizontal="center" vertical="top" wrapText="1"/>
    </xf>
    <xf numFmtId="0" fontId="30" fillId="26" borderId="29" xfId="37" applyFont="1" applyFill="1" applyBorder="1" applyAlignment="1">
      <alignment horizontal="center" vertical="top" wrapText="1"/>
    </xf>
    <xf numFmtId="0" fontId="51" fillId="26" borderId="13" xfId="37" applyFont="1" applyFill="1" applyBorder="1" applyAlignment="1">
      <alignment horizontal="left" vertical="center" wrapText="1"/>
    </xf>
    <xf numFmtId="0" fontId="51" fillId="26" borderId="28" xfId="37" applyFont="1" applyFill="1" applyBorder="1" applyAlignment="1">
      <alignment horizontal="left" vertical="center" wrapText="1"/>
    </xf>
    <xf numFmtId="0" fontId="2" fillId="0" borderId="21" xfId="37" applyBorder="1" applyAlignment="1">
      <alignment horizontal="left" vertical="top" wrapText="1"/>
    </xf>
    <xf numFmtId="0" fontId="2" fillId="0" borderId="0" xfId="37" applyAlignment="1">
      <alignment horizontal="left" vertical="top" wrapText="1"/>
    </xf>
    <xf numFmtId="0" fontId="2" fillId="0" borderId="10" xfId="37" applyBorder="1" applyAlignment="1">
      <alignment horizontal="left" vertical="top" wrapText="1"/>
    </xf>
    <xf numFmtId="0" fontId="2" fillId="26" borderId="13" xfId="37" applyFill="1" applyBorder="1" applyAlignment="1">
      <alignment horizontal="left" vertical="center" wrapText="1"/>
    </xf>
    <xf numFmtId="0" fontId="2" fillId="26" borderId="26" xfId="37" applyFill="1" applyBorder="1" applyAlignment="1">
      <alignment horizontal="center" vertical="center"/>
    </xf>
    <xf numFmtId="0" fontId="2" fillId="26" borderId="29" xfId="37" applyFill="1" applyBorder="1" applyAlignment="1">
      <alignment horizontal="center" vertical="center"/>
    </xf>
    <xf numFmtId="0" fontId="51" fillId="26" borderId="13" xfId="37" applyFont="1" applyFill="1" applyBorder="1" applyAlignment="1">
      <alignment horizontal="center" vertical="center"/>
    </xf>
    <xf numFmtId="0" fontId="51" fillId="26" borderId="30" xfId="37" applyFont="1" applyFill="1" applyBorder="1" applyAlignment="1">
      <alignment horizontal="center" vertical="center"/>
    </xf>
    <xf numFmtId="0" fontId="51" fillId="26" borderId="26" xfId="37" applyFont="1" applyFill="1" applyBorder="1" applyAlignment="1">
      <alignment horizontal="center" vertical="center"/>
    </xf>
    <xf numFmtId="0" fontId="51" fillId="26" borderId="23" xfId="37" applyFont="1" applyFill="1" applyBorder="1" applyAlignment="1">
      <alignment horizontal="center" vertical="center"/>
    </xf>
    <xf numFmtId="0" fontId="51" fillId="26" borderId="22" xfId="37" applyFont="1" applyFill="1" applyBorder="1" applyAlignment="1">
      <alignment horizontal="center" vertical="center"/>
    </xf>
    <xf numFmtId="0" fontId="51" fillId="26" borderId="20" xfId="37" applyFont="1" applyFill="1" applyBorder="1" applyAlignment="1">
      <alignment horizontal="center" vertical="center"/>
    </xf>
    <xf numFmtId="0" fontId="70" fillId="26" borderId="21" xfId="37" applyFont="1" applyFill="1" applyBorder="1" applyAlignment="1">
      <alignment horizontal="center" vertical="top" wrapText="1"/>
    </xf>
    <xf numFmtId="0" fontId="70" fillId="26" borderId="0" xfId="37" applyFont="1" applyFill="1" applyAlignment="1">
      <alignment horizontal="center" vertical="top" wrapText="1"/>
    </xf>
    <xf numFmtId="0" fontId="70" fillId="26" borderId="10" xfId="37" applyFont="1" applyFill="1" applyBorder="1" applyAlignment="1">
      <alignment horizontal="center" vertical="top" wrapText="1"/>
    </xf>
    <xf numFmtId="0" fontId="70" fillId="26" borderId="28" xfId="37" applyFont="1" applyFill="1" applyBorder="1" applyAlignment="1">
      <alignment horizontal="center" vertical="top" wrapText="1"/>
    </xf>
    <xf numFmtId="0" fontId="70" fillId="26" borderId="31" xfId="37" applyFont="1" applyFill="1" applyBorder="1" applyAlignment="1">
      <alignment horizontal="center" vertical="top" wrapText="1"/>
    </xf>
    <xf numFmtId="0" fontId="70" fillId="26" borderId="29" xfId="37" applyFont="1" applyFill="1" applyBorder="1" applyAlignment="1">
      <alignment horizontal="center" vertical="top" wrapText="1"/>
    </xf>
    <xf numFmtId="0" fontId="28" fillId="26" borderId="28" xfId="37" applyFont="1" applyFill="1" applyBorder="1" applyAlignment="1">
      <alignment horizontal="right" vertical="center"/>
    </xf>
    <xf numFmtId="0" fontId="28" fillId="26" borderId="29" xfId="37" applyFont="1" applyFill="1" applyBorder="1" applyAlignment="1">
      <alignment horizontal="right" vertical="center"/>
    </xf>
    <xf numFmtId="165" fontId="2" fillId="26" borderId="26" xfId="37" applyNumberFormat="1" applyFill="1" applyBorder="1" applyAlignment="1">
      <alignment horizontal="center" vertical="center"/>
    </xf>
    <xf numFmtId="0" fontId="2" fillId="26" borderId="13" xfId="37" applyFill="1" applyBorder="1" applyAlignment="1">
      <alignment horizontal="center" vertical="center"/>
    </xf>
    <xf numFmtId="0" fontId="2" fillId="26" borderId="30" xfId="37" applyFill="1" applyBorder="1" applyAlignment="1">
      <alignment horizontal="center" vertical="center"/>
    </xf>
    <xf numFmtId="0" fontId="2" fillId="26" borderId="23" xfId="37" applyFill="1" applyBorder="1" applyAlignment="1">
      <alignment horizontal="center" vertical="center"/>
    </xf>
    <xf numFmtId="0" fontId="2" fillId="26" borderId="22" xfId="37" applyFill="1" applyBorder="1" applyAlignment="1">
      <alignment horizontal="center" vertical="center"/>
    </xf>
    <xf numFmtId="0" fontId="2" fillId="26" borderId="20" xfId="37" applyFill="1" applyBorder="1" applyAlignment="1">
      <alignment horizontal="center" vertical="center"/>
    </xf>
    <xf numFmtId="0" fontId="23" fillId="0" borderId="0" xfId="0" applyFont="1" applyAlignment="1">
      <alignment horizontal="right" vertical="center"/>
    </xf>
    <xf numFmtId="0" fontId="28" fillId="0" borderId="52" xfId="0" applyFont="1" applyBorder="1" applyAlignment="1">
      <alignment horizontal="center" wrapText="1"/>
    </xf>
    <xf numFmtId="0" fontId="28" fillId="0" borderId="32" xfId="0" applyFont="1" applyBorder="1" applyAlignment="1">
      <alignment horizontal="center" wrapText="1"/>
    </xf>
    <xf numFmtId="0" fontId="21" fillId="0" borderId="21" xfId="0" applyFont="1" applyBorder="1" applyAlignment="1">
      <alignment horizontal="center" vertical="center"/>
    </xf>
    <xf numFmtId="0" fontId="21" fillId="0" borderId="0" xfId="0" applyFont="1" applyAlignment="1">
      <alignment horizontal="center" vertical="center"/>
    </xf>
    <xf numFmtId="0" fontId="21" fillId="0" borderId="10" xfId="0" applyFont="1" applyBorder="1" applyAlignment="1">
      <alignment horizontal="center" vertical="center"/>
    </xf>
    <xf numFmtId="0" fontId="33" fillId="0" borderId="28" xfId="0" applyFont="1" applyBorder="1" applyAlignment="1">
      <alignment horizontal="center" vertical="center"/>
    </xf>
    <xf numFmtId="0" fontId="33" fillId="0" borderId="31" xfId="0" applyFont="1" applyBorder="1" applyAlignment="1">
      <alignment horizontal="center" vertical="center"/>
    </xf>
    <xf numFmtId="0" fontId="33" fillId="0" borderId="29" xfId="0" applyFont="1" applyBorder="1" applyAlignment="1">
      <alignment horizontal="center" vertical="center"/>
    </xf>
    <xf numFmtId="0" fontId="24" fillId="0" borderId="12" xfId="0" applyFont="1" applyBorder="1" applyAlignment="1">
      <alignment horizontal="center" vertical="top" wrapText="1"/>
    </xf>
    <xf numFmtId="0" fontId="24" fillId="0" borderId="19" xfId="0" applyFont="1" applyBorder="1" applyAlignment="1">
      <alignment horizontal="center" vertical="top" wrapText="1"/>
    </xf>
    <xf numFmtId="0" fontId="30" fillId="0" borderId="10" xfId="0" applyFont="1" applyBorder="1" applyAlignment="1">
      <alignment horizontal="center" vertical="top" wrapText="1"/>
    </xf>
    <xf numFmtId="0" fontId="24" fillId="0" borderId="0" xfId="0" applyFont="1" applyAlignment="1">
      <alignment horizontal="center" vertical="top" wrapText="1"/>
    </xf>
    <xf numFmtId="0" fontId="24" fillId="0" borderId="22" xfId="0" applyFont="1" applyBorder="1" applyAlignment="1">
      <alignment horizontal="center" vertical="top" wrapText="1"/>
    </xf>
    <xf numFmtId="0" fontId="24" fillId="0" borderId="12" xfId="0" applyFont="1" applyBorder="1" applyAlignment="1">
      <alignment horizontal="center" vertical="top"/>
    </xf>
    <xf numFmtId="0" fontId="24" fillId="0" borderId="19" xfId="0" applyFont="1" applyBorder="1" applyAlignment="1">
      <alignment horizontal="center" vertical="top"/>
    </xf>
    <xf numFmtId="0" fontId="2" fillId="0" borderId="21" xfId="0" applyFont="1" applyBorder="1" applyAlignment="1">
      <alignment horizontal="left"/>
    </xf>
    <xf numFmtId="0" fontId="2" fillId="0" borderId="0" xfId="0" applyFont="1" applyAlignment="1">
      <alignment horizontal="left"/>
    </xf>
    <xf numFmtId="0" fontId="2" fillId="0" borderId="10" xfId="0" applyFont="1" applyBorder="1" applyAlignment="1">
      <alignment horizontal="left"/>
    </xf>
    <xf numFmtId="0" fontId="2" fillId="0" borderId="21" xfId="0" applyFont="1" applyBorder="1" applyAlignment="1">
      <alignment vertical="top" wrapText="1"/>
    </xf>
    <xf numFmtId="0" fontId="2" fillId="0" borderId="10" xfId="0" applyFont="1" applyBorder="1" applyAlignment="1">
      <alignment vertical="top" wrapText="1"/>
    </xf>
    <xf numFmtId="0" fontId="2" fillId="0" borderId="21" xfId="0" applyFont="1" applyBorder="1"/>
    <xf numFmtId="0" fontId="2" fillId="0" borderId="10" xfId="0" applyFont="1" applyBorder="1"/>
    <xf numFmtId="0" fontId="28" fillId="28" borderId="28" xfId="0" applyFont="1" applyFill="1" applyBorder="1" applyAlignment="1">
      <alignment horizontal="center" vertical="center"/>
    </xf>
    <xf numFmtId="0" fontId="28" fillId="28" borderId="31" xfId="0" applyFont="1" applyFill="1" applyBorder="1" applyAlignment="1">
      <alignment horizontal="center" vertical="center"/>
    </xf>
    <xf numFmtId="0" fontId="28" fillId="28" borderId="29" xfId="0" applyFont="1" applyFill="1" applyBorder="1" applyAlignment="1">
      <alignment horizontal="center" vertical="center"/>
    </xf>
    <xf numFmtId="166" fontId="28" fillId="0" borderId="31" xfId="0" applyNumberFormat="1" applyFont="1" applyBorder="1" applyAlignment="1">
      <alignment horizontal="center" vertical="center"/>
    </xf>
    <xf numFmtId="166" fontId="28" fillId="0" borderId="29" xfId="0" applyNumberFormat="1" applyFont="1" applyBorder="1" applyAlignment="1">
      <alignment horizontal="center" vertical="center"/>
    </xf>
    <xf numFmtId="0" fontId="30" fillId="28" borderId="12" xfId="0" applyFont="1" applyFill="1" applyBorder="1" applyAlignment="1">
      <alignment horizontal="left" vertical="top" wrapText="1"/>
    </xf>
    <xf numFmtId="0" fontId="30" fillId="28" borderId="0" xfId="0" applyFont="1" applyFill="1" applyAlignment="1">
      <alignment horizontal="center" vertical="center" wrapText="1"/>
    </xf>
    <xf numFmtId="0" fontId="30" fillId="28" borderId="10" xfId="0" applyFont="1" applyFill="1" applyBorder="1" applyAlignment="1">
      <alignment horizontal="center" vertical="center" wrapText="1"/>
    </xf>
    <xf numFmtId="0" fontId="30" fillId="28" borderId="12" xfId="0" applyFont="1" applyFill="1" applyBorder="1" applyAlignment="1">
      <alignment horizontal="center" vertical="center" wrapText="1"/>
    </xf>
    <xf numFmtId="166" fontId="2" fillId="28" borderId="17" xfId="0" applyNumberFormat="1" applyFont="1" applyFill="1" applyBorder="1" applyAlignment="1">
      <alignment horizontal="left" vertical="center"/>
    </xf>
    <xf numFmtId="166" fontId="2" fillId="28" borderId="18" xfId="0" applyNumberFormat="1" applyFont="1" applyFill="1" applyBorder="1" applyAlignment="1">
      <alignment horizontal="left" vertical="center"/>
    </xf>
    <xf numFmtId="166" fontId="2" fillId="28" borderId="16" xfId="0" applyNumberFormat="1" applyFont="1" applyFill="1" applyBorder="1" applyAlignment="1">
      <alignment horizontal="left" vertical="center"/>
    </xf>
    <xf numFmtId="0" fontId="30" fillId="28" borderId="21" xfId="0" applyFont="1" applyFill="1" applyBorder="1" applyAlignment="1">
      <alignment horizontal="left" vertical="top" wrapText="1"/>
    </xf>
    <xf numFmtId="0" fontId="30" fillId="28" borderId="0" xfId="0" applyFont="1" applyFill="1" applyAlignment="1">
      <alignment horizontal="left" vertical="top" wrapText="1"/>
    </xf>
    <xf numFmtId="0" fontId="30" fillId="28" borderId="10" xfId="0" applyFont="1" applyFill="1" applyBorder="1" applyAlignment="1">
      <alignment horizontal="left" vertical="top" wrapText="1"/>
    </xf>
    <xf numFmtId="0" fontId="2" fillId="28" borderId="12" xfId="0" applyFont="1" applyFill="1" applyBorder="1" applyAlignment="1">
      <alignment horizontal="center" vertical="center" wrapText="1"/>
    </xf>
    <xf numFmtId="0" fontId="2" fillId="28" borderId="19" xfId="0" applyFont="1" applyFill="1" applyBorder="1" applyAlignment="1">
      <alignment horizontal="center" vertical="center" wrapText="1"/>
    </xf>
    <xf numFmtId="0" fontId="2" fillId="0" borderId="28" xfId="0" applyFont="1" applyBorder="1" applyAlignment="1">
      <alignment horizontal="left" vertical="top" wrapText="1"/>
    </xf>
    <xf numFmtId="0" fontId="2" fillId="0" borderId="29" xfId="0" applyFont="1" applyBorder="1" applyAlignment="1">
      <alignment horizontal="left" vertical="top" wrapText="1"/>
    </xf>
    <xf numFmtId="0" fontId="30" fillId="0" borderId="22" xfId="0" applyFont="1" applyBorder="1" applyAlignment="1">
      <alignment horizontal="center" vertical="center" wrapText="1"/>
    </xf>
    <xf numFmtId="166" fontId="28" fillId="0" borderId="31" xfId="0" applyNumberFormat="1" applyFont="1" applyBorder="1" applyAlignment="1">
      <alignment horizontal="right" vertical="center"/>
    </xf>
    <xf numFmtId="166" fontId="28" fillId="0" borderId="29" xfId="0" applyNumberFormat="1" applyFont="1" applyBorder="1" applyAlignment="1">
      <alignment horizontal="right" vertical="center"/>
    </xf>
    <xf numFmtId="0" fontId="2" fillId="0" borderId="12" xfId="0" applyFont="1" applyBorder="1" applyAlignment="1">
      <alignment horizontal="center" vertical="top"/>
    </xf>
    <xf numFmtId="0" fontId="2" fillId="0" borderId="19" xfId="0" applyFont="1" applyBorder="1" applyAlignment="1">
      <alignment horizontal="center" vertical="top"/>
    </xf>
    <xf numFmtId="0" fontId="30" fillId="28" borderId="10" xfId="0" applyFont="1" applyFill="1" applyBorder="1" applyAlignment="1">
      <alignment vertical="top" wrapText="1"/>
    </xf>
    <xf numFmtId="0" fontId="30" fillId="28" borderId="10" xfId="0" applyFont="1" applyFill="1" applyBorder="1"/>
    <xf numFmtId="0" fontId="30" fillId="28" borderId="12" xfId="0" applyFont="1" applyFill="1" applyBorder="1"/>
    <xf numFmtId="0" fontId="2" fillId="0" borderId="12" xfId="0" applyFont="1" applyBorder="1" applyAlignment="1">
      <alignment horizontal="left" vertical="top" wrapText="1"/>
    </xf>
    <xf numFmtId="0" fontId="2" fillId="0" borderId="12" xfId="0" applyFont="1" applyBorder="1"/>
    <xf numFmtId="0" fontId="2" fillId="0" borderId="14" xfId="0" applyFont="1" applyBorder="1" applyAlignment="1">
      <alignment horizontal="left" vertical="center" wrapText="1"/>
    </xf>
    <xf numFmtId="0" fontId="2" fillId="0" borderId="11" xfId="0" applyFont="1" applyBorder="1" applyAlignment="1">
      <alignment horizontal="center" vertical="center" wrapText="1"/>
    </xf>
    <xf numFmtId="1" fontId="2" fillId="0" borderId="12" xfId="0" applyNumberFormat="1" applyFont="1" applyBorder="1" applyAlignment="1">
      <alignment horizontal="center" vertical="center"/>
    </xf>
    <xf numFmtId="0" fontId="2" fillId="0" borderId="12" xfId="0" applyFont="1" applyBorder="1" applyAlignment="1">
      <alignment horizontal="center" vertical="center" wrapText="1"/>
    </xf>
    <xf numFmtId="0" fontId="2" fillId="0" borderId="0" xfId="0" applyFont="1" applyAlignment="1">
      <alignment vertical="top" wrapText="1"/>
    </xf>
    <xf numFmtId="0" fontId="21" fillId="0" borderId="12" xfId="0" applyFont="1" applyBorder="1" applyAlignment="1">
      <alignment horizontal="center" vertical="center"/>
    </xf>
    <xf numFmtId="166" fontId="2" fillId="0" borderId="154" xfId="0" applyNumberFormat="1" applyFont="1" applyBorder="1" applyAlignment="1">
      <alignment horizontal="left" vertical="center"/>
    </xf>
    <xf numFmtId="0" fontId="2" fillId="0" borderId="133" xfId="0" applyFont="1" applyBorder="1" applyAlignment="1">
      <alignment horizontal="left" vertical="top" wrapText="1"/>
    </xf>
    <xf numFmtId="0" fontId="30" fillId="0" borderId="28" xfId="0" applyFont="1" applyBorder="1" applyAlignment="1">
      <alignment horizontal="center" vertical="top" wrapText="1"/>
    </xf>
    <xf numFmtId="0" fontId="30" fillId="0" borderId="31" xfId="0" applyFont="1" applyBorder="1" applyAlignment="1">
      <alignment horizontal="center" vertical="top" wrapText="1"/>
    </xf>
    <xf numFmtId="0" fontId="30" fillId="0" borderId="29" xfId="0" applyFont="1" applyBorder="1" applyAlignment="1">
      <alignment horizontal="center" vertical="top" wrapText="1"/>
    </xf>
    <xf numFmtId="0" fontId="30" fillId="0" borderId="133" xfId="0" applyFont="1" applyBorder="1" applyAlignment="1">
      <alignment horizontal="center" vertical="top" wrapText="1"/>
    </xf>
    <xf numFmtId="0" fontId="30" fillId="0" borderId="135" xfId="0" applyFont="1" applyBorder="1" applyAlignment="1">
      <alignment horizontal="center" vertical="top" wrapText="1"/>
    </xf>
    <xf numFmtId="0" fontId="2" fillId="0" borderId="11" xfId="0" applyFont="1" applyBorder="1" applyAlignment="1">
      <alignment horizontal="center" vertical="center"/>
    </xf>
    <xf numFmtId="0" fontId="2" fillId="0" borderId="12" xfId="0" applyFont="1" applyBorder="1" applyAlignment="1">
      <alignment horizontal="center" vertical="top" wrapText="1"/>
    </xf>
    <xf numFmtId="0" fontId="2" fillId="0" borderId="19" xfId="0" applyFont="1" applyBorder="1" applyAlignment="1">
      <alignment horizontal="center" vertical="top" wrapText="1"/>
    </xf>
    <xf numFmtId="0" fontId="33" fillId="0" borderId="21" xfId="0" applyFont="1" applyBorder="1" applyAlignment="1">
      <alignment horizontal="center" vertical="center"/>
    </xf>
    <xf numFmtId="0" fontId="33" fillId="0" borderId="0" xfId="0" applyFont="1" applyAlignment="1">
      <alignment horizontal="center" vertical="center"/>
    </xf>
    <xf numFmtId="0" fontId="33" fillId="0" borderId="10" xfId="0" applyFont="1" applyBorder="1" applyAlignment="1">
      <alignment horizontal="center" vertical="center"/>
    </xf>
    <xf numFmtId="0" fontId="21" fillId="0" borderId="46" xfId="0" applyFont="1" applyBorder="1" applyAlignment="1">
      <alignment horizontal="center" vertical="center"/>
    </xf>
    <xf numFmtId="0" fontId="2" fillId="0" borderId="12" xfId="0" applyFont="1" applyBorder="1" applyAlignment="1">
      <alignment vertical="top" wrapText="1"/>
    </xf>
    <xf numFmtId="0" fontId="30" fillId="0" borderId="12" xfId="0" applyFont="1" applyBorder="1" applyAlignment="1">
      <alignment horizontal="center" vertical="center" wrapText="1"/>
    </xf>
    <xf numFmtId="0" fontId="30" fillId="0" borderId="46" xfId="0" applyFont="1" applyBorder="1" applyAlignment="1">
      <alignment horizontal="center" vertical="center" wrapText="1"/>
    </xf>
    <xf numFmtId="0" fontId="30" fillId="0" borderId="12" xfId="0" applyFont="1" applyBorder="1" applyAlignment="1">
      <alignment horizontal="center" vertical="top" wrapText="1"/>
    </xf>
    <xf numFmtId="0" fontId="30" fillId="0" borderId="46" xfId="0" applyFont="1" applyBorder="1" applyAlignment="1">
      <alignment horizontal="center" vertical="top" wrapText="1"/>
    </xf>
    <xf numFmtId="0" fontId="2" fillId="0" borderId="13" xfId="0" applyFont="1" applyBorder="1" applyAlignment="1">
      <alignment horizontal="left" vertical="center" wrapText="1"/>
    </xf>
    <xf numFmtId="0" fontId="2" fillId="0" borderId="28" xfId="0" applyFont="1" applyBorder="1" applyAlignment="1">
      <alignment horizontal="left" vertical="center" wrapText="1"/>
    </xf>
    <xf numFmtId="1" fontId="2" fillId="0" borderId="26" xfId="0" applyNumberFormat="1" applyFont="1" applyBorder="1" applyAlignment="1">
      <alignment horizontal="center" vertical="center"/>
    </xf>
    <xf numFmtId="1" fontId="2" fillId="0" borderId="29" xfId="0" applyNumberFormat="1" applyFont="1" applyBorder="1" applyAlignment="1">
      <alignment horizontal="center" vertical="center"/>
    </xf>
    <xf numFmtId="0" fontId="2" fillId="0" borderId="13" xfId="0" applyFont="1" applyBorder="1" applyAlignment="1">
      <alignment horizontal="center" vertical="center" wrapText="1"/>
    </xf>
    <xf numFmtId="0" fontId="2" fillId="0" borderId="30" xfId="0" applyFont="1" applyBorder="1" applyAlignment="1">
      <alignment horizontal="center" vertical="center" wrapText="1"/>
    </xf>
    <xf numFmtId="0" fontId="2" fillId="0" borderId="26" xfId="0" applyFont="1" applyBorder="1" applyAlignment="1">
      <alignment horizontal="center" vertical="center" wrapText="1"/>
    </xf>
    <xf numFmtId="0" fontId="2" fillId="0" borderId="28" xfId="0" applyFont="1" applyBorder="1" applyAlignment="1">
      <alignment horizontal="center" vertical="center" wrapText="1"/>
    </xf>
    <xf numFmtId="0" fontId="2" fillId="0" borderId="31" xfId="0" applyFont="1" applyBorder="1" applyAlignment="1">
      <alignment horizontal="center" vertical="center" wrapText="1"/>
    </xf>
    <xf numFmtId="0" fontId="2" fillId="0" borderId="29" xfId="0" applyFont="1" applyBorder="1" applyAlignment="1">
      <alignment horizontal="center" vertical="center" wrapText="1"/>
    </xf>
    <xf numFmtId="0" fontId="28" fillId="0" borderId="14" xfId="0" applyFont="1" applyBorder="1" applyAlignment="1">
      <alignment horizontal="center" vertical="center"/>
    </xf>
    <xf numFmtId="0" fontId="28" fillId="0" borderId="42" xfId="0" applyFont="1" applyBorder="1" applyAlignment="1">
      <alignment horizontal="center" vertical="center"/>
    </xf>
    <xf numFmtId="0" fontId="2" fillId="0" borderId="27" xfId="0" applyFont="1" applyBorder="1" applyAlignment="1">
      <alignment horizontal="left" vertical="center" wrapText="1"/>
    </xf>
    <xf numFmtId="0" fontId="2" fillId="0" borderId="14" xfId="47" applyBorder="1" applyAlignment="1">
      <alignment horizontal="left" vertical="center" wrapText="1"/>
    </xf>
    <xf numFmtId="0" fontId="2" fillId="0" borderId="30" xfId="0" applyFont="1" applyBorder="1" applyAlignment="1">
      <alignment horizontal="left" vertical="center" wrapText="1"/>
    </xf>
    <xf numFmtId="0" fontId="2" fillId="0" borderId="31" xfId="0" applyFont="1" applyBorder="1" applyAlignment="1">
      <alignment horizontal="left" vertical="center" wrapText="1"/>
    </xf>
    <xf numFmtId="0" fontId="23" fillId="28" borderId="17" xfId="0" applyFont="1" applyFill="1" applyBorder="1" applyAlignment="1">
      <alignment horizontal="center" vertical="center" textRotation="90" wrapText="1"/>
    </xf>
    <xf numFmtId="0" fontId="23" fillId="28" borderId="21" xfId="0" applyFont="1" applyFill="1" applyBorder="1" applyAlignment="1">
      <alignment horizontal="center" vertical="center" textRotation="90" wrapText="1"/>
    </xf>
    <xf numFmtId="0" fontId="23" fillId="28" borderId="23" xfId="0" applyFont="1" applyFill="1" applyBorder="1" applyAlignment="1">
      <alignment horizontal="center" vertical="center" textRotation="90" wrapText="1"/>
    </xf>
    <xf numFmtId="0" fontId="30" fillId="28" borderId="133" xfId="0" applyFont="1" applyFill="1" applyBorder="1" applyAlignment="1">
      <alignment horizontal="center" vertical="top" wrapText="1"/>
    </xf>
    <xf numFmtId="0" fontId="30" fillId="28" borderId="0" xfId="0" applyFont="1" applyFill="1" applyAlignment="1">
      <alignment horizontal="center" vertical="top" wrapText="1"/>
    </xf>
    <xf numFmtId="0" fontId="30" fillId="28" borderId="122" xfId="0" applyFont="1" applyFill="1" applyBorder="1" applyAlignment="1">
      <alignment horizontal="center" vertical="top" wrapText="1"/>
    </xf>
    <xf numFmtId="0" fontId="30" fillId="28" borderId="12" xfId="0" applyFont="1" applyFill="1" applyBorder="1" applyAlignment="1">
      <alignment horizontal="center" vertical="top" wrapText="1"/>
    </xf>
    <xf numFmtId="0" fontId="2" fillId="28" borderId="47" xfId="0" applyFont="1" applyFill="1" applyBorder="1" applyAlignment="1">
      <alignment horizontal="center" vertical="center" wrapText="1"/>
    </xf>
    <xf numFmtId="166" fontId="2" fillId="28" borderId="132" xfId="0" applyNumberFormat="1" applyFont="1" applyFill="1" applyBorder="1" applyAlignment="1">
      <alignment horizontal="left" vertical="center"/>
    </xf>
    <xf numFmtId="166" fontId="2" fillId="28" borderId="119" xfId="0" applyNumberFormat="1" applyFont="1" applyFill="1" applyBorder="1" applyAlignment="1">
      <alignment horizontal="left" vertical="center"/>
    </xf>
    <xf numFmtId="166" fontId="2" fillId="28" borderId="121" xfId="0" applyNumberFormat="1" applyFont="1" applyFill="1" applyBorder="1" applyAlignment="1">
      <alignment horizontal="left" vertical="center"/>
    </xf>
    <xf numFmtId="0" fontId="30" fillId="28" borderId="0" xfId="0" applyFont="1" applyFill="1" applyAlignment="1">
      <alignment vertical="top" wrapText="1"/>
    </xf>
    <xf numFmtId="0" fontId="30" fillId="28" borderId="0" xfId="0" applyFont="1" applyFill="1"/>
    <xf numFmtId="0" fontId="28" fillId="28" borderId="135" xfId="0" applyFont="1" applyFill="1" applyBorder="1" applyAlignment="1">
      <alignment horizontal="center" vertical="center"/>
    </xf>
    <xf numFmtId="0" fontId="28" fillId="28" borderId="124" xfId="0" applyFont="1" applyFill="1" applyBorder="1" applyAlignment="1">
      <alignment horizontal="center" vertical="center"/>
    </xf>
    <xf numFmtId="0" fontId="30" fillId="28" borderId="133" xfId="0" applyFont="1" applyFill="1" applyBorder="1" applyAlignment="1">
      <alignment horizontal="left" vertical="top" wrapText="1"/>
    </xf>
    <xf numFmtId="0" fontId="30" fillId="28" borderId="122" xfId="0" applyFont="1" applyFill="1" applyBorder="1" applyAlignment="1">
      <alignment horizontal="left" vertical="top" wrapText="1"/>
    </xf>
    <xf numFmtId="1" fontId="2" fillId="0" borderId="0" xfId="0" applyNumberFormat="1" applyFont="1" applyAlignment="1">
      <alignment horizontal="center" vertical="center"/>
    </xf>
    <xf numFmtId="1" fontId="2" fillId="0" borderId="10" xfId="0" applyNumberFormat="1" applyFont="1" applyBorder="1" applyAlignment="1">
      <alignment horizontal="center" vertical="center"/>
    </xf>
    <xf numFmtId="166" fontId="28" fillId="0" borderId="10" xfId="0" applyNumberFormat="1" applyFont="1" applyBorder="1" applyAlignment="1">
      <alignment horizontal="center" vertical="center"/>
    </xf>
    <xf numFmtId="166" fontId="28" fillId="0" borderId="39" xfId="0" applyNumberFormat="1" applyFont="1" applyBorder="1" applyAlignment="1">
      <alignment horizontal="left" vertical="center"/>
    </xf>
    <xf numFmtId="166" fontId="28" fillId="0" borderId="20" xfId="0" applyNumberFormat="1" applyFont="1" applyBorder="1" applyAlignment="1">
      <alignment horizontal="left" vertical="center"/>
    </xf>
    <xf numFmtId="0" fontId="2" fillId="0" borderId="41" xfId="0" applyFont="1" applyBorder="1" applyAlignment="1">
      <alignment horizontal="center" vertical="center"/>
    </xf>
    <xf numFmtId="0" fontId="2" fillId="0" borderId="66" xfId="0" applyFont="1" applyBorder="1" applyAlignment="1">
      <alignment horizontal="center" vertical="center"/>
    </xf>
    <xf numFmtId="0" fontId="2" fillId="0" borderId="63" xfId="0" applyFont="1" applyBorder="1" applyAlignment="1">
      <alignment horizontal="center" vertical="center"/>
    </xf>
    <xf numFmtId="0" fontId="2" fillId="0" borderId="44" xfId="0" applyFont="1" applyBorder="1" applyAlignment="1">
      <alignment horizontal="center" vertical="center"/>
    </xf>
    <xf numFmtId="0" fontId="2" fillId="0" borderId="0" xfId="0" applyFont="1" applyAlignment="1">
      <alignment horizontal="center" vertical="center"/>
    </xf>
    <xf numFmtId="0" fontId="2" fillId="0" borderId="31" xfId="0" applyFont="1" applyBorder="1" applyAlignment="1">
      <alignment horizontal="center" vertical="center"/>
    </xf>
    <xf numFmtId="0" fontId="2" fillId="0" borderId="21" xfId="0" applyFont="1" applyBorder="1" applyAlignment="1">
      <alignment horizontal="left" vertical="center" wrapText="1"/>
    </xf>
    <xf numFmtId="1" fontId="2" fillId="0" borderId="11" xfId="0" applyNumberFormat="1" applyFont="1" applyBorder="1" applyAlignment="1">
      <alignment horizontal="center" vertical="center"/>
    </xf>
    <xf numFmtId="166" fontId="2" fillId="0" borderId="12" xfId="0" applyNumberFormat="1" applyFont="1" applyBorder="1" applyAlignment="1">
      <alignment horizontal="right" vertical="center" wrapText="1"/>
    </xf>
    <xf numFmtId="0" fontId="2" fillId="0" borderId="12" xfId="0" applyFont="1" applyBorder="1" applyAlignment="1">
      <alignment horizontal="right" vertical="center" wrapText="1"/>
    </xf>
    <xf numFmtId="0" fontId="2" fillId="0" borderId="0" xfId="0" applyFont="1"/>
    <xf numFmtId="0" fontId="30" fillId="0" borderId="22" xfId="0" applyFont="1" applyBorder="1" applyAlignment="1">
      <alignment horizontal="left" vertical="center" wrapText="1"/>
    </xf>
    <xf numFmtId="166" fontId="2" fillId="0" borderId="12" xfId="0" applyNumberFormat="1" applyFont="1" applyBorder="1" applyAlignment="1">
      <alignment horizontal="right" wrapText="1"/>
    </xf>
    <xf numFmtId="0" fontId="2" fillId="0" borderId="12" xfId="0" applyFont="1" applyBorder="1" applyAlignment="1">
      <alignment horizontal="right" wrapText="1"/>
    </xf>
    <xf numFmtId="166" fontId="2" fillId="26" borderId="14" xfId="47" applyNumberFormat="1" applyFill="1" applyBorder="1" applyAlignment="1">
      <alignment horizontal="left" vertical="center" wrapText="1"/>
    </xf>
    <xf numFmtId="166" fontId="2" fillId="26" borderId="27" xfId="47" applyNumberFormat="1" applyFill="1" applyBorder="1" applyAlignment="1">
      <alignment horizontal="left" vertical="center" wrapText="1"/>
    </xf>
    <xf numFmtId="0" fontId="30" fillId="0" borderId="21" xfId="37" applyFont="1" applyBorder="1" applyAlignment="1">
      <alignment horizontal="center" vertical="top" wrapText="1"/>
    </xf>
    <xf numFmtId="0" fontId="30" fillId="0" borderId="0" xfId="37" applyFont="1" applyAlignment="1">
      <alignment horizontal="center" vertical="top" wrapText="1"/>
    </xf>
    <xf numFmtId="0" fontId="30" fillId="0" borderId="10" xfId="37" applyFont="1" applyBorder="1" applyAlignment="1">
      <alignment horizontal="center" vertical="top" wrapText="1"/>
    </xf>
    <xf numFmtId="0" fontId="30" fillId="0" borderId="28" xfId="37" applyFont="1" applyBorder="1" applyAlignment="1">
      <alignment horizontal="center" vertical="top" wrapText="1"/>
    </xf>
    <xf numFmtId="0" fontId="30" fillId="0" borderId="31" xfId="37" applyFont="1" applyBorder="1" applyAlignment="1">
      <alignment horizontal="center" vertical="top" wrapText="1"/>
    </xf>
    <xf numFmtId="0" fontId="30" fillId="0" borderId="29" xfId="37" applyFont="1" applyBorder="1" applyAlignment="1">
      <alignment horizontal="center" vertical="top" wrapText="1"/>
    </xf>
    <xf numFmtId="0" fontId="2" fillId="0" borderId="30" xfId="0" applyFont="1" applyBorder="1" applyAlignment="1">
      <alignment horizontal="center" vertical="center"/>
    </xf>
    <xf numFmtId="0" fontId="30" fillId="26" borderId="21" xfId="0" applyFont="1" applyFill="1" applyBorder="1" applyAlignment="1">
      <alignment horizontal="center" vertical="top" wrapText="1"/>
    </xf>
    <xf numFmtId="0" fontId="30" fillId="26" borderId="0" xfId="0" applyFont="1" applyFill="1" applyAlignment="1">
      <alignment horizontal="center" vertical="top" wrapText="1"/>
    </xf>
    <xf numFmtId="0" fontId="30" fillId="26" borderId="10" xfId="0" applyFont="1" applyFill="1" applyBorder="1" applyAlignment="1">
      <alignment horizontal="center" vertical="top" wrapText="1"/>
    </xf>
    <xf numFmtId="0" fontId="30" fillId="26" borderId="28" xfId="0" applyFont="1" applyFill="1" applyBorder="1" applyAlignment="1">
      <alignment horizontal="center" vertical="top" wrapText="1"/>
    </xf>
    <xf numFmtId="0" fontId="30" fillId="26" borderId="31" xfId="0" applyFont="1" applyFill="1" applyBorder="1" applyAlignment="1">
      <alignment horizontal="center" vertical="top" wrapText="1"/>
    </xf>
    <xf numFmtId="0" fontId="30" fillId="26" borderId="29" xfId="0" applyFont="1" applyFill="1" applyBorder="1" applyAlignment="1">
      <alignment horizontal="center" vertical="top" wrapText="1"/>
    </xf>
    <xf numFmtId="0" fontId="2" fillId="0" borderId="47" xfId="37" applyBorder="1" applyAlignment="1">
      <alignment horizontal="left" vertical="top" wrapText="1"/>
    </xf>
    <xf numFmtId="0" fontId="2" fillId="0" borderId="12" xfId="37" applyBorder="1" applyAlignment="1">
      <alignment horizontal="left" vertical="top" wrapText="1"/>
    </xf>
    <xf numFmtId="0" fontId="2" fillId="0" borderId="46" xfId="37" applyBorder="1" applyAlignment="1">
      <alignment horizontal="left" vertical="top" wrapText="1"/>
    </xf>
    <xf numFmtId="0" fontId="2" fillId="0" borderId="14" xfId="37" applyBorder="1" applyAlignment="1">
      <alignment horizontal="left" vertical="center"/>
    </xf>
    <xf numFmtId="0" fontId="2" fillId="0" borderId="27" xfId="37" applyBorder="1" applyAlignment="1">
      <alignment horizontal="left" vertical="center"/>
    </xf>
    <xf numFmtId="0" fontId="2" fillId="0" borderId="14" xfId="37" applyBorder="1" applyAlignment="1">
      <alignment horizontal="left" vertical="center" wrapText="1"/>
    </xf>
    <xf numFmtId="0" fontId="2" fillId="0" borderId="26" xfId="37" applyBorder="1" applyAlignment="1">
      <alignment horizontal="center" vertical="center" wrapText="1"/>
    </xf>
    <xf numFmtId="0" fontId="2" fillId="0" borderId="13" xfId="37" applyBorder="1" applyAlignment="1">
      <alignment horizontal="left" vertical="top" wrapText="1"/>
    </xf>
    <xf numFmtId="0" fontId="2" fillId="0" borderId="30" xfId="37" applyBorder="1" applyAlignment="1">
      <alignment horizontal="left" vertical="top" wrapText="1"/>
    </xf>
    <xf numFmtId="0" fontId="2" fillId="0" borderId="28" xfId="37" applyBorder="1" applyAlignment="1">
      <alignment horizontal="left" vertical="top" wrapText="1"/>
    </xf>
    <xf numFmtId="0" fontId="2" fillId="0" borderId="31" xfId="37" applyBorder="1" applyAlignment="1">
      <alignment horizontal="left" vertical="top" wrapText="1"/>
    </xf>
    <xf numFmtId="0" fontId="2" fillId="0" borderId="26" xfId="37" applyBorder="1" applyAlignment="1">
      <alignment horizontal="center" vertical="center"/>
    </xf>
    <xf numFmtId="0" fontId="2" fillId="0" borderId="29" xfId="37" applyBorder="1" applyAlignment="1">
      <alignment horizontal="center" vertical="center"/>
    </xf>
    <xf numFmtId="0" fontId="2" fillId="0" borderId="27" xfId="37" applyBorder="1" applyAlignment="1">
      <alignment horizontal="left" vertical="center" wrapText="1"/>
    </xf>
    <xf numFmtId="0" fontId="2" fillId="0" borderId="11" xfId="37" applyBorder="1" applyAlignment="1">
      <alignment horizontal="center" vertical="center" wrapText="1"/>
    </xf>
    <xf numFmtId="0" fontId="2" fillId="0" borderId="52" xfId="37" applyBorder="1" applyAlignment="1">
      <alignment horizontal="center" vertical="center" wrapText="1"/>
    </xf>
    <xf numFmtId="0" fontId="2" fillId="0" borderId="32" xfId="37" applyBorder="1" applyAlignment="1">
      <alignment horizontal="center" vertical="center" wrapText="1"/>
    </xf>
    <xf numFmtId="166" fontId="2" fillId="26" borderId="28" xfId="47" applyNumberFormat="1" applyFill="1" applyBorder="1" applyAlignment="1">
      <alignment horizontal="left" vertical="center" wrapText="1"/>
    </xf>
    <xf numFmtId="166" fontId="2" fillId="26" borderId="31" xfId="47" applyNumberFormat="1" applyFill="1" applyBorder="1" applyAlignment="1">
      <alignment horizontal="left" vertical="center" wrapText="1"/>
    </xf>
    <xf numFmtId="0" fontId="2" fillId="0" borderId="13" xfId="37" applyBorder="1" applyAlignment="1">
      <alignment horizontal="left" vertical="center" wrapText="1"/>
    </xf>
    <xf numFmtId="0" fontId="2" fillId="0" borderId="30" xfId="37" applyBorder="1" applyAlignment="1">
      <alignment horizontal="left" vertical="center" wrapText="1"/>
    </xf>
    <xf numFmtId="166" fontId="2" fillId="26" borderId="13" xfId="47" applyNumberFormat="1" applyFill="1" applyBorder="1" applyAlignment="1">
      <alignment horizontal="left" vertical="center" wrapText="1"/>
    </xf>
    <xf numFmtId="166" fontId="2" fillId="26" borderId="30" xfId="47" applyNumberFormat="1" applyFill="1" applyBorder="1" applyAlignment="1">
      <alignment horizontal="left" vertical="center" wrapText="1"/>
    </xf>
    <xf numFmtId="0" fontId="2" fillId="0" borderId="29" xfId="37" applyBorder="1" applyAlignment="1">
      <alignment horizontal="center" vertical="center" wrapText="1"/>
    </xf>
    <xf numFmtId="0" fontId="2" fillId="0" borderId="27" xfId="0" applyFont="1" applyBorder="1" applyAlignment="1">
      <alignment horizontal="left" vertical="center"/>
    </xf>
    <xf numFmtId="0" fontId="2" fillId="0" borderId="21" xfId="37" applyBorder="1" applyAlignment="1">
      <alignment horizontal="left" vertical="center" wrapText="1"/>
    </xf>
    <xf numFmtId="0" fontId="2" fillId="0" borderId="28" xfId="37" applyBorder="1" applyAlignment="1">
      <alignment horizontal="left" vertical="center" wrapText="1"/>
    </xf>
    <xf numFmtId="166" fontId="28" fillId="0" borderId="28" xfId="0" applyNumberFormat="1" applyFont="1" applyBorder="1" applyAlignment="1">
      <alignment horizontal="right" vertical="center"/>
    </xf>
    <xf numFmtId="0" fontId="2" fillId="0" borderId="10" xfId="0" applyFont="1" applyBorder="1" applyAlignment="1">
      <alignment horizontal="center" vertical="center" wrapText="1"/>
    </xf>
    <xf numFmtId="0" fontId="2" fillId="0" borderId="52" xfId="37" applyBorder="1" applyAlignment="1">
      <alignment horizontal="center" vertical="center"/>
    </xf>
    <xf numFmtId="0" fontId="2" fillId="0" borderId="32" xfId="37" applyBorder="1" applyAlignment="1">
      <alignment horizontal="center" vertical="center"/>
    </xf>
    <xf numFmtId="0" fontId="30" fillId="0" borderId="12" xfId="37" applyFont="1" applyBorder="1" applyAlignment="1">
      <alignment horizontal="center" vertical="top" wrapText="1"/>
    </xf>
    <xf numFmtId="166" fontId="30" fillId="0" borderId="21" xfId="0" applyNumberFormat="1" applyFont="1" applyBorder="1" applyAlignment="1">
      <alignment horizontal="center" vertical="top" wrapText="1"/>
    </xf>
    <xf numFmtId="166" fontId="30" fillId="0" borderId="10" xfId="0" applyNumberFormat="1" applyFont="1" applyBorder="1" applyAlignment="1">
      <alignment horizontal="center" vertical="top" wrapText="1"/>
    </xf>
    <xf numFmtId="166" fontId="30" fillId="0" borderId="28" xfId="0" applyNumberFormat="1" applyFont="1" applyBorder="1" applyAlignment="1">
      <alignment horizontal="center" vertical="top" wrapText="1"/>
    </xf>
    <xf numFmtId="166" fontId="30" fillId="0" borderId="29" xfId="0" applyNumberFormat="1" applyFont="1" applyBorder="1" applyAlignment="1">
      <alignment horizontal="center" vertical="top" wrapText="1"/>
    </xf>
    <xf numFmtId="166" fontId="2" fillId="0" borderId="17" xfId="37" quotePrefix="1" applyNumberFormat="1" applyBorder="1" applyAlignment="1">
      <alignment horizontal="left" vertical="center" wrapText="1"/>
    </xf>
    <xf numFmtId="166" fontId="2" fillId="0" borderId="18" xfId="37" quotePrefix="1" applyNumberFormat="1" applyBorder="1" applyAlignment="1">
      <alignment horizontal="left" vertical="center" wrapText="1"/>
    </xf>
    <xf numFmtId="166" fontId="2" fillId="0" borderId="16" xfId="37" quotePrefix="1" applyNumberFormat="1" applyBorder="1" applyAlignment="1">
      <alignment horizontal="left" vertical="center" wrapText="1"/>
    </xf>
    <xf numFmtId="166" fontId="2" fillId="0" borderId="17" xfId="37" quotePrefix="1" applyNumberFormat="1" applyBorder="1" applyAlignment="1">
      <alignment horizontal="left" vertical="center"/>
    </xf>
    <xf numFmtId="166" fontId="2" fillId="0" borderId="18" xfId="37" quotePrefix="1" applyNumberFormat="1" applyBorder="1" applyAlignment="1">
      <alignment horizontal="left" vertical="center"/>
    </xf>
    <xf numFmtId="166" fontId="2" fillId="0" borderId="16" xfId="37" quotePrefix="1" applyNumberFormat="1" applyBorder="1" applyAlignment="1">
      <alignment horizontal="left" vertical="center"/>
    </xf>
    <xf numFmtId="166" fontId="61" fillId="26" borderId="17" xfId="0" applyNumberFormat="1" applyFont="1" applyFill="1" applyBorder="1" applyAlignment="1">
      <alignment horizontal="left" vertical="center"/>
    </xf>
    <xf numFmtId="166" fontId="61" fillId="26" borderId="18" xfId="0" applyNumberFormat="1" applyFont="1" applyFill="1" applyBorder="1" applyAlignment="1">
      <alignment horizontal="left" vertical="center"/>
    </xf>
    <xf numFmtId="166" fontId="61" fillId="26" borderId="16" xfId="0" applyNumberFormat="1" applyFont="1" applyFill="1" applyBorder="1" applyAlignment="1">
      <alignment horizontal="left" vertical="center"/>
    </xf>
    <xf numFmtId="166" fontId="61" fillId="28" borderId="17" xfId="0" applyNumberFormat="1" applyFont="1" applyFill="1" applyBorder="1" applyAlignment="1">
      <alignment horizontal="left" vertical="center"/>
    </xf>
    <xf numFmtId="166" fontId="61" fillId="28" borderId="18" xfId="0" applyNumberFormat="1" applyFont="1" applyFill="1" applyBorder="1" applyAlignment="1">
      <alignment horizontal="left" vertical="center"/>
    </xf>
    <xf numFmtId="166" fontId="61" fillId="28" borderId="16" xfId="0" applyNumberFormat="1" applyFont="1" applyFill="1" applyBorder="1" applyAlignment="1">
      <alignment horizontal="left" vertical="center"/>
    </xf>
    <xf numFmtId="0" fontId="2" fillId="0" borderId="30" xfId="37" applyBorder="1" applyAlignment="1">
      <alignment horizontal="center" vertical="center"/>
    </xf>
    <xf numFmtId="0" fontId="2" fillId="0" borderId="31" xfId="37" applyBorder="1" applyAlignment="1">
      <alignment horizontal="center" vertical="center"/>
    </xf>
    <xf numFmtId="1" fontId="2" fillId="0" borderId="30" xfId="37" applyNumberFormat="1" applyBorder="1" applyAlignment="1">
      <alignment horizontal="center" vertical="center"/>
    </xf>
    <xf numFmtId="1" fontId="2" fillId="0" borderId="31" xfId="37" applyNumberFormat="1" applyBorder="1" applyAlignment="1">
      <alignment horizontal="center" vertical="center"/>
    </xf>
    <xf numFmtId="0" fontId="21" fillId="30" borderId="13" xfId="37" applyFont="1" applyFill="1" applyBorder="1" applyAlignment="1">
      <alignment horizontal="center" vertical="center" wrapText="1"/>
    </xf>
    <xf numFmtId="0" fontId="21" fillId="30" borderId="26" xfId="37" applyFont="1" applyFill="1" applyBorder="1" applyAlignment="1">
      <alignment horizontal="center" vertical="center" wrapText="1"/>
    </xf>
    <xf numFmtId="0" fontId="21" fillId="30" borderId="28" xfId="37" applyFont="1" applyFill="1" applyBorder="1" applyAlignment="1">
      <alignment horizontal="center" vertical="center" wrapText="1"/>
    </xf>
    <xf numFmtId="0" fontId="21" fillId="30" borderId="29" xfId="37" applyFont="1" applyFill="1" applyBorder="1" applyAlignment="1">
      <alignment horizontal="center" vertical="center" wrapText="1"/>
    </xf>
    <xf numFmtId="166" fontId="2" fillId="0" borderId="21" xfId="37" applyNumberFormat="1" applyBorder="1" applyAlignment="1">
      <alignment horizontal="left" vertical="top" wrapText="1"/>
    </xf>
    <xf numFmtId="166" fontId="2" fillId="0" borderId="10" xfId="37" applyNumberFormat="1" applyBorder="1" applyAlignment="1">
      <alignment horizontal="left" vertical="top" wrapText="1"/>
    </xf>
    <xf numFmtId="0" fontId="60" fillId="28" borderId="21" xfId="0" applyFont="1" applyFill="1" applyBorder="1" applyAlignment="1">
      <alignment horizontal="left" vertical="top" wrapText="1"/>
    </xf>
    <xf numFmtId="0" fontId="60" fillId="28" borderId="0" xfId="0" applyFont="1" applyFill="1" applyAlignment="1">
      <alignment horizontal="left" vertical="top" wrapText="1"/>
    </xf>
    <xf numFmtId="0" fontId="60" fillId="28" borderId="10" xfId="0" applyFont="1" applyFill="1" applyBorder="1" applyAlignment="1">
      <alignment horizontal="left" vertical="top" wrapText="1"/>
    </xf>
    <xf numFmtId="166" fontId="2" fillId="0" borderId="17" xfId="37" applyNumberFormat="1" applyBorder="1" applyAlignment="1">
      <alignment horizontal="left" vertical="center"/>
    </xf>
    <xf numFmtId="166" fontId="2" fillId="0" borderId="16" xfId="37" applyNumberFormat="1" applyBorder="1" applyAlignment="1">
      <alignment horizontal="left" vertical="center"/>
    </xf>
    <xf numFmtId="0" fontId="2" fillId="28" borderId="13" xfId="37" applyFill="1" applyBorder="1" applyAlignment="1">
      <alignment horizontal="left" vertical="center"/>
    </xf>
    <xf numFmtId="0" fontId="2" fillId="28" borderId="30" xfId="37" applyFill="1" applyBorder="1" applyAlignment="1">
      <alignment horizontal="left" vertical="center"/>
    </xf>
    <xf numFmtId="0" fontId="2" fillId="0" borderId="31" xfId="37" applyBorder="1" applyAlignment="1">
      <alignment horizontal="left" vertical="center" wrapText="1"/>
    </xf>
    <xf numFmtId="0" fontId="59" fillId="28" borderId="21" xfId="0" applyFont="1" applyFill="1" applyBorder="1" applyAlignment="1">
      <alignment horizontal="center" vertical="top" wrapText="1"/>
    </xf>
    <xf numFmtId="0" fontId="59" fillId="28" borderId="0" xfId="0" applyFont="1" applyFill="1" applyAlignment="1">
      <alignment horizontal="center" vertical="top" wrapText="1"/>
    </xf>
    <xf numFmtId="0" fontId="59" fillId="28" borderId="10" xfId="0" applyFont="1" applyFill="1" applyBorder="1" applyAlignment="1">
      <alignment horizontal="center" vertical="top" wrapText="1"/>
    </xf>
    <xf numFmtId="0" fontId="59" fillId="28" borderId="28" xfId="0" applyFont="1" applyFill="1" applyBorder="1" applyAlignment="1">
      <alignment horizontal="center" vertical="top" wrapText="1"/>
    </xf>
    <xf numFmtId="0" fontId="59" fillId="28" borderId="31" xfId="0" applyFont="1" applyFill="1" applyBorder="1" applyAlignment="1">
      <alignment horizontal="center" vertical="top" wrapText="1"/>
    </xf>
    <xf numFmtId="0" fontId="59" fillId="28" borderId="29" xfId="0" applyFont="1" applyFill="1" applyBorder="1" applyAlignment="1">
      <alignment horizontal="center" vertical="top" wrapText="1"/>
    </xf>
    <xf numFmtId="0" fontId="2" fillId="0" borderId="50" xfId="37" applyBorder="1" applyAlignment="1">
      <alignment horizontal="center" vertical="center"/>
    </xf>
    <xf numFmtId="0" fontId="2" fillId="0" borderId="48" xfId="37" applyBorder="1" applyAlignment="1">
      <alignment horizontal="center" vertical="center"/>
    </xf>
    <xf numFmtId="0" fontId="2" fillId="0" borderId="33" xfId="37" applyBorder="1" applyAlignment="1">
      <alignment horizontal="center" vertical="center"/>
    </xf>
    <xf numFmtId="0" fontId="2" fillId="0" borderId="25" xfId="37" applyBorder="1" applyAlignment="1">
      <alignment horizontal="center" vertical="center"/>
    </xf>
    <xf numFmtId="0" fontId="2" fillId="0" borderId="36" xfId="37" applyBorder="1" applyAlignment="1">
      <alignment horizontal="center" vertical="center"/>
    </xf>
    <xf numFmtId="0" fontId="2" fillId="0" borderId="37" xfId="37" applyBorder="1" applyAlignment="1">
      <alignment horizontal="center" vertical="center"/>
    </xf>
    <xf numFmtId="0" fontId="61" fillId="26" borderId="21" xfId="0" applyFont="1" applyFill="1" applyBorder="1" applyAlignment="1">
      <alignment horizontal="left" vertical="top" wrapText="1"/>
    </xf>
    <xf numFmtId="0" fontId="61" fillId="26" borderId="0" xfId="0" applyFont="1" applyFill="1" applyAlignment="1">
      <alignment horizontal="left" vertical="top" wrapText="1"/>
    </xf>
    <xf numFmtId="0" fontId="61" fillId="26" borderId="10" xfId="0" applyFont="1" applyFill="1" applyBorder="1" applyAlignment="1">
      <alignment horizontal="left" vertical="top" wrapText="1"/>
    </xf>
    <xf numFmtId="0" fontId="2" fillId="0" borderId="21" xfId="37" applyBorder="1" applyAlignment="1">
      <alignment vertical="top" wrapText="1"/>
    </xf>
    <xf numFmtId="0" fontId="2" fillId="0" borderId="10" xfId="37" applyBorder="1" applyAlignment="1">
      <alignment vertical="top" wrapText="1"/>
    </xf>
    <xf numFmtId="0" fontId="23" fillId="28" borderId="15" xfId="37" applyFont="1" applyFill="1" applyBorder="1" applyAlignment="1">
      <alignment horizontal="center" vertical="center" textRotation="90" wrapText="1"/>
    </xf>
    <xf numFmtId="0" fontId="23" fillId="28" borderId="12" xfId="37" applyFont="1" applyFill="1" applyBorder="1" applyAlignment="1">
      <alignment horizontal="center" vertical="center" textRotation="90" wrapText="1"/>
    </xf>
    <xf numFmtId="0" fontId="23" fillId="28" borderId="19" xfId="37" applyFont="1" applyFill="1" applyBorder="1" applyAlignment="1">
      <alignment horizontal="center" vertical="center" textRotation="90" wrapText="1"/>
    </xf>
    <xf numFmtId="166" fontId="2" fillId="28" borderId="17" xfId="37" applyNumberFormat="1" applyFill="1" applyBorder="1" applyAlignment="1">
      <alignment horizontal="left" vertical="center"/>
    </xf>
    <xf numFmtId="166" fontId="2" fillId="28" borderId="16" xfId="37" applyNumberFormat="1" applyFill="1" applyBorder="1" applyAlignment="1">
      <alignment horizontal="left" vertical="center"/>
    </xf>
    <xf numFmtId="0" fontId="21" fillId="0" borderId="10" xfId="37" applyFont="1" applyBorder="1" applyAlignment="1">
      <alignment horizontal="center" vertical="center"/>
    </xf>
    <xf numFmtId="0" fontId="2" fillId="0" borderId="13" xfId="37" applyBorder="1" applyAlignment="1">
      <alignment horizontal="left" vertical="center"/>
    </xf>
    <xf numFmtId="0" fontId="2" fillId="0" borderId="30" xfId="37" applyBorder="1" applyAlignment="1">
      <alignment horizontal="left" vertical="center"/>
    </xf>
    <xf numFmtId="0" fontId="30" fillId="28" borderId="23" xfId="37" applyFont="1" applyFill="1" applyBorder="1" applyAlignment="1">
      <alignment vertical="top" wrapText="1"/>
    </xf>
    <xf numFmtId="0" fontId="32" fillId="28" borderId="20" xfId="37" applyFont="1" applyFill="1" applyBorder="1" applyAlignment="1">
      <alignment vertical="top" wrapText="1"/>
    </xf>
    <xf numFmtId="0" fontId="32" fillId="28" borderId="33" xfId="37" applyFont="1" applyFill="1" applyBorder="1" applyAlignment="1">
      <alignment vertical="top" wrapText="1"/>
    </xf>
    <xf numFmtId="0" fontId="32" fillId="28" borderId="25" xfId="37" applyFont="1" applyFill="1" applyBorder="1" applyAlignment="1">
      <alignment vertical="top" wrapText="1"/>
    </xf>
    <xf numFmtId="0" fontId="32" fillId="28" borderId="33" xfId="37" applyFont="1" applyFill="1" applyBorder="1"/>
    <xf numFmtId="0" fontId="32" fillId="28" borderId="25" xfId="37" applyFont="1" applyFill="1" applyBorder="1"/>
    <xf numFmtId="0" fontId="32" fillId="28" borderId="17" xfId="37" applyFont="1" applyFill="1" applyBorder="1"/>
    <xf numFmtId="0" fontId="32" fillId="28" borderId="16" xfId="37" applyFont="1" applyFill="1" applyBorder="1"/>
    <xf numFmtId="0" fontId="30" fillId="28" borderId="12" xfId="37" applyFont="1" applyFill="1" applyBorder="1" applyAlignment="1">
      <alignment horizontal="left" vertical="top" wrapText="1"/>
    </xf>
    <xf numFmtId="166" fontId="2" fillId="0" borderId="18" xfId="37" applyNumberFormat="1" applyBorder="1" applyAlignment="1">
      <alignment horizontal="left" vertical="center"/>
    </xf>
    <xf numFmtId="0" fontId="2" fillId="28" borderId="47" xfId="37" applyFill="1" applyBorder="1" applyAlignment="1">
      <alignment horizontal="center" vertical="center" wrapText="1"/>
    </xf>
    <xf numFmtId="0" fontId="2" fillId="28" borderId="19" xfId="37" applyFill="1" applyBorder="1" applyAlignment="1">
      <alignment horizontal="center" vertical="center" wrapText="1"/>
    </xf>
    <xf numFmtId="0" fontId="21" fillId="26" borderId="10" xfId="37" applyFont="1" applyFill="1" applyBorder="1" applyAlignment="1">
      <alignment horizontal="center" vertical="center"/>
    </xf>
    <xf numFmtId="0" fontId="21" fillId="26" borderId="29" xfId="37" applyFont="1" applyFill="1" applyBorder="1" applyAlignment="1">
      <alignment horizontal="center" vertical="center"/>
    </xf>
    <xf numFmtId="0" fontId="2" fillId="26" borderId="17" xfId="37" applyFill="1" applyBorder="1" applyAlignment="1">
      <alignment horizontal="left" vertical="top" wrapText="1"/>
    </xf>
    <xf numFmtId="0" fontId="2" fillId="26" borderId="18" xfId="37" applyFill="1" applyBorder="1" applyAlignment="1">
      <alignment horizontal="left" vertical="top" wrapText="1"/>
    </xf>
    <xf numFmtId="0" fontId="2" fillId="26" borderId="10" xfId="37" applyFill="1" applyBorder="1" applyAlignment="1">
      <alignment horizontal="center" vertical="center"/>
    </xf>
    <xf numFmtId="0" fontId="21" fillId="26" borderId="21" xfId="37" applyFont="1" applyFill="1" applyBorder="1" applyAlignment="1">
      <alignment horizontal="left" vertical="center" wrapText="1"/>
    </xf>
    <xf numFmtId="0" fontId="0" fillId="0" borderId="28" xfId="0" applyBorder="1" applyAlignment="1">
      <alignment horizontal="left" vertical="center" wrapText="1"/>
    </xf>
    <xf numFmtId="0" fontId="2" fillId="26" borderId="16" xfId="37" applyFill="1" applyBorder="1" applyAlignment="1">
      <alignment horizontal="left" vertical="top" wrapText="1"/>
    </xf>
    <xf numFmtId="166" fontId="2" fillId="28" borderId="17" xfId="0" applyNumberFormat="1" applyFont="1" applyFill="1" applyBorder="1" applyAlignment="1">
      <alignment horizontal="left" vertical="top" wrapText="1"/>
    </xf>
    <xf numFmtId="166" fontId="2" fillId="28" borderId="18" xfId="0" applyNumberFormat="1" applyFont="1" applyFill="1" applyBorder="1" applyAlignment="1">
      <alignment horizontal="left" vertical="top" wrapText="1"/>
    </xf>
    <xf numFmtId="166" fontId="2" fillId="28" borderId="16" xfId="0" applyNumberFormat="1" applyFont="1" applyFill="1" applyBorder="1" applyAlignment="1">
      <alignment horizontal="left" vertical="top" wrapText="1"/>
    </xf>
    <xf numFmtId="0" fontId="28" fillId="28" borderId="28" xfId="0" applyFont="1" applyFill="1" applyBorder="1" applyAlignment="1">
      <alignment horizontal="right" vertical="center"/>
    </xf>
    <xf numFmtId="0" fontId="28" fillId="28" borderId="31" xfId="0" applyFont="1" applyFill="1" applyBorder="1" applyAlignment="1">
      <alignment horizontal="right" vertical="center"/>
    </xf>
    <xf numFmtId="0" fontId="28" fillId="28" borderId="29" xfId="0" applyFont="1" applyFill="1" applyBorder="1" applyAlignment="1">
      <alignment horizontal="right" vertical="center"/>
    </xf>
    <xf numFmtId="0" fontId="30" fillId="28" borderId="21" xfId="0" applyFont="1" applyFill="1" applyBorder="1" applyAlignment="1">
      <alignment horizontal="center" vertical="top" wrapText="1"/>
    </xf>
    <xf numFmtId="0" fontId="30" fillId="28" borderId="10" xfId="0" applyFont="1" applyFill="1" applyBorder="1" applyAlignment="1">
      <alignment horizontal="center" vertical="top" wrapText="1"/>
    </xf>
    <xf numFmtId="0" fontId="2" fillId="0" borderId="17" xfId="37" applyBorder="1" applyAlignment="1">
      <alignment horizontal="left" vertical="top" wrapText="1"/>
    </xf>
    <xf numFmtId="0" fontId="2" fillId="0" borderId="16" xfId="37" applyBorder="1" applyAlignment="1">
      <alignment horizontal="left" vertical="top" wrapText="1"/>
    </xf>
    <xf numFmtId="0" fontId="2" fillId="26" borderId="28" xfId="37" applyFill="1" applyBorder="1" applyAlignment="1">
      <alignment horizontal="left" vertical="top" wrapText="1"/>
    </xf>
    <xf numFmtId="0" fontId="2" fillId="26" borderId="29" xfId="37" applyFill="1" applyBorder="1" applyAlignment="1">
      <alignment horizontal="left" vertical="top" wrapText="1"/>
    </xf>
    <xf numFmtId="166" fontId="2" fillId="26" borderId="33" xfId="0" applyNumberFormat="1" applyFont="1" applyFill="1" applyBorder="1" applyAlignment="1">
      <alignment horizontal="right" vertical="center" wrapText="1"/>
    </xf>
    <xf numFmtId="166" fontId="2" fillId="26" borderId="34" xfId="0" applyNumberFormat="1" applyFont="1" applyFill="1" applyBorder="1" applyAlignment="1">
      <alignment horizontal="right" vertical="center" wrapText="1"/>
    </xf>
    <xf numFmtId="0" fontId="0" fillId="0" borderId="21" xfId="0" applyBorder="1" applyAlignment="1">
      <alignment horizontal="left" vertical="top" wrapText="1"/>
    </xf>
    <xf numFmtId="0" fontId="0" fillId="0" borderId="10" xfId="0" applyBorder="1" applyAlignment="1">
      <alignment horizontal="left" vertical="top" wrapText="1"/>
    </xf>
    <xf numFmtId="0" fontId="21" fillId="26" borderId="106" xfId="47" applyFont="1" applyFill="1" applyBorder="1" applyAlignment="1">
      <alignment horizontal="center" vertical="center" wrapText="1"/>
    </xf>
    <xf numFmtId="0" fontId="2" fillId="26" borderId="15" xfId="47" applyFill="1" applyBorder="1" applyAlignment="1">
      <alignment horizontal="center" vertical="center" wrapText="1"/>
    </xf>
    <xf numFmtId="0" fontId="2" fillId="26" borderId="19" xfId="47" applyFill="1" applyBorder="1" applyAlignment="1">
      <alignment horizontal="center" vertical="center" wrapText="1"/>
    </xf>
    <xf numFmtId="0" fontId="23" fillId="26" borderId="33" xfId="47" applyFont="1" applyFill="1" applyBorder="1" applyAlignment="1">
      <alignment horizontal="center" vertical="center"/>
    </xf>
    <xf numFmtId="0" fontId="23" fillId="26" borderId="25" xfId="47" applyFont="1" applyFill="1" applyBorder="1" applyAlignment="1">
      <alignment horizontal="center" vertical="center"/>
    </xf>
    <xf numFmtId="0" fontId="2" fillId="26" borderId="12" xfId="47" applyFill="1" applyBorder="1" applyAlignment="1">
      <alignment horizontal="center" vertical="center" wrapText="1"/>
    </xf>
    <xf numFmtId="0" fontId="2" fillId="26" borderId="21" xfId="47" applyFill="1" applyBorder="1" applyAlignment="1">
      <alignment horizontal="left" vertical="top" wrapText="1"/>
    </xf>
    <xf numFmtId="0" fontId="2" fillId="26" borderId="10" xfId="47" applyFill="1" applyBorder="1" applyAlignment="1">
      <alignment horizontal="left" vertical="top" wrapText="1"/>
    </xf>
    <xf numFmtId="0" fontId="2" fillId="26" borderId="28" xfId="47" applyFill="1" applyBorder="1" applyAlignment="1">
      <alignment horizontal="left" vertical="top" wrapText="1"/>
    </xf>
    <xf numFmtId="0" fontId="2" fillId="26" borderId="29" xfId="47" applyFill="1" applyBorder="1" applyAlignment="1">
      <alignment horizontal="left" vertical="top" wrapText="1"/>
    </xf>
    <xf numFmtId="0" fontId="30" fillId="26" borderId="21" xfId="47" applyFont="1" applyFill="1" applyBorder="1" applyAlignment="1">
      <alignment horizontal="center" vertical="top" wrapText="1"/>
    </xf>
    <xf numFmtId="0" fontId="30" fillId="26" borderId="0" xfId="47" applyFont="1" applyFill="1" applyAlignment="1">
      <alignment horizontal="center" vertical="top" wrapText="1"/>
    </xf>
    <xf numFmtId="0" fontId="30" fillId="26" borderId="10" xfId="47" applyFont="1" applyFill="1" applyBorder="1" applyAlignment="1">
      <alignment horizontal="center" vertical="top" wrapText="1"/>
    </xf>
    <xf numFmtId="0" fontId="2" fillId="26" borderId="33" xfId="47" applyFill="1" applyBorder="1" applyAlignment="1">
      <alignment horizontal="center" vertical="top"/>
    </xf>
    <xf numFmtId="0" fontId="2" fillId="26" borderId="34" xfId="47" applyFill="1" applyBorder="1" applyAlignment="1">
      <alignment horizontal="center" vertical="top"/>
    </xf>
    <xf numFmtId="0" fontId="2" fillId="26" borderId="25" xfId="47" applyFill="1" applyBorder="1" applyAlignment="1">
      <alignment horizontal="center" vertical="top"/>
    </xf>
    <xf numFmtId="0" fontId="2" fillId="26" borderId="17" xfId="47" applyFill="1" applyBorder="1" applyAlignment="1">
      <alignment horizontal="left" vertical="top" wrapText="1"/>
    </xf>
    <xf numFmtId="0" fontId="2" fillId="26" borderId="16" xfId="47" applyFill="1" applyBorder="1" applyAlignment="1">
      <alignment horizontal="left" vertical="top" wrapText="1"/>
    </xf>
    <xf numFmtId="0" fontId="2" fillId="26" borderId="0" xfId="47" applyFill="1" applyAlignment="1">
      <alignment horizontal="left" vertical="top" wrapText="1"/>
    </xf>
    <xf numFmtId="0" fontId="2" fillId="26" borderId="21" xfId="47" applyFill="1" applyBorder="1" applyAlignment="1">
      <alignment vertical="top" wrapText="1"/>
    </xf>
    <xf numFmtId="0" fontId="2" fillId="26" borderId="0" xfId="47" applyFill="1" applyAlignment="1">
      <alignment vertical="top" wrapText="1"/>
    </xf>
    <xf numFmtId="0" fontId="2" fillId="26" borderId="10" xfId="47" applyFill="1" applyBorder="1" applyAlignment="1">
      <alignment vertical="top" wrapText="1"/>
    </xf>
    <xf numFmtId="0" fontId="24" fillId="31" borderId="14" xfId="0" applyFont="1" applyFill="1" applyBorder="1" applyAlignment="1">
      <alignment horizontal="left" vertical="center"/>
    </xf>
    <xf numFmtId="0" fontId="24" fillId="31" borderId="27" xfId="0" applyFont="1" applyFill="1" applyBorder="1" applyAlignment="1">
      <alignment horizontal="left" vertical="center"/>
    </xf>
    <xf numFmtId="0" fontId="2" fillId="26" borderId="13" xfId="47" applyFill="1" applyBorder="1" applyAlignment="1">
      <alignment horizontal="center" vertical="center" wrapText="1"/>
    </xf>
    <xf numFmtId="0" fontId="2" fillId="26" borderId="26" xfId="47" applyFill="1" applyBorder="1" applyAlignment="1">
      <alignment horizontal="center" vertical="center" wrapText="1"/>
    </xf>
    <xf numFmtId="0" fontId="2" fillId="26" borderId="23" xfId="47" applyFill="1" applyBorder="1" applyAlignment="1">
      <alignment horizontal="center" vertical="center" wrapText="1"/>
    </xf>
    <xf numFmtId="0" fontId="2" fillId="26" borderId="20" xfId="47" applyFill="1" applyBorder="1" applyAlignment="1">
      <alignment horizontal="center" vertical="center" wrapText="1"/>
    </xf>
    <xf numFmtId="0" fontId="2" fillId="26" borderId="13" xfId="47" applyFill="1" applyBorder="1" applyAlignment="1">
      <alignment horizontal="left" vertical="top" wrapText="1"/>
    </xf>
    <xf numFmtId="0" fontId="21" fillId="26" borderId="47" xfId="47" applyFont="1" applyFill="1" applyBorder="1" applyAlignment="1">
      <alignment horizontal="center" vertical="center" wrapText="1"/>
    </xf>
    <xf numFmtId="0" fontId="21" fillId="26" borderId="12" xfId="47" applyFont="1" applyFill="1" applyBorder="1" applyAlignment="1">
      <alignment horizontal="center" vertical="center" wrapText="1"/>
    </xf>
    <xf numFmtId="0" fontId="21" fillId="26" borderId="19" xfId="47" applyFont="1" applyFill="1" applyBorder="1" applyAlignment="1">
      <alignment horizontal="center" vertical="center" wrapText="1"/>
    </xf>
    <xf numFmtId="0" fontId="2" fillId="26" borderId="13" xfId="47" applyFill="1" applyBorder="1" applyAlignment="1">
      <alignment horizontal="left" vertical="center" wrapText="1"/>
    </xf>
    <xf numFmtId="0" fontId="2" fillId="26" borderId="30" xfId="47" applyFill="1" applyBorder="1" applyAlignment="1">
      <alignment horizontal="left" vertical="center" wrapText="1"/>
    </xf>
    <xf numFmtId="0" fontId="2" fillId="26" borderId="21" xfId="47" applyFill="1" applyBorder="1" applyAlignment="1">
      <alignment horizontal="left" vertical="center" wrapText="1"/>
    </xf>
    <xf numFmtId="0" fontId="2" fillId="26" borderId="0" xfId="47" applyFill="1" applyAlignment="1">
      <alignment horizontal="left" vertical="center" wrapText="1"/>
    </xf>
    <xf numFmtId="0" fontId="2" fillId="26" borderId="28" xfId="47" applyFill="1" applyBorder="1" applyAlignment="1">
      <alignment horizontal="left" vertical="center" wrapText="1"/>
    </xf>
    <xf numFmtId="0" fontId="2" fillId="26" borderId="31" xfId="47" applyFill="1" applyBorder="1" applyAlignment="1">
      <alignment horizontal="left" vertical="center" wrapText="1"/>
    </xf>
    <xf numFmtId="0" fontId="2" fillId="26" borderId="63" xfId="47" applyFill="1" applyBorder="1" applyAlignment="1">
      <alignment horizontal="center" vertical="center" wrapText="1"/>
    </xf>
    <xf numFmtId="0" fontId="2" fillId="26" borderId="105" xfId="47" applyFill="1" applyBorder="1" applyAlignment="1">
      <alignment horizontal="center" vertical="center" wrapText="1"/>
    </xf>
    <xf numFmtId="0" fontId="2" fillId="26" borderId="44" xfId="47" applyFill="1" applyBorder="1" applyAlignment="1">
      <alignment horizontal="center" vertical="center" wrapText="1"/>
    </xf>
    <xf numFmtId="0" fontId="2" fillId="26" borderId="26" xfId="47" applyFill="1" applyBorder="1" applyAlignment="1">
      <alignment horizontal="center" vertical="center"/>
    </xf>
    <xf numFmtId="0" fontId="2" fillId="26" borderId="10" xfId="47" applyFill="1" applyBorder="1" applyAlignment="1">
      <alignment horizontal="center" vertical="center"/>
    </xf>
    <xf numFmtId="0" fontId="2" fillId="26" borderId="29" xfId="47" applyFill="1" applyBorder="1" applyAlignment="1">
      <alignment horizontal="center" vertical="center"/>
    </xf>
    <xf numFmtId="0" fontId="21" fillId="26" borderId="12" xfId="47" applyFont="1" applyFill="1" applyBorder="1" applyAlignment="1">
      <alignment horizontal="center" vertical="center"/>
    </xf>
    <xf numFmtId="0" fontId="21" fillId="26" borderId="10" xfId="47" applyFont="1" applyFill="1" applyBorder="1" applyAlignment="1">
      <alignment horizontal="center" vertical="center"/>
    </xf>
    <xf numFmtId="166" fontId="28" fillId="26" borderId="12" xfId="47" applyNumberFormat="1" applyFont="1" applyFill="1" applyBorder="1" applyAlignment="1">
      <alignment horizontal="right" vertical="center" wrapText="1"/>
    </xf>
    <xf numFmtId="0" fontId="2" fillId="26" borderId="27" xfId="47" applyFill="1" applyBorder="1" applyAlignment="1">
      <alignment horizontal="left" vertical="center"/>
    </xf>
    <xf numFmtId="0" fontId="27" fillId="26" borderId="13" xfId="47" applyFont="1" applyFill="1" applyBorder="1" applyAlignment="1">
      <alignment horizontal="center" vertical="center" wrapText="1"/>
    </xf>
    <xf numFmtId="0" fontId="27" fillId="26" borderId="26" xfId="47" applyFont="1" applyFill="1" applyBorder="1" applyAlignment="1">
      <alignment horizontal="center" vertical="center" wrapText="1"/>
    </xf>
    <xf numFmtId="0" fontId="27" fillId="26" borderId="21" xfId="47" applyFont="1" applyFill="1" applyBorder="1" applyAlignment="1">
      <alignment horizontal="center" vertical="center" wrapText="1"/>
    </xf>
    <xf numFmtId="0" fontId="27" fillId="26" borderId="10" xfId="47" applyFont="1" applyFill="1" applyBorder="1" applyAlignment="1">
      <alignment horizontal="center" vertical="center" wrapText="1"/>
    </xf>
    <xf numFmtId="0" fontId="27" fillId="26" borderId="23" xfId="47" applyFont="1" applyFill="1" applyBorder="1" applyAlignment="1">
      <alignment horizontal="center" vertical="center" wrapText="1"/>
    </xf>
    <xf numFmtId="0" fontId="27" fillId="26" borderId="20" xfId="47" applyFont="1" applyFill="1" applyBorder="1" applyAlignment="1">
      <alignment horizontal="center" vertical="center" wrapText="1"/>
    </xf>
    <xf numFmtId="0" fontId="27" fillId="26" borderId="30" xfId="47" applyFont="1" applyFill="1" applyBorder="1" applyAlignment="1">
      <alignment horizontal="center" vertical="center" wrapText="1"/>
    </xf>
    <xf numFmtId="0" fontId="27" fillId="26" borderId="0" xfId="47" applyFont="1" applyFill="1" applyAlignment="1">
      <alignment horizontal="center" vertical="center" wrapText="1"/>
    </xf>
    <xf numFmtId="0" fontId="27" fillId="26" borderId="22" xfId="47" applyFont="1" applyFill="1" applyBorder="1" applyAlignment="1">
      <alignment horizontal="center" vertical="center" wrapText="1"/>
    </xf>
    <xf numFmtId="0" fontId="2" fillId="26" borderId="26" xfId="47" applyFill="1" applyBorder="1" applyAlignment="1">
      <alignment horizontal="left" vertical="center" wrapText="1"/>
    </xf>
    <xf numFmtId="0" fontId="0" fillId="0" borderId="10" xfId="0" applyBorder="1" applyAlignment="1">
      <alignment horizontal="left" vertical="center" wrapText="1"/>
    </xf>
    <xf numFmtId="0" fontId="0" fillId="0" borderId="29" xfId="0" applyBorder="1" applyAlignment="1">
      <alignment horizontal="left" vertical="center" wrapText="1"/>
    </xf>
    <xf numFmtId="0" fontId="28" fillId="28" borderId="28" xfId="47" applyFont="1" applyFill="1" applyBorder="1" applyAlignment="1">
      <alignment horizontal="right" vertical="center" wrapText="1"/>
    </xf>
    <xf numFmtId="0" fontId="28" fillId="28" borderId="31" xfId="47" applyFont="1" applyFill="1" applyBorder="1" applyAlignment="1">
      <alignment horizontal="right" vertical="center" wrapText="1"/>
    </xf>
    <xf numFmtId="0" fontId="28" fillId="28" borderId="29" xfId="47" applyFont="1" applyFill="1" applyBorder="1" applyAlignment="1">
      <alignment horizontal="right" vertical="center" wrapText="1"/>
    </xf>
    <xf numFmtId="0" fontId="2" fillId="28" borderId="47" xfId="47" applyFill="1" applyBorder="1" applyAlignment="1">
      <alignment horizontal="center" vertical="center" wrapText="1"/>
    </xf>
    <xf numFmtId="0" fontId="2" fillId="28" borderId="19" xfId="47" applyFill="1" applyBorder="1" applyAlignment="1">
      <alignment horizontal="center" vertical="center" wrapText="1"/>
    </xf>
    <xf numFmtId="166" fontId="28" fillId="26" borderId="28" xfId="47" applyNumberFormat="1" applyFont="1" applyFill="1" applyBorder="1" applyAlignment="1">
      <alignment horizontal="right" vertical="center"/>
    </xf>
    <xf numFmtId="166" fontId="28" fillId="26" borderId="29" xfId="47" applyNumberFormat="1" applyFont="1" applyFill="1" applyBorder="1" applyAlignment="1">
      <alignment horizontal="right" vertical="center"/>
    </xf>
    <xf numFmtId="0" fontId="2" fillId="31" borderId="14" xfId="0" applyFont="1" applyFill="1" applyBorder="1" applyAlignment="1">
      <alignment vertical="center" wrapText="1"/>
    </xf>
    <xf numFmtId="0" fontId="2" fillId="26" borderId="10" xfId="47" applyFill="1" applyBorder="1" applyAlignment="1">
      <alignment horizontal="left" vertical="center"/>
    </xf>
    <xf numFmtId="0" fontId="2" fillId="26" borderId="29" xfId="47" applyFill="1" applyBorder="1" applyAlignment="1">
      <alignment horizontal="left" vertical="center"/>
    </xf>
    <xf numFmtId="0" fontId="21" fillId="26" borderId="46" xfId="47" applyFont="1" applyFill="1" applyBorder="1" applyAlignment="1">
      <alignment horizontal="center" vertical="center" wrapText="1"/>
    </xf>
    <xf numFmtId="166" fontId="28" fillId="26" borderId="52" xfId="47" applyNumberFormat="1" applyFont="1" applyFill="1" applyBorder="1" applyAlignment="1">
      <alignment horizontal="center" vertical="top"/>
    </xf>
    <xf numFmtId="166" fontId="28" fillId="26" borderId="39" xfId="47" applyNumberFormat="1" applyFont="1" applyFill="1" applyBorder="1" applyAlignment="1">
      <alignment horizontal="center" vertical="top"/>
    </xf>
    <xf numFmtId="166" fontId="28" fillId="26" borderId="32" xfId="47" applyNumberFormat="1" applyFont="1" applyFill="1" applyBorder="1" applyAlignment="1">
      <alignment horizontal="center" vertical="top"/>
    </xf>
    <xf numFmtId="166" fontId="21" fillId="28" borderId="28" xfId="47" applyNumberFormat="1" applyFont="1" applyFill="1" applyBorder="1" applyAlignment="1">
      <alignment horizontal="right" vertical="top"/>
    </xf>
    <xf numFmtId="166" fontId="21" fillId="28" borderId="29" xfId="47" applyNumberFormat="1" applyFont="1" applyFill="1" applyBorder="1" applyAlignment="1">
      <alignment horizontal="right" vertical="top"/>
    </xf>
    <xf numFmtId="0" fontId="30" fillId="26" borderId="28" xfId="47" applyFont="1" applyFill="1" applyBorder="1" applyAlignment="1">
      <alignment horizontal="center" vertical="top" wrapText="1"/>
    </xf>
    <xf numFmtId="0" fontId="30" fillId="26" borderId="29" xfId="47" applyFont="1" applyFill="1" applyBorder="1" applyAlignment="1">
      <alignment horizontal="center" vertical="top" wrapText="1"/>
    </xf>
    <xf numFmtId="0" fontId="24" fillId="31" borderId="14" xfId="0" applyFont="1" applyFill="1" applyBorder="1" applyAlignment="1">
      <alignment vertical="center" wrapText="1"/>
    </xf>
    <xf numFmtId="0" fontId="24" fillId="31" borderId="27" xfId="0" applyFont="1" applyFill="1" applyBorder="1" applyAlignment="1">
      <alignment vertical="center" wrapText="1"/>
    </xf>
    <xf numFmtId="0" fontId="24" fillId="31" borderId="13" xfId="0" applyFont="1" applyFill="1" applyBorder="1" applyAlignment="1">
      <alignment horizontal="left" vertical="center" wrapText="1"/>
    </xf>
    <xf numFmtId="0" fontId="24" fillId="31" borderId="30" xfId="0" applyFont="1" applyFill="1" applyBorder="1" applyAlignment="1">
      <alignment horizontal="left" vertical="center" wrapText="1"/>
    </xf>
    <xf numFmtId="0" fontId="24" fillId="31" borderId="21" xfId="0" applyFont="1" applyFill="1" applyBorder="1" applyAlignment="1">
      <alignment horizontal="left" vertical="center" wrapText="1"/>
    </xf>
    <xf numFmtId="0" fontId="24" fillId="31" borderId="0" xfId="0" applyFont="1" applyFill="1" applyAlignment="1">
      <alignment horizontal="left" vertical="center" wrapText="1"/>
    </xf>
    <xf numFmtId="0" fontId="24" fillId="31" borderId="28" xfId="0" applyFont="1" applyFill="1" applyBorder="1" applyAlignment="1">
      <alignment horizontal="left" vertical="center" wrapText="1"/>
    </xf>
    <xf numFmtId="0" fontId="24" fillId="31" borderId="31" xfId="0" applyFont="1" applyFill="1" applyBorder="1" applyAlignment="1">
      <alignment horizontal="left" vertical="center" wrapText="1"/>
    </xf>
    <xf numFmtId="0" fontId="2" fillId="26" borderId="30" xfId="47" applyFill="1" applyBorder="1" applyAlignment="1">
      <alignment horizontal="left" vertical="center"/>
    </xf>
    <xf numFmtId="0" fontId="2" fillId="26" borderId="0" xfId="47" applyFill="1" applyAlignment="1">
      <alignment horizontal="left" vertical="center"/>
    </xf>
    <xf numFmtId="0" fontId="2" fillId="26" borderId="31" xfId="47" applyFill="1" applyBorder="1" applyAlignment="1">
      <alignment horizontal="left" vertical="center"/>
    </xf>
    <xf numFmtId="0" fontId="2" fillId="26" borderId="26" xfId="47" applyFill="1" applyBorder="1" applyAlignment="1">
      <alignment horizontal="left" vertical="center"/>
    </xf>
    <xf numFmtId="0" fontId="24" fillId="31" borderId="14" xfId="0" applyFont="1" applyFill="1" applyBorder="1" applyAlignment="1">
      <alignment horizontal="left" vertical="center" wrapText="1"/>
    </xf>
    <xf numFmtId="0" fontId="24" fillId="31" borderId="27" xfId="0" applyFont="1" applyFill="1" applyBorder="1" applyAlignment="1">
      <alignment horizontal="left" vertical="center" wrapText="1"/>
    </xf>
    <xf numFmtId="0" fontId="2" fillId="26" borderId="29" xfId="47" applyFill="1" applyBorder="1" applyAlignment="1">
      <alignment horizontal="center" vertical="center" wrapText="1"/>
    </xf>
    <xf numFmtId="0" fontId="30" fillId="26" borderId="21" xfId="47" applyFont="1" applyFill="1" applyBorder="1" applyAlignment="1">
      <alignment horizontal="center" vertical="center" wrapText="1"/>
    </xf>
    <xf numFmtId="0" fontId="30" fillId="26" borderId="10" xfId="47" applyFont="1" applyFill="1" applyBorder="1" applyAlignment="1">
      <alignment horizontal="center" vertical="center" wrapText="1"/>
    </xf>
    <xf numFmtId="0" fontId="30" fillId="26" borderId="21" xfId="47" applyFont="1" applyFill="1" applyBorder="1" applyAlignment="1">
      <alignment horizontal="center" wrapText="1"/>
    </xf>
    <xf numFmtId="0" fontId="30" fillId="26" borderId="10" xfId="47" applyFont="1" applyFill="1" applyBorder="1" applyAlignment="1">
      <alignment horizontal="center" wrapText="1"/>
    </xf>
    <xf numFmtId="0" fontId="30" fillId="26" borderId="28" xfId="47" applyFont="1" applyFill="1" applyBorder="1" applyAlignment="1">
      <alignment horizontal="center" wrapText="1"/>
    </xf>
    <xf numFmtId="0" fontId="30" fillId="26" borderId="29" xfId="47" applyFont="1" applyFill="1" applyBorder="1" applyAlignment="1">
      <alignment horizontal="center" wrapText="1"/>
    </xf>
    <xf numFmtId="0" fontId="23" fillId="28" borderId="15" xfId="47" applyFont="1" applyFill="1" applyBorder="1" applyAlignment="1">
      <alignment horizontal="center" vertical="center" textRotation="90"/>
    </xf>
    <xf numFmtId="0" fontId="23" fillId="28" borderId="12" xfId="47" applyFont="1" applyFill="1" applyBorder="1" applyAlignment="1">
      <alignment horizontal="center" vertical="center" textRotation="90"/>
    </xf>
    <xf numFmtId="0" fontId="23" fillId="28" borderId="19" xfId="47" applyFont="1" applyFill="1" applyBorder="1" applyAlignment="1">
      <alignment horizontal="center" vertical="center" textRotation="90"/>
    </xf>
    <xf numFmtId="166" fontId="21" fillId="26" borderId="21" xfId="47" applyNumberFormat="1" applyFont="1" applyFill="1" applyBorder="1" applyAlignment="1">
      <alignment horizontal="right" vertical="top"/>
    </xf>
    <xf numFmtId="166" fontId="21" fillId="26" borderId="10" xfId="47" applyNumberFormat="1" applyFont="1" applyFill="1" applyBorder="1" applyAlignment="1">
      <alignment horizontal="right" vertical="top"/>
    </xf>
    <xf numFmtId="0" fontId="2" fillId="26" borderId="52" xfId="47" applyFill="1" applyBorder="1" applyAlignment="1">
      <alignment horizontal="center" vertical="center"/>
    </xf>
    <xf numFmtId="0" fontId="2" fillId="26" borderId="32" xfId="47" applyFill="1" applyBorder="1" applyAlignment="1">
      <alignment horizontal="center" vertical="center"/>
    </xf>
    <xf numFmtId="0" fontId="28" fillId="0" borderId="62" xfId="47" applyFont="1" applyBorder="1" applyAlignment="1">
      <alignment horizontal="center" vertical="center"/>
    </xf>
    <xf numFmtId="0" fontId="28" fillId="0" borderId="68" xfId="47" applyFont="1" applyBorder="1" applyAlignment="1">
      <alignment horizontal="center" vertical="center"/>
    </xf>
    <xf numFmtId="0" fontId="28" fillId="0" borderId="71" xfId="47" applyFont="1" applyBorder="1" applyAlignment="1">
      <alignment horizontal="center" vertical="center"/>
    </xf>
    <xf numFmtId="166" fontId="28" fillId="26" borderId="106" xfId="47" applyNumberFormat="1" applyFont="1" applyFill="1" applyBorder="1" applyAlignment="1">
      <alignment horizontal="right"/>
    </xf>
    <xf numFmtId="166" fontId="2" fillId="26" borderId="18" xfId="47" applyNumberFormat="1" applyFill="1" applyBorder="1" applyAlignment="1">
      <alignment horizontal="left" vertical="center"/>
    </xf>
    <xf numFmtId="166" fontId="2" fillId="26" borderId="16" xfId="47" applyNumberFormat="1" applyFill="1" applyBorder="1" applyAlignment="1">
      <alignment horizontal="left" vertical="center"/>
    </xf>
    <xf numFmtId="0" fontId="21" fillId="26" borderId="10" xfId="47" applyFont="1" applyFill="1" applyBorder="1" applyAlignment="1">
      <alignment horizontal="center" vertical="center" wrapText="1"/>
    </xf>
    <xf numFmtId="0" fontId="2" fillId="26" borderId="10" xfId="47" applyFill="1" applyBorder="1" applyAlignment="1">
      <alignment horizontal="center" vertical="center" wrapText="1"/>
    </xf>
    <xf numFmtId="0" fontId="0" fillId="0" borderId="28" xfId="0" applyBorder="1" applyAlignment="1">
      <alignment horizontal="left" vertical="top" wrapText="1"/>
    </xf>
    <xf numFmtId="0" fontId="2" fillId="26" borderId="10" xfId="47" applyFill="1" applyBorder="1" applyAlignment="1">
      <alignment horizontal="left" vertical="center" wrapText="1"/>
    </xf>
    <xf numFmtId="0" fontId="2" fillId="26" borderId="29" xfId="47" applyFill="1" applyBorder="1" applyAlignment="1">
      <alignment horizontal="left" vertical="center" wrapText="1"/>
    </xf>
    <xf numFmtId="0" fontId="28" fillId="0" borderId="34" xfId="47" applyFont="1" applyBorder="1" applyAlignment="1">
      <alignment horizontal="center" vertical="center"/>
    </xf>
    <xf numFmtId="0" fontId="28" fillId="0" borderId="25" xfId="47" applyFont="1" applyBorder="1" applyAlignment="1">
      <alignment horizontal="center" vertical="center"/>
    </xf>
    <xf numFmtId="166" fontId="2" fillId="26" borderId="17" xfId="47" applyNumberFormat="1" applyFill="1" applyBorder="1" applyAlignment="1">
      <alignment horizontal="left" vertical="center"/>
    </xf>
    <xf numFmtId="0" fontId="28" fillId="0" borderId="33" xfId="47" applyFont="1" applyBorder="1" applyAlignment="1">
      <alignment horizontal="center" vertical="center" wrapText="1"/>
    </xf>
    <xf numFmtId="0" fontId="28" fillId="0" borderId="34" xfId="47" applyFont="1" applyBorder="1" applyAlignment="1">
      <alignment horizontal="center" vertical="center" wrapText="1"/>
    </xf>
    <xf numFmtId="0" fontId="28" fillId="0" borderId="25" xfId="47" applyFont="1" applyBorder="1" applyAlignment="1">
      <alignment horizontal="center" vertical="center" wrapText="1"/>
    </xf>
    <xf numFmtId="166" fontId="2" fillId="26" borderId="33" xfId="47" applyNumberFormat="1" applyFill="1" applyBorder="1" applyAlignment="1">
      <alignment horizontal="left" vertical="center"/>
    </xf>
    <xf numFmtId="166" fontId="2" fillId="26" borderId="25" xfId="47" applyNumberFormat="1" applyFill="1" applyBorder="1" applyAlignment="1">
      <alignment horizontal="left" vertical="center"/>
    </xf>
    <xf numFmtId="166" fontId="21" fillId="26" borderId="21" xfId="47" applyNumberFormat="1" applyFont="1" applyFill="1" applyBorder="1" applyAlignment="1">
      <alignment horizontal="center" vertical="top"/>
    </xf>
    <xf numFmtId="166" fontId="21" fillId="26" borderId="0" xfId="47" applyNumberFormat="1" applyFont="1" applyFill="1" applyAlignment="1">
      <alignment horizontal="center" vertical="top"/>
    </xf>
    <xf numFmtId="166" fontId="21" fillId="26" borderId="10" xfId="47" applyNumberFormat="1" applyFont="1" applyFill="1" applyBorder="1" applyAlignment="1">
      <alignment horizontal="center" vertical="top"/>
    </xf>
    <xf numFmtId="0" fontId="2" fillId="0" borderId="0" xfId="47" applyAlignment="1">
      <alignment horizontal="left" vertical="top" wrapText="1"/>
    </xf>
    <xf numFmtId="0" fontId="2" fillId="0" borderId="10" xfId="47" applyBorder="1" applyAlignment="1">
      <alignment horizontal="left" vertical="top" wrapText="1"/>
    </xf>
    <xf numFmtId="166" fontId="28" fillId="26" borderId="10" xfId="47" applyNumberFormat="1" applyFont="1" applyFill="1" applyBorder="1" applyAlignment="1">
      <alignment horizontal="right" vertical="center"/>
    </xf>
    <xf numFmtId="0" fontId="2" fillId="26" borderId="27" xfId="0" applyFont="1" applyFill="1" applyBorder="1" applyAlignment="1">
      <alignment horizontal="left" vertical="center"/>
    </xf>
    <xf numFmtId="0" fontId="2" fillId="26" borderId="30" xfId="47" applyFill="1" applyBorder="1" applyAlignment="1">
      <alignment horizontal="left" vertical="top" wrapText="1"/>
    </xf>
    <xf numFmtId="0" fontId="2" fillId="26" borderId="31" xfId="47" applyFill="1" applyBorder="1" applyAlignment="1">
      <alignment horizontal="left" vertical="top" wrapText="1"/>
    </xf>
    <xf numFmtId="0" fontId="30" fillId="26" borderId="31" xfId="47" applyFont="1" applyFill="1" applyBorder="1" applyAlignment="1">
      <alignment horizontal="center" vertical="top" wrapText="1"/>
    </xf>
    <xf numFmtId="0" fontId="2" fillId="26" borderId="27" xfId="0" applyFont="1" applyFill="1" applyBorder="1" applyAlignment="1">
      <alignment horizontal="left" vertical="center" wrapText="1"/>
    </xf>
    <xf numFmtId="0" fontId="2" fillId="31" borderId="14" xfId="0" applyFont="1" applyFill="1" applyBorder="1" applyAlignment="1">
      <alignment horizontal="left" vertical="center" wrapText="1"/>
    </xf>
    <xf numFmtId="0" fontId="2" fillId="26" borderId="12" xfId="47" applyFill="1" applyBorder="1" applyAlignment="1">
      <alignment horizontal="left" vertical="top" wrapText="1"/>
    </xf>
    <xf numFmtId="166" fontId="2" fillId="28" borderId="17" xfId="47" applyNumberFormat="1" applyFill="1" applyBorder="1" applyAlignment="1">
      <alignment horizontal="left" vertical="top"/>
    </xf>
    <xf numFmtId="166" fontId="2" fillId="28" borderId="18" xfId="47" applyNumberFormat="1" applyFill="1" applyBorder="1" applyAlignment="1">
      <alignment horizontal="left" vertical="top"/>
    </xf>
    <xf numFmtId="166" fontId="2" fillId="28" borderId="16" xfId="47" applyNumberFormat="1" applyFill="1" applyBorder="1" applyAlignment="1">
      <alignment horizontal="left" vertical="top"/>
    </xf>
    <xf numFmtId="0" fontId="30" fillId="28" borderId="21" xfId="47" applyFont="1" applyFill="1" applyBorder="1" applyAlignment="1">
      <alignment horizontal="left" vertical="top" wrapText="1"/>
    </xf>
    <xf numFmtId="0" fontId="30" fillId="28" borderId="0" xfId="47" applyFont="1" applyFill="1" applyAlignment="1">
      <alignment horizontal="left" vertical="top" wrapText="1"/>
    </xf>
    <xf numFmtId="0" fontId="30" fillId="28" borderId="10" xfId="47" applyFont="1" applyFill="1" applyBorder="1" applyAlignment="1">
      <alignment horizontal="left" vertical="top" wrapText="1"/>
    </xf>
    <xf numFmtId="0" fontId="30" fillId="28" borderId="12" xfId="47" applyFont="1" applyFill="1" applyBorder="1" applyAlignment="1">
      <alignment horizontal="left" vertical="top" wrapText="1"/>
    </xf>
    <xf numFmtId="166" fontId="2" fillId="28" borderId="17" xfId="47" applyNumberFormat="1" applyFill="1" applyBorder="1" applyAlignment="1">
      <alignment horizontal="left" vertical="center"/>
    </xf>
    <xf numFmtId="166" fontId="2" fillId="28" borderId="16" xfId="47" applyNumberFormat="1" applyFill="1" applyBorder="1" applyAlignment="1">
      <alignment horizontal="left" vertical="center"/>
    </xf>
    <xf numFmtId="0" fontId="30" fillId="28" borderId="12" xfId="47" applyFont="1" applyFill="1" applyBorder="1" applyAlignment="1">
      <alignment horizontal="center" vertical="top" wrapText="1"/>
    </xf>
    <xf numFmtId="166" fontId="28" fillId="26" borderId="26" xfId="47" applyNumberFormat="1" applyFont="1" applyFill="1" applyBorder="1" applyAlignment="1">
      <alignment horizontal="center" vertical="center"/>
    </xf>
    <xf numFmtId="166" fontId="28" fillId="26" borderId="29" xfId="47" applyNumberFormat="1" applyFont="1" applyFill="1" applyBorder="1" applyAlignment="1">
      <alignment horizontal="center" vertical="center"/>
    </xf>
    <xf numFmtId="0" fontId="30" fillId="0" borderId="12" xfId="47" applyFont="1" applyBorder="1" applyAlignment="1">
      <alignment horizontal="center" vertical="top" wrapText="1"/>
    </xf>
    <xf numFmtId="0" fontId="30" fillId="0" borderId="46" xfId="47" applyFont="1" applyBorder="1" applyAlignment="1">
      <alignment horizontal="center" vertical="top" wrapText="1"/>
    </xf>
    <xf numFmtId="0" fontId="2" fillId="26" borderId="14" xfId="47" applyFill="1" applyBorder="1" applyAlignment="1">
      <alignment horizontal="left" vertical="center"/>
    </xf>
    <xf numFmtId="0" fontId="2" fillId="26" borderId="14" xfId="47" applyFill="1" applyBorder="1" applyAlignment="1">
      <alignment horizontal="left" vertical="center" wrapText="1"/>
    </xf>
    <xf numFmtId="0" fontId="2" fillId="26" borderId="27" xfId="47" applyFill="1" applyBorder="1" applyAlignment="1">
      <alignment horizontal="left" vertical="center" wrapText="1"/>
    </xf>
    <xf numFmtId="166" fontId="28" fillId="26" borderId="21" xfId="47" applyNumberFormat="1" applyFont="1" applyFill="1" applyBorder="1" applyAlignment="1">
      <alignment horizontal="right" vertical="top"/>
    </xf>
    <xf numFmtId="166" fontId="28" fillId="26" borderId="10" xfId="47" applyNumberFormat="1" applyFont="1" applyFill="1" applyBorder="1" applyAlignment="1">
      <alignment horizontal="right" vertical="top"/>
    </xf>
    <xf numFmtId="0" fontId="2" fillId="0" borderId="21" xfId="47" applyBorder="1" applyAlignment="1">
      <alignment horizontal="left" vertical="top" wrapText="1"/>
    </xf>
    <xf numFmtId="0" fontId="2" fillId="0" borderId="28" xfId="47" applyBorder="1" applyAlignment="1">
      <alignment horizontal="left" vertical="top" wrapText="1"/>
    </xf>
    <xf numFmtId="0" fontId="2" fillId="0" borderId="29" xfId="47" applyBorder="1" applyAlignment="1">
      <alignment horizontal="left" vertical="top" wrapText="1"/>
    </xf>
    <xf numFmtId="168" fontId="28" fillId="26" borderId="10" xfId="47" applyNumberFormat="1" applyFont="1" applyFill="1" applyBorder="1" applyAlignment="1">
      <alignment horizontal="right" vertical="center"/>
    </xf>
    <xf numFmtId="166" fontId="28" fillId="26" borderId="10" xfId="47" applyNumberFormat="1" applyFont="1" applyFill="1" applyBorder="1" applyAlignment="1">
      <alignment horizontal="right"/>
    </xf>
    <xf numFmtId="166" fontId="28" fillId="26" borderId="11" xfId="47" applyNumberFormat="1" applyFont="1" applyFill="1" applyBorder="1" applyAlignment="1">
      <alignment horizontal="center" vertical="center"/>
    </xf>
    <xf numFmtId="0" fontId="28" fillId="0" borderId="33" xfId="47" applyFont="1" applyBorder="1" applyAlignment="1">
      <alignment horizontal="center" vertical="center"/>
    </xf>
    <xf numFmtId="0" fontId="28" fillId="0" borderId="17" xfId="47" applyFont="1" applyBorder="1" applyAlignment="1">
      <alignment horizontal="center" vertical="center" wrapText="1"/>
    </xf>
    <xf numFmtId="0" fontId="28" fillId="0" borderId="18" xfId="47" applyFont="1" applyBorder="1" applyAlignment="1">
      <alignment horizontal="center" vertical="center" wrapText="1"/>
    </xf>
    <xf numFmtId="0" fontId="28" fillId="0" borderId="16" xfId="47" applyFont="1" applyBorder="1" applyAlignment="1">
      <alignment horizontal="center" vertical="center" wrapText="1"/>
    </xf>
    <xf numFmtId="0" fontId="28" fillId="0" borderId="23" xfId="47" applyFont="1" applyBorder="1" applyAlignment="1">
      <alignment horizontal="center" vertical="center" wrapText="1"/>
    </xf>
    <xf numFmtId="0" fontId="28" fillId="0" borderId="22" xfId="47" applyFont="1" applyBorder="1" applyAlignment="1">
      <alignment horizontal="center" vertical="center" wrapText="1"/>
    </xf>
    <xf numFmtId="0" fontId="28" fillId="0" borderId="20" xfId="47" applyFont="1" applyBorder="1" applyAlignment="1">
      <alignment horizontal="center" vertical="center" wrapText="1"/>
    </xf>
    <xf numFmtId="0" fontId="21" fillId="26" borderId="21" xfId="47" applyFont="1" applyFill="1" applyBorder="1" applyAlignment="1">
      <alignment horizontal="center" vertical="center" wrapText="1"/>
    </xf>
    <xf numFmtId="0" fontId="21" fillId="26" borderId="28" xfId="47" applyFont="1" applyFill="1" applyBorder="1" applyAlignment="1">
      <alignment horizontal="center" vertical="center" wrapText="1"/>
    </xf>
    <xf numFmtId="0" fontId="21" fillId="26" borderId="29" xfId="47" applyFont="1" applyFill="1" applyBorder="1" applyAlignment="1">
      <alignment horizontal="center" vertical="center" wrapText="1"/>
    </xf>
    <xf numFmtId="0" fontId="2" fillId="26" borderId="14" xfId="0" applyFont="1" applyFill="1" applyBorder="1" applyAlignment="1">
      <alignment horizontal="left" vertical="center"/>
    </xf>
    <xf numFmtId="0" fontId="2" fillId="26" borderId="21" xfId="0" applyFont="1" applyFill="1" applyBorder="1" applyAlignment="1">
      <alignment horizontal="left" vertical="top" wrapText="1"/>
    </xf>
    <xf numFmtId="0" fontId="2" fillId="26" borderId="0" xfId="0" applyFont="1" applyFill="1" applyAlignment="1">
      <alignment horizontal="left" vertical="top" wrapText="1"/>
    </xf>
    <xf numFmtId="0" fontId="2" fillId="26" borderId="10" xfId="0" applyFont="1" applyFill="1" applyBorder="1" applyAlignment="1">
      <alignment horizontal="left" vertical="top" wrapText="1"/>
    </xf>
    <xf numFmtId="0" fontId="2" fillId="26" borderId="14" xfId="0" applyFont="1" applyFill="1" applyBorder="1" applyAlignment="1">
      <alignment horizontal="left" vertical="center" wrapText="1"/>
    </xf>
    <xf numFmtId="0" fontId="2" fillId="26" borderId="13" xfId="0" applyFont="1" applyFill="1" applyBorder="1" applyAlignment="1">
      <alignment horizontal="left" vertical="center" wrapText="1"/>
    </xf>
    <xf numFmtId="0" fontId="2" fillId="26" borderId="30" xfId="0" applyFont="1" applyFill="1" applyBorder="1" applyAlignment="1">
      <alignment horizontal="left" vertical="center" wrapText="1"/>
    </xf>
    <xf numFmtId="0" fontId="2" fillId="26" borderId="21" xfId="0" applyFont="1" applyFill="1" applyBorder="1" applyAlignment="1">
      <alignment horizontal="left" vertical="center" wrapText="1"/>
    </xf>
    <xf numFmtId="0" fontId="2" fillId="26" borderId="0" xfId="0" applyFont="1" applyFill="1" applyAlignment="1">
      <alignment horizontal="left" vertical="center" wrapText="1"/>
    </xf>
    <xf numFmtId="0" fontId="2" fillId="26" borderId="28" xfId="0" applyFont="1" applyFill="1" applyBorder="1" applyAlignment="1">
      <alignment horizontal="left" vertical="center" wrapText="1"/>
    </xf>
    <xf numFmtId="0" fontId="2" fillId="26" borderId="31" xfId="0" applyFont="1" applyFill="1" applyBorder="1" applyAlignment="1">
      <alignment horizontal="left" vertical="center" wrapText="1"/>
    </xf>
    <xf numFmtId="0" fontId="2" fillId="26" borderId="63" xfId="0" applyFont="1" applyFill="1" applyBorder="1" applyAlignment="1">
      <alignment horizontal="center" vertical="center" wrapText="1"/>
    </xf>
    <xf numFmtId="0" fontId="2" fillId="26" borderId="105" xfId="0" applyFont="1" applyFill="1" applyBorder="1" applyAlignment="1">
      <alignment horizontal="center" vertical="center" wrapText="1"/>
    </xf>
    <xf numFmtId="0" fontId="2" fillId="26" borderId="44" xfId="0" applyFont="1" applyFill="1" applyBorder="1" applyAlignment="1">
      <alignment horizontal="center" vertical="center" wrapText="1"/>
    </xf>
    <xf numFmtId="0" fontId="0" fillId="0" borderId="12" xfId="0" applyBorder="1" applyAlignment="1">
      <alignment horizontal="left" vertical="top" wrapText="1"/>
    </xf>
    <xf numFmtId="0" fontId="0" fillId="0" borderId="46" xfId="0" applyBorder="1" applyAlignment="1">
      <alignment horizontal="left" vertical="top" wrapText="1"/>
    </xf>
    <xf numFmtId="0" fontId="2" fillId="0" borderId="21" xfId="37" applyBorder="1" applyAlignment="1">
      <alignment horizontal="left" vertical="center"/>
    </xf>
    <xf numFmtId="0" fontId="2" fillId="0" borderId="0" xfId="37" applyAlignment="1">
      <alignment horizontal="left" vertical="center"/>
    </xf>
    <xf numFmtId="0" fontId="2" fillId="0" borderId="10" xfId="37" applyBorder="1" applyAlignment="1">
      <alignment horizontal="left" vertical="center"/>
    </xf>
    <xf numFmtId="0" fontId="30" fillId="0" borderId="21" xfId="37" applyFont="1" applyBorder="1" applyAlignment="1">
      <alignment horizontal="center" vertical="center" wrapText="1"/>
    </xf>
    <xf numFmtId="0" fontId="30" fillId="0" borderId="0" xfId="37" applyFont="1" applyAlignment="1">
      <alignment horizontal="center" vertical="center" wrapText="1"/>
    </xf>
    <xf numFmtId="0" fontId="30" fillId="0" borderId="10" xfId="37" applyFont="1" applyBorder="1" applyAlignment="1">
      <alignment horizontal="center" vertical="center" wrapText="1"/>
    </xf>
    <xf numFmtId="43" fontId="2" fillId="0" borderId="21" xfId="46" applyFont="1" applyBorder="1" applyAlignment="1">
      <alignment horizontal="left" vertical="top" wrapText="1"/>
    </xf>
    <xf numFmtId="43" fontId="2" fillId="0" borderId="10" xfId="46" applyFont="1" applyBorder="1" applyAlignment="1">
      <alignment horizontal="left" vertical="top" wrapText="1"/>
    </xf>
    <xf numFmtId="0" fontId="23" fillId="0" borderId="17" xfId="37" applyFont="1" applyBorder="1" applyAlignment="1">
      <alignment horizontal="center" vertical="center" wrapText="1"/>
    </xf>
    <xf numFmtId="0" fontId="23" fillId="0" borderId="18" xfId="37" applyFont="1" applyBorder="1" applyAlignment="1">
      <alignment horizontal="center" vertical="center" wrapText="1"/>
    </xf>
    <xf numFmtId="0" fontId="23" fillId="0" borderId="16" xfId="37" applyFont="1" applyBorder="1" applyAlignment="1">
      <alignment horizontal="center" vertical="center" wrapText="1"/>
    </xf>
    <xf numFmtId="0" fontId="23" fillId="0" borderId="28" xfId="37" applyFont="1" applyBorder="1" applyAlignment="1">
      <alignment horizontal="center" vertical="center" wrapText="1"/>
    </xf>
    <xf numFmtId="0" fontId="23" fillId="0" borderId="31" xfId="37" applyFont="1" applyBorder="1" applyAlignment="1">
      <alignment horizontal="center" vertical="center" wrapText="1"/>
    </xf>
    <xf numFmtId="0" fontId="23" fillId="0" borderId="29" xfId="37" applyFont="1" applyBorder="1" applyAlignment="1">
      <alignment horizontal="center" vertical="center" wrapText="1"/>
    </xf>
    <xf numFmtId="0" fontId="30" fillId="0" borderId="26" xfId="37" applyFont="1" applyBorder="1" applyAlignment="1">
      <alignment horizontal="center" vertical="center" wrapText="1"/>
    </xf>
    <xf numFmtId="0" fontId="30" fillId="0" borderId="20" xfId="37" applyFont="1" applyBorder="1" applyAlignment="1">
      <alignment horizontal="center" vertical="center" wrapText="1"/>
    </xf>
    <xf numFmtId="0" fontId="23" fillId="0" borderId="17" xfId="0" applyFont="1" applyBorder="1" applyAlignment="1">
      <alignment horizontal="center" vertical="center" wrapText="1"/>
    </xf>
    <xf numFmtId="0" fontId="23" fillId="0" borderId="18" xfId="0" applyFont="1" applyBorder="1" applyAlignment="1">
      <alignment horizontal="center" vertical="center" wrapText="1"/>
    </xf>
    <xf numFmtId="0" fontId="23" fillId="0" borderId="16" xfId="0" applyFont="1" applyBorder="1" applyAlignment="1">
      <alignment horizontal="center" vertical="center" wrapText="1"/>
    </xf>
    <xf numFmtId="0" fontId="23" fillId="0" borderId="21" xfId="0" applyFont="1" applyBorder="1" applyAlignment="1">
      <alignment horizontal="center" vertical="center" wrapText="1"/>
    </xf>
    <xf numFmtId="0" fontId="23" fillId="0" borderId="0" xfId="0" applyFont="1" applyAlignment="1">
      <alignment horizontal="center" vertical="center" wrapText="1"/>
    </xf>
    <xf numFmtId="0" fontId="23" fillId="0" borderId="10" xfId="0" applyFont="1" applyBorder="1" applyAlignment="1">
      <alignment horizontal="center" vertical="center" wrapText="1"/>
    </xf>
    <xf numFmtId="0" fontId="21" fillId="0" borderId="21" xfId="37" applyFont="1" applyBorder="1" applyAlignment="1">
      <alignment horizontal="center" vertical="center"/>
    </xf>
    <xf numFmtId="0" fontId="21" fillId="0" borderId="0" xfId="37" applyFont="1" applyAlignment="1">
      <alignment horizontal="center" vertical="center"/>
    </xf>
    <xf numFmtId="166" fontId="2" fillId="0" borderId="17" xfId="0" quotePrefix="1" applyNumberFormat="1" applyFont="1" applyBorder="1" applyAlignment="1">
      <alignment horizontal="left" vertical="center" wrapText="1"/>
    </xf>
    <xf numFmtId="166" fontId="2" fillId="0" borderId="16" xfId="0" quotePrefix="1" applyNumberFormat="1" applyFont="1" applyBorder="1" applyAlignment="1">
      <alignment horizontal="left" vertical="center" wrapText="1"/>
    </xf>
    <xf numFmtId="166" fontId="2" fillId="0" borderId="17" xfId="0" quotePrefix="1" applyNumberFormat="1" applyFont="1" applyBorder="1" applyAlignment="1">
      <alignment horizontal="left" vertical="center"/>
    </xf>
    <xf numFmtId="166" fontId="2" fillId="0" borderId="16" xfId="0" quotePrefix="1" applyNumberFormat="1" applyFont="1" applyBorder="1" applyAlignment="1">
      <alignment horizontal="left" vertical="center"/>
    </xf>
    <xf numFmtId="0" fontId="2" fillId="0" borderId="26" xfId="0" applyFont="1" applyBorder="1" applyAlignment="1">
      <alignment horizontal="left" vertical="center" wrapText="1"/>
    </xf>
    <xf numFmtId="0" fontId="2" fillId="0" borderId="13" xfId="0" applyFont="1" applyBorder="1" applyAlignment="1">
      <alignment horizontal="left" vertical="center"/>
    </xf>
    <xf numFmtId="0" fontId="2" fillId="0" borderId="30" xfId="0" applyFont="1" applyBorder="1" applyAlignment="1">
      <alignment horizontal="left" vertical="center"/>
    </xf>
    <xf numFmtId="0" fontId="2" fillId="0" borderId="26" xfId="0" applyFont="1" applyBorder="1" applyAlignment="1">
      <alignment horizontal="left" vertical="center"/>
    </xf>
    <xf numFmtId="0" fontId="2" fillId="0" borderId="19" xfId="0" applyFont="1" applyBorder="1" applyAlignment="1">
      <alignment horizontal="left" vertical="top" wrapText="1"/>
    </xf>
    <xf numFmtId="0" fontId="2" fillId="0" borderId="24" xfId="0" applyFont="1" applyBorder="1" applyAlignment="1">
      <alignment horizontal="left" vertical="top" wrapText="1"/>
    </xf>
    <xf numFmtId="0" fontId="2" fillId="0" borderId="15" xfId="0" applyFont="1" applyBorder="1" applyAlignment="1">
      <alignment horizontal="left" vertical="top" wrapText="1"/>
    </xf>
    <xf numFmtId="0" fontId="23" fillId="0" borderId="24" xfId="0" applyFont="1" applyBorder="1" applyAlignment="1">
      <alignment horizontal="center" vertical="center" wrapText="1"/>
    </xf>
    <xf numFmtId="0" fontId="23" fillId="0" borderId="15" xfId="0" applyFont="1" applyBorder="1" applyAlignment="1">
      <alignment horizontal="center" vertical="center" wrapText="1"/>
    </xf>
    <xf numFmtId="0" fontId="2" fillId="0" borderId="12" xfId="0" quotePrefix="1" applyFont="1" applyBorder="1" applyAlignment="1">
      <alignment horizontal="left" vertical="top" wrapText="1"/>
    </xf>
    <xf numFmtId="0" fontId="2" fillId="0" borderId="46" xfId="0" applyFont="1" applyBorder="1" applyAlignment="1">
      <alignment horizontal="left" vertical="top" wrapText="1"/>
    </xf>
    <xf numFmtId="0" fontId="30" fillId="0" borderId="47" xfId="37" applyFont="1" applyBorder="1" applyAlignment="1">
      <alignment horizontal="center" vertical="center" wrapText="1"/>
    </xf>
    <xf numFmtId="0" fontId="30" fillId="0" borderId="19" xfId="37" applyFont="1" applyBorder="1" applyAlignment="1">
      <alignment horizontal="center" vertical="center" wrapText="1"/>
    </xf>
    <xf numFmtId="0" fontId="23" fillId="28" borderId="21" xfId="37" applyFont="1" applyFill="1" applyBorder="1" applyAlignment="1">
      <alignment horizontal="center" vertical="center" textRotation="90" wrapText="1"/>
    </xf>
    <xf numFmtId="0" fontId="23" fillId="28" borderId="17" xfId="37" applyFont="1" applyFill="1" applyBorder="1" applyAlignment="1">
      <alignment horizontal="center" vertical="center" textRotation="90" wrapText="1"/>
    </xf>
    <xf numFmtId="0" fontId="23" fillId="28" borderId="23" xfId="37" applyFont="1" applyFill="1" applyBorder="1" applyAlignment="1">
      <alignment horizontal="center" vertical="center" textRotation="90" wrapText="1"/>
    </xf>
    <xf numFmtId="43" fontId="30" fillId="28" borderId="12" xfId="46" applyFont="1" applyFill="1" applyBorder="1" applyAlignment="1">
      <alignment horizontal="left" vertical="top" wrapText="1"/>
    </xf>
    <xf numFmtId="43" fontId="30" fillId="28" borderId="46" xfId="46" applyFont="1" applyFill="1" applyBorder="1" applyAlignment="1">
      <alignment horizontal="left" vertical="top" wrapText="1"/>
    </xf>
    <xf numFmtId="0" fontId="2" fillId="28" borderId="12" xfId="37" applyFill="1" applyBorder="1" applyAlignment="1">
      <alignment horizontal="center" vertical="center" wrapText="1"/>
    </xf>
    <xf numFmtId="0" fontId="2" fillId="0" borderId="23" xfId="37" applyBorder="1" applyAlignment="1">
      <alignment horizontal="center" vertical="center" wrapText="1"/>
    </xf>
    <xf numFmtId="0" fontId="2" fillId="0" borderId="20" xfId="37" applyBorder="1" applyAlignment="1">
      <alignment horizontal="center" vertical="center" wrapText="1"/>
    </xf>
    <xf numFmtId="0" fontId="30" fillId="28" borderId="21" xfId="37" applyFont="1" applyFill="1" applyBorder="1" applyAlignment="1">
      <alignment horizontal="left" vertical="top" wrapText="1"/>
    </xf>
    <xf numFmtId="0" fontId="30" fillId="28" borderId="0" xfId="37" applyFont="1" applyFill="1" applyAlignment="1">
      <alignment horizontal="left" vertical="top" wrapText="1"/>
    </xf>
    <xf numFmtId="0" fontId="30" fillId="28" borderId="21" xfId="37" applyFont="1" applyFill="1" applyBorder="1" applyAlignment="1">
      <alignment horizontal="left" vertical="top"/>
    </xf>
    <xf numFmtId="0" fontId="30" fillId="28" borderId="0" xfId="37" applyFont="1" applyFill="1" applyAlignment="1">
      <alignment horizontal="left" vertical="top"/>
    </xf>
    <xf numFmtId="0" fontId="43" fillId="28" borderId="33" xfId="37" applyFont="1" applyFill="1" applyBorder="1" applyAlignment="1">
      <alignment horizontal="center" vertical="center"/>
    </xf>
    <xf numFmtId="0" fontId="43" fillId="28" borderId="25" xfId="37" applyFont="1" applyFill="1" applyBorder="1" applyAlignment="1">
      <alignment horizontal="center" vertical="center"/>
    </xf>
    <xf numFmtId="165" fontId="35" fillId="0" borderId="33" xfId="37" applyNumberFormat="1" applyFont="1" applyBorder="1" applyAlignment="1">
      <alignment horizontal="center" vertical="center"/>
    </xf>
    <xf numFmtId="165" fontId="35" fillId="0" borderId="25" xfId="37" applyNumberFormat="1" applyFont="1" applyBorder="1" applyAlignment="1">
      <alignment horizontal="center" vertical="center"/>
    </xf>
    <xf numFmtId="165" fontId="25" fillId="0" borderId="33" xfId="37" applyNumberFormat="1" applyFont="1" applyBorder="1" applyAlignment="1">
      <alignment horizontal="center" vertical="center"/>
    </xf>
    <xf numFmtId="165" fontId="25" fillId="0" borderId="25" xfId="37" applyNumberFormat="1" applyFont="1" applyBorder="1" applyAlignment="1">
      <alignment horizontal="center" vertical="center"/>
    </xf>
    <xf numFmtId="166" fontId="21" fillId="0" borderId="21" xfId="37" applyNumberFormat="1" applyFont="1" applyBorder="1" applyAlignment="1">
      <alignment horizontal="right" vertical="top"/>
    </xf>
    <xf numFmtId="166" fontId="21" fillId="0" borderId="10" xfId="37" applyNumberFormat="1" applyFont="1" applyBorder="1" applyAlignment="1">
      <alignment horizontal="right" vertical="top"/>
    </xf>
    <xf numFmtId="0" fontId="2" fillId="26" borderId="14" xfId="37" applyFill="1" applyBorder="1" applyAlignment="1">
      <alignment horizontal="left" vertical="center"/>
    </xf>
    <xf numFmtId="0" fontId="2" fillId="26" borderId="27" xfId="37" applyFill="1" applyBorder="1" applyAlignment="1">
      <alignment horizontal="left" vertical="center"/>
    </xf>
    <xf numFmtId="0" fontId="43" fillId="28" borderId="35" xfId="37" applyFont="1" applyFill="1" applyBorder="1" applyAlignment="1">
      <alignment horizontal="center" vertical="center"/>
    </xf>
    <xf numFmtId="165" fontId="35" fillId="0" borderId="36" xfId="37" applyNumberFormat="1" applyFont="1" applyBorder="1" applyAlignment="1">
      <alignment horizontal="center" vertical="center"/>
    </xf>
    <xf numFmtId="165" fontId="35" fillId="0" borderId="37" xfId="37" applyNumberFormat="1" applyFont="1" applyBorder="1" applyAlignment="1">
      <alignment horizontal="center" vertical="center"/>
    </xf>
    <xf numFmtId="165" fontId="25" fillId="0" borderId="36" xfId="37" applyNumberFormat="1" applyFont="1" applyBorder="1" applyAlignment="1">
      <alignment horizontal="center" vertical="center"/>
    </xf>
    <xf numFmtId="165" fontId="25" fillId="0" borderId="37" xfId="37" applyNumberFormat="1" applyFont="1" applyBorder="1" applyAlignment="1">
      <alignment horizontal="center" vertical="center"/>
    </xf>
    <xf numFmtId="0" fontId="43" fillId="28" borderId="24" xfId="37" applyFont="1" applyFill="1" applyBorder="1" applyAlignment="1">
      <alignment horizontal="center" vertical="center"/>
    </xf>
    <xf numFmtId="0" fontId="43" fillId="28" borderId="19" xfId="37" applyFont="1" applyFill="1" applyBorder="1" applyAlignment="1">
      <alignment horizontal="center" vertical="center"/>
    </xf>
    <xf numFmtId="165" fontId="35" fillId="0" borderId="23" xfId="37" applyNumberFormat="1" applyFont="1" applyBorder="1" applyAlignment="1">
      <alignment horizontal="center" vertical="center"/>
    </xf>
    <xf numFmtId="165" fontId="35" fillId="0" borderId="20" xfId="37" applyNumberFormat="1" applyFont="1" applyBorder="1" applyAlignment="1">
      <alignment horizontal="center" vertical="center"/>
    </xf>
    <xf numFmtId="165" fontId="25" fillId="0" borderId="23" xfId="37" applyNumberFormat="1" applyFont="1" applyBorder="1" applyAlignment="1">
      <alignment horizontal="center" vertical="center"/>
    </xf>
    <xf numFmtId="165" fontId="25" fillId="0" borderId="20" xfId="37" applyNumberFormat="1" applyFont="1" applyBorder="1" applyAlignment="1">
      <alignment horizontal="center" vertical="center"/>
    </xf>
    <xf numFmtId="165" fontId="25" fillId="0" borderId="33" xfId="0" applyNumberFormat="1" applyFont="1" applyBorder="1" applyAlignment="1">
      <alignment horizontal="center" vertical="center"/>
    </xf>
    <xf numFmtId="165" fontId="25" fillId="0" borderId="25" xfId="0" applyNumberFormat="1" applyFont="1" applyBorder="1" applyAlignment="1">
      <alignment horizontal="center" vertical="center"/>
    </xf>
    <xf numFmtId="0" fontId="43" fillId="0" borderId="33" xfId="0" applyFont="1" applyBorder="1" applyAlignment="1">
      <alignment horizontal="center" vertical="center"/>
    </xf>
    <xf numFmtId="0" fontId="43" fillId="0" borderId="25" xfId="0" applyFont="1" applyBorder="1" applyAlignment="1">
      <alignment horizontal="center" vertical="center"/>
    </xf>
    <xf numFmtId="165" fontId="25" fillId="0" borderId="23" xfId="0" applyNumberFormat="1" applyFont="1" applyBorder="1" applyAlignment="1">
      <alignment horizontal="center" vertical="center"/>
    </xf>
    <xf numFmtId="165" fontId="25" fillId="0" borderId="20" xfId="0" applyNumberFormat="1" applyFont="1" applyBorder="1" applyAlignment="1">
      <alignment horizontal="center" vertical="center"/>
    </xf>
    <xf numFmtId="0" fontId="43" fillId="0" borderId="23" xfId="0" applyFont="1" applyBorder="1" applyAlignment="1">
      <alignment horizontal="center" vertical="center"/>
    </xf>
    <xf numFmtId="0" fontId="43" fillId="0" borderId="20" xfId="0" applyFont="1" applyBorder="1" applyAlignment="1">
      <alignment horizontal="center" vertical="center"/>
    </xf>
    <xf numFmtId="165" fontId="25" fillId="0" borderId="36" xfId="0" applyNumberFormat="1" applyFont="1" applyBorder="1" applyAlignment="1">
      <alignment horizontal="center" vertical="center"/>
    </xf>
    <xf numFmtId="165" fontId="25" fillId="0" borderId="37" xfId="0" applyNumberFormat="1" applyFont="1" applyBorder="1" applyAlignment="1">
      <alignment horizontal="center" vertical="center"/>
    </xf>
    <xf numFmtId="0" fontId="43" fillId="0" borderId="36" xfId="0" applyFont="1" applyBorder="1" applyAlignment="1">
      <alignment horizontal="center" vertical="center"/>
    </xf>
    <xf numFmtId="0" fontId="43" fillId="0" borderId="37" xfId="0" applyFont="1" applyBorder="1" applyAlignment="1">
      <alignment horizontal="center" vertical="center"/>
    </xf>
    <xf numFmtId="0" fontId="2" fillId="0" borderId="27" xfId="0" applyFont="1" applyBorder="1" applyAlignment="1">
      <alignment horizontal="center" vertical="center"/>
    </xf>
    <xf numFmtId="0" fontId="70" fillId="0" borderId="21" xfId="37" applyFont="1" applyBorder="1" applyAlignment="1">
      <alignment horizontal="center" vertical="center" wrapText="1"/>
    </xf>
    <xf numFmtId="0" fontId="70" fillId="0" borderId="0" xfId="37" applyFont="1" applyAlignment="1">
      <alignment horizontal="center" vertical="center" wrapText="1"/>
    </xf>
    <xf numFmtId="0" fontId="51" fillId="0" borderId="26" xfId="37" applyFont="1" applyBorder="1" applyAlignment="1">
      <alignment horizontal="center" vertical="center" wrapText="1"/>
    </xf>
    <xf numFmtId="0" fontId="51" fillId="0" borderId="29" xfId="37" applyFont="1" applyBorder="1" applyAlignment="1">
      <alignment horizontal="center" vertical="center" wrapText="1"/>
    </xf>
    <xf numFmtId="166" fontId="51" fillId="0" borderId="18" xfId="37" applyNumberFormat="1" applyFont="1" applyBorder="1" applyAlignment="1">
      <alignment horizontal="center" vertical="top" wrapText="1"/>
    </xf>
    <xf numFmtId="0" fontId="51" fillId="0" borderId="18" xfId="37" applyFont="1" applyBorder="1" applyAlignment="1">
      <alignment horizontal="center" vertical="top" wrapText="1"/>
    </xf>
    <xf numFmtId="166" fontId="51" fillId="0" borderId="18" xfId="37" applyNumberFormat="1" applyFont="1" applyBorder="1" applyAlignment="1">
      <alignment horizontal="center" vertical="center"/>
    </xf>
    <xf numFmtId="166" fontId="51" fillId="0" borderId="16" xfId="37" applyNumberFormat="1" applyFont="1" applyBorder="1" applyAlignment="1">
      <alignment horizontal="center" vertical="center"/>
    </xf>
    <xf numFmtId="166" fontId="51" fillId="0" borderId="119" xfId="37" applyNumberFormat="1" applyFont="1" applyBorder="1" applyAlignment="1">
      <alignment horizontal="center" vertical="top" wrapText="1"/>
    </xf>
    <xf numFmtId="0" fontId="51" fillId="0" borderId="121" xfId="37" applyFont="1" applyBorder="1" applyAlignment="1">
      <alignment horizontal="center" vertical="top" wrapText="1"/>
    </xf>
    <xf numFmtId="0" fontId="51" fillId="0" borderId="133" xfId="37" applyFont="1" applyBorder="1" applyAlignment="1">
      <alignment horizontal="left" vertical="center" wrapText="1"/>
    </xf>
    <xf numFmtId="1" fontId="51" fillId="0" borderId="122" xfId="37" applyNumberFormat="1" applyFont="1" applyBorder="1" applyAlignment="1">
      <alignment horizontal="left" vertical="center"/>
    </xf>
    <xf numFmtId="0" fontId="51" fillId="0" borderId="13" xfId="37" applyFont="1" applyBorder="1" applyAlignment="1">
      <alignment horizontal="left" vertical="center" wrapText="1"/>
    </xf>
    <xf numFmtId="0" fontId="51" fillId="0" borderId="28" xfId="37" applyFont="1" applyBorder="1" applyAlignment="1">
      <alignment horizontal="left" vertical="center" wrapText="1"/>
    </xf>
    <xf numFmtId="0" fontId="51" fillId="0" borderId="133" xfId="37" applyFont="1" applyBorder="1" applyAlignment="1">
      <alignment horizontal="left" vertical="top" wrapText="1"/>
    </xf>
    <xf numFmtId="0" fontId="51" fillId="0" borderId="122" xfId="37" applyFont="1" applyBorder="1" applyAlignment="1">
      <alignment horizontal="left" vertical="top" wrapText="1"/>
    </xf>
    <xf numFmtId="0" fontId="51" fillId="0" borderId="134" xfId="37" applyFont="1" applyBorder="1" applyAlignment="1">
      <alignment horizontal="left" vertical="center" wrapText="1"/>
    </xf>
    <xf numFmtId="0" fontId="51" fillId="0" borderId="135" xfId="37" applyFont="1" applyBorder="1" applyAlignment="1">
      <alignment horizontal="left" vertical="center" wrapText="1"/>
    </xf>
    <xf numFmtId="1" fontId="51" fillId="0" borderId="123" xfId="37" applyNumberFormat="1" applyFont="1" applyBorder="1" applyAlignment="1">
      <alignment horizontal="center" vertical="center" wrapText="1"/>
    </xf>
    <xf numFmtId="0" fontId="51" fillId="0" borderId="124" xfId="0" applyFont="1" applyBorder="1" applyAlignment="1">
      <alignment horizontal="center" vertical="center" wrapText="1"/>
    </xf>
    <xf numFmtId="0" fontId="0" fillId="0" borderId="135" xfId="0" applyBorder="1" applyAlignment="1">
      <alignment horizontal="left" vertical="center" wrapText="1"/>
    </xf>
    <xf numFmtId="166" fontId="51" fillId="0" borderId="17" xfId="37" applyNumberFormat="1" applyFont="1" applyBorder="1" applyAlignment="1">
      <alignment horizontal="center" vertical="top" wrapText="1"/>
    </xf>
    <xf numFmtId="0" fontId="51" fillId="0" borderId="16" xfId="37" applyFont="1" applyBorder="1" applyAlignment="1">
      <alignment horizontal="center" vertical="top" wrapText="1"/>
    </xf>
    <xf numFmtId="166" fontId="51" fillId="28" borderId="17" xfId="37" applyNumberFormat="1" applyFont="1" applyFill="1" applyBorder="1" applyAlignment="1">
      <alignment horizontal="center" vertical="top" wrapText="1"/>
    </xf>
    <xf numFmtId="166" fontId="51" fillId="28" borderId="18" xfId="37" applyNumberFormat="1" applyFont="1" applyFill="1" applyBorder="1" applyAlignment="1">
      <alignment horizontal="center" vertical="top" wrapText="1"/>
    </xf>
    <xf numFmtId="166" fontId="51" fillId="28" borderId="16" xfId="37" applyNumberFormat="1" applyFont="1" applyFill="1" applyBorder="1" applyAlignment="1">
      <alignment horizontal="center" vertical="top" wrapText="1"/>
    </xf>
    <xf numFmtId="0" fontId="70" fillId="28" borderId="21" xfId="0" applyFont="1" applyFill="1" applyBorder="1" applyAlignment="1">
      <alignment horizontal="left" vertical="top" wrapText="1"/>
    </xf>
    <xf numFmtId="0" fontId="70" fillId="28" borderId="0" xfId="0" applyFont="1" applyFill="1" applyAlignment="1">
      <alignment horizontal="left" vertical="top" wrapText="1"/>
    </xf>
    <xf numFmtId="0" fontId="70" fillId="28" borderId="10" xfId="0" applyFont="1" applyFill="1" applyBorder="1" applyAlignment="1">
      <alignment horizontal="left" vertical="top" wrapText="1"/>
    </xf>
    <xf numFmtId="0" fontId="70" fillId="28" borderId="21" xfId="0" applyFont="1" applyFill="1" applyBorder="1" applyAlignment="1">
      <alignment horizontal="center" vertical="center" wrapText="1"/>
    </xf>
    <xf numFmtId="0" fontId="70" fillId="28" borderId="0" xfId="0" applyFont="1" applyFill="1" applyAlignment="1">
      <alignment horizontal="center" vertical="center" wrapText="1"/>
    </xf>
    <xf numFmtId="0" fontId="70" fillId="28" borderId="10" xfId="0" applyFont="1" applyFill="1" applyBorder="1" applyAlignment="1">
      <alignment horizontal="center" vertical="center" wrapText="1"/>
    </xf>
    <xf numFmtId="0" fontId="51" fillId="0" borderId="47" xfId="37" applyFont="1" applyBorder="1" applyAlignment="1">
      <alignment horizontal="center" vertical="center" wrapText="1"/>
    </xf>
    <xf numFmtId="0" fontId="51" fillId="0" borderId="12" xfId="37" applyFont="1" applyBorder="1" applyAlignment="1">
      <alignment horizontal="center" vertical="center" wrapText="1"/>
    </xf>
    <xf numFmtId="0" fontId="51" fillId="0" borderId="19" xfId="37" applyFont="1" applyBorder="1" applyAlignment="1">
      <alignment horizontal="center" vertical="center" wrapText="1"/>
    </xf>
    <xf numFmtId="165" fontId="51" fillId="0" borderId="47" xfId="37" applyNumberFormat="1" applyFont="1" applyBorder="1" applyAlignment="1">
      <alignment horizontal="center" vertical="center" wrapText="1"/>
    </xf>
    <xf numFmtId="165" fontId="51" fillId="0" borderId="12" xfId="37" applyNumberFormat="1" applyFont="1" applyBorder="1" applyAlignment="1">
      <alignment horizontal="center" vertical="center" wrapText="1"/>
    </xf>
    <xf numFmtId="165" fontId="51" fillId="0" borderId="19" xfId="37" applyNumberFormat="1" applyFont="1" applyBorder="1" applyAlignment="1">
      <alignment horizontal="center" vertical="center" wrapText="1"/>
    </xf>
    <xf numFmtId="165" fontId="51" fillId="0" borderId="47" xfId="37" applyNumberFormat="1" applyFont="1" applyBorder="1" applyAlignment="1">
      <alignment horizontal="center" vertical="center"/>
    </xf>
    <xf numFmtId="165" fontId="51" fillId="0" borderId="13" xfId="37" applyNumberFormat="1" applyFont="1" applyBorder="1" applyAlignment="1">
      <alignment horizontal="center" vertical="center"/>
    </xf>
    <xf numFmtId="165" fontId="51" fillId="0" borderId="12" xfId="37" applyNumberFormat="1" applyFont="1" applyBorder="1" applyAlignment="1">
      <alignment horizontal="center" vertical="center"/>
    </xf>
    <xf numFmtId="165" fontId="51" fillId="0" borderId="21" xfId="37" applyNumberFormat="1" applyFont="1" applyBorder="1" applyAlignment="1">
      <alignment horizontal="center" vertical="center"/>
    </xf>
    <xf numFmtId="165" fontId="51" fillId="0" borderId="19" xfId="37" applyNumberFormat="1" applyFont="1" applyBorder="1" applyAlignment="1">
      <alignment horizontal="center" vertical="center"/>
    </xf>
    <xf numFmtId="0" fontId="51" fillId="0" borderId="21" xfId="37" applyFont="1" applyBorder="1" applyAlignment="1">
      <alignment horizontal="left" vertical="top" wrapText="1"/>
    </xf>
    <xf numFmtId="0" fontId="51" fillId="0" borderId="0" xfId="37" applyFont="1" applyAlignment="1">
      <alignment horizontal="left" vertical="top" wrapText="1"/>
    </xf>
    <xf numFmtId="0" fontId="0" fillId="0" borderId="0" xfId="0" applyAlignment="1">
      <alignment horizontal="left" vertical="top" wrapText="1"/>
    </xf>
    <xf numFmtId="166" fontId="51" fillId="0" borderId="17" xfId="0" applyNumberFormat="1" applyFont="1" applyBorder="1" applyAlignment="1">
      <alignment horizontal="center" vertical="center"/>
    </xf>
    <xf numFmtId="166" fontId="51" fillId="0" borderId="18" xfId="0" applyNumberFormat="1" applyFont="1" applyBorder="1" applyAlignment="1">
      <alignment horizontal="center" vertical="center"/>
    </xf>
    <xf numFmtId="166" fontId="51" fillId="0" borderId="16" xfId="0" applyNumberFormat="1" applyFont="1" applyBorder="1" applyAlignment="1">
      <alignment horizontal="center" vertical="center"/>
    </xf>
    <xf numFmtId="1" fontId="51" fillId="0" borderId="123" xfId="37" applyNumberFormat="1" applyFont="1" applyBorder="1" applyAlignment="1">
      <alignment horizontal="center" vertical="center"/>
    </xf>
    <xf numFmtId="1" fontId="51" fillId="0" borderId="124" xfId="37" applyNumberFormat="1" applyFont="1" applyBorder="1" applyAlignment="1">
      <alignment horizontal="center" vertical="center"/>
    </xf>
    <xf numFmtId="0" fontId="2" fillId="0" borderId="10" xfId="37" applyBorder="1" applyAlignment="1">
      <alignment horizontal="center" vertical="center"/>
    </xf>
    <xf numFmtId="0" fontId="51" fillId="0" borderId="10" xfId="37" applyFont="1" applyBorder="1" applyAlignment="1">
      <alignment horizontal="left" vertical="top" wrapText="1"/>
    </xf>
    <xf numFmtId="0" fontId="2" fillId="0" borderId="29" xfId="37" applyBorder="1" applyAlignment="1">
      <alignment horizontal="left" vertical="top" wrapText="1"/>
    </xf>
    <xf numFmtId="0" fontId="70" fillId="0" borderId="10" xfId="37" applyFont="1" applyBorder="1" applyAlignment="1">
      <alignment horizontal="center" vertical="center" wrapText="1"/>
    </xf>
    <xf numFmtId="1" fontId="70" fillId="0" borderId="21" xfId="37" applyNumberFormat="1" applyFont="1" applyBorder="1" applyAlignment="1">
      <alignment horizontal="center" vertical="center" wrapText="1"/>
    </xf>
    <xf numFmtId="1" fontId="70" fillId="0" borderId="0" xfId="37" applyNumberFormat="1" applyFont="1" applyAlignment="1">
      <alignment horizontal="center" vertical="center" wrapText="1"/>
    </xf>
    <xf numFmtId="1" fontId="70" fillId="0" borderId="10" xfId="37" applyNumberFormat="1" applyFont="1" applyBorder="1" applyAlignment="1">
      <alignment horizontal="center" vertical="center" wrapText="1"/>
    </xf>
    <xf numFmtId="0" fontId="30" fillId="0" borderId="12" xfId="37" applyFont="1" applyBorder="1" applyAlignment="1">
      <alignment horizontal="center" vertical="center" wrapText="1"/>
    </xf>
    <xf numFmtId="1" fontId="71" fillId="0" borderId="30" xfId="37" applyNumberFormat="1" applyFont="1" applyBorder="1" applyAlignment="1">
      <alignment horizontal="center" vertical="center" wrapText="1"/>
    </xf>
    <xf numFmtId="1" fontId="71" fillId="0" borderId="123" xfId="37" applyNumberFormat="1" applyFont="1" applyBorder="1" applyAlignment="1">
      <alignment horizontal="center" vertical="center" wrapText="1"/>
    </xf>
    <xf numFmtId="1" fontId="71" fillId="0" borderId="137" xfId="37" applyNumberFormat="1" applyFont="1" applyBorder="1" applyAlignment="1">
      <alignment horizontal="center" vertical="center" wrapText="1"/>
    </xf>
    <xf numFmtId="1" fontId="71" fillId="0" borderId="138" xfId="37" applyNumberFormat="1" applyFont="1" applyBorder="1" applyAlignment="1">
      <alignment horizontal="center" vertical="center" wrapText="1"/>
    </xf>
    <xf numFmtId="1" fontId="51" fillId="0" borderId="52" xfId="37" applyNumberFormat="1" applyFont="1" applyBorder="1" applyAlignment="1">
      <alignment horizontal="center" vertical="center"/>
    </xf>
    <xf numFmtId="1" fontId="51" fillId="0" borderId="39" xfId="37" applyNumberFormat="1" applyFont="1" applyBorder="1" applyAlignment="1">
      <alignment horizontal="center" vertical="center"/>
    </xf>
    <xf numFmtId="1" fontId="51" fillId="0" borderId="40" xfId="37" applyNumberFormat="1" applyFont="1" applyBorder="1" applyAlignment="1">
      <alignment horizontal="center" vertical="center"/>
    </xf>
    <xf numFmtId="0" fontId="51" fillId="0" borderId="153" xfId="37" applyFont="1" applyBorder="1" applyAlignment="1">
      <alignment horizontal="center" vertical="center"/>
    </xf>
    <xf numFmtId="0" fontId="51" fillId="0" borderId="32" xfId="37" applyFont="1" applyBorder="1" applyAlignment="1">
      <alignment horizontal="center" vertical="center"/>
    </xf>
    <xf numFmtId="0" fontId="51" fillId="0" borderId="163" xfId="37" applyFont="1" applyBorder="1" applyAlignment="1">
      <alignment horizontal="left" vertical="center" wrapText="1"/>
    </xf>
    <xf numFmtId="0" fontId="71" fillId="0" borderId="26" xfId="37" applyFont="1" applyBorder="1" applyAlignment="1">
      <alignment horizontal="center" vertical="center"/>
    </xf>
    <xf numFmtId="0" fontId="71" fillId="0" borderId="164" xfId="37" applyFont="1" applyBorder="1" applyAlignment="1">
      <alignment horizontal="center" vertical="center"/>
    </xf>
    <xf numFmtId="0" fontId="51" fillId="0" borderId="0" xfId="37" applyFont="1" applyAlignment="1">
      <alignment horizontal="left" vertical="center"/>
    </xf>
    <xf numFmtId="1" fontId="70" fillId="0" borderId="122" xfId="37" applyNumberFormat="1" applyFont="1" applyBorder="1" applyAlignment="1">
      <alignment horizontal="center" vertical="center" wrapText="1"/>
    </xf>
    <xf numFmtId="166" fontId="2" fillId="0" borderId="17" xfId="37" applyNumberFormat="1" applyBorder="1" applyAlignment="1">
      <alignment horizontal="center" vertical="center"/>
    </xf>
    <xf numFmtId="166" fontId="2" fillId="0" borderId="16" xfId="37" applyNumberFormat="1" applyBorder="1" applyAlignment="1">
      <alignment horizontal="center" vertical="center"/>
    </xf>
    <xf numFmtId="166" fontId="2" fillId="0" borderId="18" xfId="37" applyNumberFormat="1" applyBorder="1" applyAlignment="1">
      <alignment horizontal="center" vertical="center"/>
    </xf>
    <xf numFmtId="0" fontId="52" fillId="28" borderId="15" xfId="37" applyFont="1" applyFill="1" applyBorder="1" applyAlignment="1">
      <alignment horizontal="center" vertical="center" textRotation="90" wrapText="1"/>
    </xf>
    <xf numFmtId="0" fontId="52" fillId="28" borderId="12" xfId="37" applyFont="1" applyFill="1" applyBorder="1" applyAlignment="1">
      <alignment horizontal="center" vertical="center" textRotation="90" wrapText="1"/>
    </xf>
    <xf numFmtId="0" fontId="52" fillId="28" borderId="21" xfId="37" applyFont="1" applyFill="1" applyBorder="1" applyAlignment="1">
      <alignment horizontal="center" vertical="center" textRotation="90" wrapText="1"/>
    </xf>
    <xf numFmtId="0" fontId="52" fillId="28" borderId="19" xfId="37" applyFont="1" applyFill="1" applyBorder="1" applyAlignment="1">
      <alignment horizontal="center" vertical="center" textRotation="90" wrapText="1"/>
    </xf>
    <xf numFmtId="166" fontId="51" fillId="0" borderId="132" xfId="37" applyNumberFormat="1" applyFont="1" applyBorder="1" applyAlignment="1">
      <alignment horizontal="center" vertical="top" wrapText="1"/>
    </xf>
    <xf numFmtId="0" fontId="51" fillId="0" borderId="0" xfId="0" applyFont="1" applyAlignment="1">
      <alignment horizontal="left" vertical="top" wrapText="1"/>
    </xf>
    <xf numFmtId="0" fontId="70" fillId="0" borderId="133" xfId="0" applyFont="1" applyBorder="1" applyAlignment="1">
      <alignment horizontal="center" vertical="top" wrapText="1"/>
    </xf>
    <xf numFmtId="0" fontId="70" fillId="0" borderId="0" xfId="0" applyFont="1" applyAlignment="1">
      <alignment horizontal="center" vertical="top" wrapText="1"/>
    </xf>
    <xf numFmtId="0" fontId="70" fillId="0" borderId="122" xfId="0" applyFont="1" applyBorder="1" applyAlignment="1">
      <alignment horizontal="center" vertical="top" wrapText="1"/>
    </xf>
    <xf numFmtId="1" fontId="70" fillId="0" borderId="31" xfId="37" applyNumberFormat="1" applyFont="1" applyBorder="1" applyAlignment="1">
      <alignment horizontal="center" vertical="center" wrapText="1"/>
    </xf>
    <xf numFmtId="0" fontId="36" fillId="0" borderId="33" xfId="37" applyFont="1" applyBorder="1" applyAlignment="1">
      <alignment horizontal="center" vertical="center"/>
    </xf>
    <xf numFmtId="0" fontId="36" fillId="0" borderId="34" xfId="37" applyFont="1" applyBorder="1" applyAlignment="1">
      <alignment horizontal="center" vertical="center"/>
    </xf>
    <xf numFmtId="0" fontId="36" fillId="0" borderId="25" xfId="37" applyFont="1" applyBorder="1" applyAlignment="1">
      <alignment horizontal="center" vertical="center"/>
    </xf>
    <xf numFmtId="0" fontId="1" fillId="0" borderId="17" xfId="37" applyFont="1" applyBorder="1" applyAlignment="1">
      <alignment horizontal="left" vertical="center" wrapText="1"/>
    </xf>
    <xf numFmtId="0" fontId="1" fillId="0" borderId="18" xfId="37" applyFont="1" applyBorder="1" applyAlignment="1">
      <alignment horizontal="left" vertical="center" wrapText="1"/>
    </xf>
    <xf numFmtId="0" fontId="1" fillId="0" borderId="16" xfId="37" applyFont="1" applyBorder="1" applyAlignment="1">
      <alignment horizontal="left" vertical="center" wrapText="1"/>
    </xf>
    <xf numFmtId="0" fontId="1" fillId="0" borderId="21" xfId="37" applyFont="1" applyBorder="1" applyAlignment="1">
      <alignment horizontal="left" vertical="center" wrapText="1"/>
    </xf>
    <xf numFmtId="0" fontId="1" fillId="0" borderId="0" xfId="37" applyFont="1" applyAlignment="1">
      <alignment horizontal="left" vertical="center" wrapText="1"/>
    </xf>
    <xf numFmtId="0" fontId="1" fillId="0" borderId="10" xfId="37" applyFont="1" applyBorder="1" applyAlignment="1">
      <alignment horizontal="left" vertical="center" wrapText="1"/>
    </xf>
    <xf numFmtId="0" fontId="1" fillId="0" borderId="23" xfId="37" applyFont="1" applyBorder="1" applyAlignment="1">
      <alignment horizontal="left" vertical="center" wrapText="1"/>
    </xf>
    <xf numFmtId="0" fontId="1" fillId="0" borderId="22" xfId="37" applyFont="1" applyBorder="1" applyAlignment="1">
      <alignment horizontal="left" vertical="center" wrapText="1"/>
    </xf>
    <xf numFmtId="0" fontId="1" fillId="0" borderId="20" xfId="37" applyFont="1" applyBorder="1" applyAlignment="1">
      <alignment horizontal="left" vertical="center" wrapText="1"/>
    </xf>
    <xf numFmtId="165" fontId="23" fillId="26" borderId="17" xfId="0" applyNumberFormat="1" applyFont="1" applyFill="1" applyBorder="1" applyAlignment="1">
      <alignment horizontal="center" vertical="center"/>
    </xf>
    <xf numFmtId="165" fontId="23" fillId="26" borderId="21" xfId="0" applyNumberFormat="1" applyFont="1" applyFill="1" applyBorder="1" applyAlignment="1">
      <alignment horizontal="center" vertical="center"/>
    </xf>
    <xf numFmtId="165" fontId="23" fillId="26" borderId="23" xfId="0" applyNumberFormat="1" applyFont="1" applyFill="1" applyBorder="1" applyAlignment="1">
      <alignment horizontal="center" vertical="center"/>
    </xf>
    <xf numFmtId="0" fontId="1" fillId="0" borderId="33" xfId="37" applyFont="1" applyBorder="1" applyAlignment="1">
      <alignment horizontal="left" vertical="center"/>
    </xf>
    <xf numFmtId="0" fontId="0" fillId="0" borderId="34" xfId="0" applyBorder="1" applyAlignment="1">
      <alignment horizontal="left" vertical="center"/>
    </xf>
    <xf numFmtId="0" fontId="0" fillId="0" borderId="25" xfId="0" applyBorder="1" applyAlignment="1">
      <alignment horizontal="left" vertical="center"/>
    </xf>
    <xf numFmtId="1" fontId="41" fillId="0" borderId="24" xfId="37" applyNumberFormat="1" applyFont="1" applyBorder="1" applyAlignment="1">
      <alignment horizontal="center" vertical="center"/>
    </xf>
    <xf numFmtId="0" fontId="36" fillId="0" borderId="24" xfId="37" applyFont="1" applyBorder="1" applyAlignment="1">
      <alignment horizontal="center" vertical="center"/>
    </xf>
    <xf numFmtId="165" fontId="23" fillId="26" borderId="15" xfId="0" applyNumberFormat="1" applyFont="1" applyFill="1" applyBorder="1" applyAlignment="1">
      <alignment horizontal="center" vertical="center"/>
    </xf>
    <xf numFmtId="165" fontId="23" fillId="26" borderId="19" xfId="0" applyNumberFormat="1" applyFont="1" applyFill="1" applyBorder="1" applyAlignment="1">
      <alignment horizontal="center" vertical="center"/>
    </xf>
    <xf numFmtId="165" fontId="23" fillId="26" borderId="12" xfId="0" applyNumberFormat="1" applyFont="1" applyFill="1" applyBorder="1" applyAlignment="1">
      <alignment horizontal="center" vertical="center"/>
    </xf>
    <xf numFmtId="0" fontId="36" fillId="0" borderId="17" xfId="37" applyFont="1" applyBorder="1" applyAlignment="1">
      <alignment horizontal="center" vertical="center"/>
    </xf>
    <xf numFmtId="0" fontId="36" fillId="0" borderId="18" xfId="37" applyFont="1" applyBorder="1" applyAlignment="1">
      <alignment horizontal="center" vertical="center"/>
    </xf>
    <xf numFmtId="0" fontId="36" fillId="0" borderId="16" xfId="37" applyFont="1" applyBorder="1" applyAlignment="1">
      <alignment horizontal="center" vertical="center"/>
    </xf>
    <xf numFmtId="0" fontId="36" fillId="0" borderId="23" xfId="37" applyFont="1" applyBorder="1" applyAlignment="1">
      <alignment horizontal="center" vertical="center"/>
    </xf>
    <xf numFmtId="0" fontId="36" fillId="0" borderId="22" xfId="37" applyFont="1" applyBorder="1" applyAlignment="1">
      <alignment horizontal="center" vertical="center"/>
    </xf>
    <xf numFmtId="0" fontId="36" fillId="0" borderId="20" xfId="37" applyFont="1" applyBorder="1" applyAlignment="1">
      <alignment horizontal="center" vertical="center"/>
    </xf>
    <xf numFmtId="0" fontId="36" fillId="0" borderId="21" xfId="37" applyFont="1" applyBorder="1" applyAlignment="1">
      <alignment horizontal="center" vertical="center"/>
    </xf>
    <xf numFmtId="0" fontId="36" fillId="0" borderId="0" xfId="37" applyFont="1" applyAlignment="1">
      <alignment horizontal="center" vertical="center"/>
    </xf>
    <xf numFmtId="0" fontId="36" fillId="0" borderId="10" xfId="37" applyFont="1" applyBorder="1" applyAlignment="1">
      <alignment horizontal="center" vertical="center"/>
    </xf>
    <xf numFmtId="166" fontId="1" fillId="0" borderId="0" xfId="37" applyNumberFormat="1" applyFont="1" applyAlignment="1">
      <alignment horizontal="center" vertical="center"/>
    </xf>
    <xf numFmtId="166" fontId="42" fillId="0" borderId="15" xfId="37" applyNumberFormat="1" applyFont="1" applyBorder="1" applyAlignment="1">
      <alignment horizontal="center" vertical="center" textRotation="90"/>
    </xf>
    <xf numFmtId="166" fontId="42" fillId="0" borderId="12" xfId="37" applyNumberFormat="1" applyFont="1" applyBorder="1" applyAlignment="1">
      <alignment horizontal="center" vertical="center" textRotation="90"/>
    </xf>
    <xf numFmtId="166" fontId="42" fillId="0" borderId="19" xfId="37" applyNumberFormat="1" applyFont="1" applyBorder="1" applyAlignment="1">
      <alignment horizontal="center" vertical="center" textRotation="90"/>
    </xf>
    <xf numFmtId="0" fontId="1" fillId="0" borderId="17" xfId="37" applyFont="1" applyBorder="1" applyAlignment="1">
      <alignment horizontal="center" vertical="center" wrapText="1"/>
    </xf>
    <xf numFmtId="0" fontId="1" fillId="0" borderId="16" xfId="37" applyFont="1" applyBorder="1" applyAlignment="1">
      <alignment horizontal="center" vertical="center" wrapText="1"/>
    </xf>
    <xf numFmtId="0" fontId="1" fillId="0" borderId="23" xfId="37" applyFont="1" applyBorder="1" applyAlignment="1">
      <alignment horizontal="center" vertical="center" wrapText="1"/>
    </xf>
    <xf numFmtId="0" fontId="1" fillId="0" borderId="20" xfId="37" applyFont="1" applyBorder="1" applyAlignment="1">
      <alignment horizontal="center" vertical="center" wrapText="1"/>
    </xf>
    <xf numFmtId="1" fontId="41" fillId="0" borderId="23" xfId="37" applyNumberFormat="1" applyFont="1" applyBorder="1" applyAlignment="1">
      <alignment horizontal="left" vertical="center" indent="2"/>
    </xf>
    <xf numFmtId="1" fontId="41" fillId="0" borderId="22" xfId="37" applyNumberFormat="1" applyFont="1" applyBorder="1" applyAlignment="1">
      <alignment horizontal="left" vertical="center" indent="2"/>
    </xf>
    <xf numFmtId="1" fontId="41" fillId="0" borderId="20" xfId="37" applyNumberFormat="1" applyFont="1" applyBorder="1" applyAlignment="1">
      <alignment horizontal="left" vertical="center" indent="2"/>
    </xf>
    <xf numFmtId="0" fontId="36" fillId="0" borderId="12" xfId="37" applyFont="1" applyBorder="1" applyAlignment="1">
      <alignment horizontal="center" vertical="center"/>
    </xf>
    <xf numFmtId="0" fontId="36" fillId="0" borderId="19" xfId="37" applyFont="1" applyBorder="1" applyAlignment="1">
      <alignment horizontal="center" vertical="center"/>
    </xf>
    <xf numFmtId="0" fontId="39" fillId="0" borderId="0" xfId="37" applyFont="1" applyAlignment="1">
      <alignment horizontal="left" vertical="center" wrapText="1"/>
    </xf>
    <xf numFmtId="0" fontId="39" fillId="0" borderId="10" xfId="37" applyFont="1" applyBorder="1" applyAlignment="1">
      <alignment horizontal="left" vertical="center" wrapText="1"/>
    </xf>
    <xf numFmtId="0" fontId="1" fillId="0" borderId="23" xfId="37" applyFont="1" applyBorder="1" applyAlignment="1">
      <alignment horizontal="center" vertical="center"/>
    </xf>
    <xf numFmtId="0" fontId="1" fillId="0" borderId="22" xfId="37" applyFont="1" applyBorder="1" applyAlignment="1">
      <alignment horizontal="center" vertical="center"/>
    </xf>
    <xf numFmtId="0" fontId="1" fillId="0" borderId="20" xfId="37" applyFont="1" applyBorder="1" applyAlignment="1">
      <alignment horizontal="center" vertical="center"/>
    </xf>
    <xf numFmtId="0" fontId="1" fillId="0" borderId="33" xfId="37" applyFont="1" applyBorder="1" applyAlignment="1">
      <alignment horizontal="center" vertical="center" wrapText="1"/>
    </xf>
    <xf numFmtId="0" fontId="1" fillId="0" borderId="25" xfId="37" applyFont="1" applyBorder="1" applyAlignment="1">
      <alignment horizontal="center" vertical="center" wrapText="1"/>
    </xf>
    <xf numFmtId="0" fontId="1" fillId="0" borderId="18" xfId="37" applyFont="1" applyBorder="1" applyAlignment="1">
      <alignment horizontal="center" vertical="center" wrapText="1"/>
    </xf>
    <xf numFmtId="0" fontId="1" fillId="0" borderId="21" xfId="37" applyFont="1" applyBorder="1" applyAlignment="1">
      <alignment horizontal="center" vertical="center" wrapText="1"/>
    </xf>
    <xf numFmtId="0" fontId="1" fillId="0" borderId="0" xfId="37" applyFont="1" applyAlignment="1">
      <alignment horizontal="center" vertical="center" wrapText="1"/>
    </xf>
    <xf numFmtId="0" fontId="1" fillId="0" borderId="10" xfId="37" applyFont="1" applyBorder="1" applyAlignment="1">
      <alignment horizontal="center" vertical="center" wrapText="1"/>
    </xf>
    <xf numFmtId="0" fontId="1" fillId="0" borderId="22" xfId="37" applyFont="1" applyBorder="1" applyAlignment="1">
      <alignment horizontal="center" vertical="center" wrapText="1"/>
    </xf>
    <xf numFmtId="166" fontId="1" fillId="0" borderId="17" xfId="37" applyNumberFormat="1" applyFont="1" applyBorder="1" applyAlignment="1">
      <alignment horizontal="left" vertical="center"/>
    </xf>
    <xf numFmtId="166" fontId="1" fillId="0" borderId="18" xfId="37" applyNumberFormat="1" applyFont="1" applyBorder="1" applyAlignment="1">
      <alignment horizontal="left" vertical="center"/>
    </xf>
    <xf numFmtId="166" fontId="1" fillId="0" borderId="16" xfId="37" applyNumberFormat="1" applyFont="1" applyBorder="1" applyAlignment="1">
      <alignment horizontal="left" vertical="center"/>
    </xf>
    <xf numFmtId="0" fontId="41" fillId="0" borderId="33" xfId="37" applyFont="1" applyBorder="1" applyAlignment="1">
      <alignment horizontal="left" vertical="center"/>
    </xf>
    <xf numFmtId="0" fontId="41" fillId="0" borderId="34" xfId="37" applyFont="1" applyBorder="1" applyAlignment="1">
      <alignment horizontal="left" vertical="center"/>
    </xf>
    <xf numFmtId="0" fontId="41" fillId="0" borderId="25" xfId="37" applyFont="1" applyBorder="1" applyAlignment="1">
      <alignment horizontal="left" vertical="center"/>
    </xf>
    <xf numFmtId="0" fontId="1" fillId="0" borderId="12" xfId="37" applyFont="1" applyBorder="1" applyAlignment="1">
      <alignment horizontal="left" vertical="top" wrapText="1"/>
    </xf>
    <xf numFmtId="0" fontId="1" fillId="0" borderId="17" xfId="37" applyFont="1" applyBorder="1" applyAlignment="1">
      <alignment horizontal="center" vertical="center"/>
    </xf>
    <xf numFmtId="0" fontId="1" fillId="0" borderId="18" xfId="37" applyFont="1" applyBorder="1" applyAlignment="1">
      <alignment horizontal="center" vertical="center"/>
    </xf>
    <xf numFmtId="0" fontId="1" fillId="0" borderId="16" xfId="37" applyFont="1" applyBorder="1" applyAlignment="1">
      <alignment horizontal="center" vertical="center"/>
    </xf>
    <xf numFmtId="0" fontId="1" fillId="0" borderId="21" xfId="37" applyFont="1" applyBorder="1" applyAlignment="1">
      <alignment horizontal="center" vertical="center"/>
    </xf>
    <xf numFmtId="0" fontId="1" fillId="0" borderId="0" xfId="37" applyFont="1" applyAlignment="1">
      <alignment horizontal="center" vertical="center"/>
    </xf>
    <xf numFmtId="0" fontId="1" fillId="0" borderId="10" xfId="37" applyFont="1" applyBorder="1" applyAlignment="1">
      <alignment horizontal="center" vertical="center"/>
    </xf>
    <xf numFmtId="0" fontId="1" fillId="0" borderId="21" xfId="37" applyFont="1" applyBorder="1" applyAlignment="1">
      <alignment horizontal="left" vertical="top" wrapText="1"/>
    </xf>
    <xf numFmtId="0" fontId="1" fillId="0" borderId="23" xfId="37" applyFont="1" applyBorder="1" applyAlignment="1">
      <alignment horizontal="left" vertical="top" wrapText="1"/>
    </xf>
    <xf numFmtId="0" fontId="40" fillId="0" borderId="21" xfId="37" applyFont="1" applyBorder="1" applyAlignment="1">
      <alignment horizontal="center" wrapText="1"/>
    </xf>
    <xf numFmtId="0" fontId="40" fillId="0" borderId="23" xfId="37" applyFont="1" applyBorder="1" applyAlignment="1">
      <alignment horizontal="center" wrapText="1"/>
    </xf>
    <xf numFmtId="0" fontId="1" fillId="0" borderId="34" xfId="37" applyFont="1" applyBorder="1" applyAlignment="1">
      <alignment horizontal="left" vertical="center"/>
    </xf>
    <xf numFmtId="0" fontId="1" fillId="0" borderId="25" xfId="37" applyFont="1" applyBorder="1" applyAlignment="1">
      <alignment horizontal="left" vertical="center"/>
    </xf>
    <xf numFmtId="0" fontId="2" fillId="0" borderId="33" xfId="37" applyBorder="1" applyAlignment="1">
      <alignment horizontal="left" vertical="center"/>
    </xf>
    <xf numFmtId="0" fontId="2" fillId="0" borderId="34" xfId="37" applyBorder="1" applyAlignment="1">
      <alignment horizontal="left" vertical="center"/>
    </xf>
    <xf numFmtId="0" fontId="2" fillId="0" borderId="25" xfId="37" applyBorder="1" applyAlignment="1">
      <alignment horizontal="left" vertical="center"/>
    </xf>
    <xf numFmtId="0" fontId="1" fillId="0" borderId="27" xfId="37" applyFont="1" applyBorder="1" applyAlignment="1">
      <alignment horizontal="left" vertical="center"/>
    </xf>
    <xf numFmtId="0" fontId="0" fillId="0" borderId="27" xfId="0" applyBorder="1" applyAlignment="1">
      <alignment horizontal="left" vertical="center"/>
    </xf>
    <xf numFmtId="0" fontId="1" fillId="0" borderId="17" xfId="37" applyFont="1" applyBorder="1" applyAlignment="1">
      <alignment horizontal="left" vertical="center"/>
    </xf>
    <xf numFmtId="0" fontId="1" fillId="0" borderId="18" xfId="37" applyFont="1" applyBorder="1" applyAlignment="1">
      <alignment horizontal="left" vertical="center"/>
    </xf>
    <xf numFmtId="0" fontId="1" fillId="0" borderId="16" xfId="37" applyFont="1" applyBorder="1" applyAlignment="1">
      <alignment horizontal="left" vertical="center"/>
    </xf>
    <xf numFmtId="0" fontId="40" fillId="0" borderId="21" xfId="37" applyFont="1" applyBorder="1" applyAlignment="1">
      <alignment horizontal="center" vertical="center" wrapText="1"/>
    </xf>
    <xf numFmtId="0" fontId="40" fillId="0" borderId="0" xfId="37" applyFont="1" applyAlignment="1">
      <alignment horizontal="center" vertical="center" wrapText="1"/>
    </xf>
    <xf numFmtId="0" fontId="40" fillId="0" borderId="10" xfId="37" applyFont="1" applyBorder="1" applyAlignment="1">
      <alignment horizontal="center" vertical="center" wrapText="1"/>
    </xf>
    <xf numFmtId="166" fontId="1" fillId="0" borderId="21" xfId="37" applyNumberFormat="1" applyFont="1" applyBorder="1" applyAlignment="1">
      <alignment horizontal="left" vertical="top" wrapText="1"/>
    </xf>
    <xf numFmtId="166" fontId="1" fillId="0" borderId="0" xfId="37" applyNumberFormat="1" applyFont="1" applyAlignment="1">
      <alignment horizontal="left" vertical="top" wrapText="1"/>
    </xf>
    <xf numFmtId="166" fontId="1" fillId="0" borderId="10" xfId="37" applyNumberFormat="1" applyFont="1" applyBorder="1" applyAlignment="1">
      <alignment horizontal="left" vertical="top" wrapText="1"/>
    </xf>
    <xf numFmtId="0" fontId="40" fillId="0" borderId="23" xfId="37" applyFont="1" applyBorder="1" applyAlignment="1">
      <alignment horizontal="center" vertical="center" wrapText="1"/>
    </xf>
    <xf numFmtId="0" fontId="40" fillId="0" borderId="22" xfId="37" applyFont="1" applyBorder="1" applyAlignment="1">
      <alignment horizontal="center" vertical="center" wrapText="1"/>
    </xf>
    <xf numFmtId="0" fontId="40" fillId="0" borderId="20" xfId="37" applyFont="1" applyBorder="1" applyAlignment="1">
      <alignment horizontal="center" vertical="center" wrapText="1"/>
    </xf>
    <xf numFmtId="0" fontId="42" fillId="0" borderId="33" xfId="37" applyFont="1" applyBorder="1" applyAlignment="1">
      <alignment horizontal="center" vertical="center"/>
    </xf>
    <xf numFmtId="0" fontId="42" fillId="0" borderId="34" xfId="37" applyFont="1" applyBorder="1" applyAlignment="1">
      <alignment horizontal="center" vertical="center"/>
    </xf>
    <xf numFmtId="0" fontId="42" fillId="0" borderId="25" xfId="37" applyFont="1" applyBorder="1" applyAlignment="1">
      <alignment horizontal="center" vertical="center"/>
    </xf>
    <xf numFmtId="0" fontId="1" fillId="0" borderId="0" xfId="37" applyFont="1" applyAlignment="1">
      <alignment horizontal="left" vertical="top" wrapText="1"/>
    </xf>
    <xf numFmtId="0" fontId="1" fillId="0" borderId="10" xfId="37" applyFont="1" applyBorder="1" applyAlignment="1">
      <alignment horizontal="left" vertical="top" wrapText="1"/>
    </xf>
    <xf numFmtId="166" fontId="42" fillId="0" borderId="17" xfId="37" applyNumberFormat="1" applyFont="1" applyBorder="1" applyAlignment="1">
      <alignment horizontal="center" vertical="center" textRotation="90"/>
    </xf>
    <xf numFmtId="166" fontId="42" fillId="0" borderId="21" xfId="37" applyNumberFormat="1" applyFont="1" applyBorder="1" applyAlignment="1">
      <alignment horizontal="center" vertical="center" textRotation="90"/>
    </xf>
    <xf numFmtId="166" fontId="42" fillId="0" borderId="23" xfId="37" applyNumberFormat="1" applyFont="1" applyBorder="1" applyAlignment="1">
      <alignment horizontal="center" vertical="center" textRotation="90"/>
    </xf>
    <xf numFmtId="166" fontId="40" fillId="0" borderId="21" xfId="37" applyNumberFormat="1" applyFont="1" applyBorder="1" applyAlignment="1">
      <alignment horizontal="center" vertical="center" wrapText="1"/>
    </xf>
    <xf numFmtId="166" fontId="40" fillId="0" borderId="0" xfId="37" applyNumberFormat="1" applyFont="1" applyAlignment="1">
      <alignment horizontal="center" vertical="center" wrapText="1"/>
    </xf>
    <xf numFmtId="166" fontId="40" fillId="0" borderId="10" xfId="37" applyNumberFormat="1" applyFont="1" applyBorder="1" applyAlignment="1">
      <alignment horizontal="center" vertical="center" wrapText="1"/>
    </xf>
    <xf numFmtId="166" fontId="40" fillId="0" borderId="23" xfId="37" applyNumberFormat="1" applyFont="1" applyBorder="1" applyAlignment="1">
      <alignment horizontal="center" vertical="center" wrapText="1"/>
    </xf>
    <xf numFmtId="166" fontId="40" fillId="0" borderId="22" xfId="37" applyNumberFormat="1" applyFont="1" applyBorder="1" applyAlignment="1">
      <alignment horizontal="center" vertical="center" wrapText="1"/>
    </xf>
    <xf numFmtId="166" fontId="40" fillId="0" borderId="20" xfId="37" applyNumberFormat="1" applyFont="1" applyBorder="1" applyAlignment="1">
      <alignment horizontal="center" vertical="center" wrapText="1"/>
    </xf>
    <xf numFmtId="0" fontId="21" fillId="0" borderId="33" xfId="37" applyFont="1" applyBorder="1" applyAlignment="1">
      <alignment horizontal="center" vertical="center"/>
    </xf>
    <xf numFmtId="0" fontId="21" fillId="0" borderId="25" xfId="37" applyFont="1" applyBorder="1" applyAlignment="1">
      <alignment horizontal="center" vertical="center"/>
    </xf>
    <xf numFmtId="0" fontId="21" fillId="0" borderId="34" xfId="37" applyFont="1" applyBorder="1" applyAlignment="1">
      <alignment horizontal="center" vertical="center"/>
    </xf>
    <xf numFmtId="165" fontId="23" fillId="0" borderId="33" xfId="37" applyNumberFormat="1" applyFont="1" applyBorder="1" applyAlignment="1">
      <alignment horizontal="center" vertical="center"/>
    </xf>
    <xf numFmtId="165" fontId="23" fillId="0" borderId="34" xfId="37" applyNumberFormat="1" applyFont="1" applyBorder="1" applyAlignment="1">
      <alignment horizontal="center" vertical="center"/>
    </xf>
    <xf numFmtId="165" fontId="23" fillId="0" borderId="25" xfId="37" applyNumberFormat="1" applyFont="1" applyBorder="1" applyAlignment="1">
      <alignment horizontal="center" vertical="center"/>
    </xf>
    <xf numFmtId="0" fontId="28" fillId="0" borderId="22" xfId="37" applyFont="1" applyBorder="1" applyAlignment="1">
      <alignment horizontal="center" vertical="center"/>
    </xf>
    <xf numFmtId="0" fontId="28" fillId="0" borderId="20" xfId="37" applyFont="1" applyBorder="1" applyAlignment="1">
      <alignment horizontal="center" vertical="center"/>
    </xf>
    <xf numFmtId="0" fontId="2" fillId="0" borderId="23" xfId="37" applyBorder="1" applyAlignment="1">
      <alignment horizontal="left" vertical="top" wrapText="1"/>
    </xf>
    <xf numFmtId="0" fontId="2" fillId="0" borderId="22" xfId="37" applyBorder="1" applyAlignment="1">
      <alignment horizontal="left" vertical="top" wrapText="1"/>
    </xf>
    <xf numFmtId="0" fontId="2" fillId="0" borderId="20" xfId="37" applyBorder="1" applyAlignment="1">
      <alignment horizontal="left" vertical="top" wrapText="1"/>
    </xf>
    <xf numFmtId="0" fontId="30" fillId="0" borderId="23" xfId="37" applyFont="1" applyBorder="1" applyAlignment="1">
      <alignment horizontal="center" vertical="center" wrapText="1"/>
    </xf>
    <xf numFmtId="0" fontId="30" fillId="0" borderId="22" xfId="37" applyFont="1" applyBorder="1" applyAlignment="1">
      <alignment horizontal="center" vertical="center" wrapText="1"/>
    </xf>
    <xf numFmtId="0" fontId="2" fillId="0" borderId="21" xfId="37" applyBorder="1" applyAlignment="1">
      <alignment horizontal="left" vertical="top"/>
    </xf>
    <xf numFmtId="0" fontId="2" fillId="0" borderId="0" xfId="37" applyAlignment="1">
      <alignment horizontal="left" vertical="top"/>
    </xf>
    <xf numFmtId="0" fontId="2" fillId="0" borderId="10" xfId="37" applyBorder="1" applyAlignment="1">
      <alignment horizontal="left" vertical="top"/>
    </xf>
    <xf numFmtId="0" fontId="2" fillId="0" borderId="17" xfId="37" applyBorder="1" applyAlignment="1">
      <alignment horizontal="center" vertical="center"/>
    </xf>
    <xf numFmtId="0" fontId="2" fillId="0" borderId="18" xfId="37" applyBorder="1" applyAlignment="1">
      <alignment horizontal="center" vertical="center"/>
    </xf>
    <xf numFmtId="0" fontId="2" fillId="0" borderId="16" xfId="37" applyBorder="1" applyAlignment="1">
      <alignment horizontal="center" vertical="center"/>
    </xf>
    <xf numFmtId="0" fontId="2" fillId="0" borderId="21" xfId="37" applyBorder="1" applyAlignment="1">
      <alignment horizontal="center" vertical="center"/>
    </xf>
    <xf numFmtId="0" fontId="2" fillId="0" borderId="0" xfId="37" applyAlignment="1">
      <alignment horizontal="center" vertical="center"/>
    </xf>
    <xf numFmtId="0" fontId="2" fillId="0" borderId="23" xfId="37" applyBorder="1" applyAlignment="1">
      <alignment horizontal="center" vertical="center"/>
    </xf>
    <xf numFmtId="0" fontId="2" fillId="0" borderId="22" xfId="37" applyBorder="1" applyAlignment="1">
      <alignment horizontal="center" vertical="center"/>
    </xf>
    <xf numFmtId="0" fontId="2" fillId="0" borderId="20" xfId="37" applyBorder="1" applyAlignment="1">
      <alignment horizontal="center" vertical="center"/>
    </xf>
    <xf numFmtId="166" fontId="2" fillId="0" borderId="0" xfId="37" applyNumberFormat="1" applyAlignment="1">
      <alignment horizontal="right" vertical="center"/>
    </xf>
    <xf numFmtId="0" fontId="23" fillId="0" borderId="0" xfId="37" applyFont="1" applyAlignment="1">
      <alignment horizontal="right" vertical="center"/>
    </xf>
    <xf numFmtId="0" fontId="2" fillId="0" borderId="18" xfId="37" applyBorder="1"/>
    <xf numFmtId="0" fontId="2" fillId="0" borderId="16" xfId="37" applyBorder="1"/>
    <xf numFmtId="0" fontId="2" fillId="0" borderId="23" xfId="37" applyBorder="1"/>
    <xf numFmtId="0" fontId="2" fillId="0" borderId="22" xfId="37" applyBorder="1"/>
    <xf numFmtId="0" fontId="2" fillId="0" borderId="20" xfId="37" applyBorder="1"/>
    <xf numFmtId="166" fontId="2" fillId="0" borderId="33" xfId="37" applyNumberFormat="1" applyBorder="1" applyAlignment="1">
      <alignment horizontal="center" vertical="center"/>
    </xf>
    <xf numFmtId="0" fontId="2" fillId="0" borderId="34" xfId="37" applyBorder="1"/>
    <xf numFmtId="0" fontId="2" fillId="0" borderId="25" xfId="37" applyBorder="1"/>
    <xf numFmtId="166" fontId="2" fillId="0" borderId="33" xfId="37" applyNumberFormat="1" applyBorder="1" applyAlignment="1">
      <alignment horizontal="center" vertical="center" wrapText="1"/>
    </xf>
    <xf numFmtId="0" fontId="2" fillId="0" borderId="34" xfId="37" applyBorder="1" applyAlignment="1">
      <alignment wrapText="1"/>
    </xf>
    <xf numFmtId="0" fontId="2" fillId="0" borderId="25" xfId="37" applyBorder="1" applyAlignment="1">
      <alignment wrapText="1"/>
    </xf>
    <xf numFmtId="166" fontId="2" fillId="0" borderId="17" xfId="37" applyNumberFormat="1" applyBorder="1" applyAlignment="1">
      <alignment horizontal="left" vertical="center" wrapText="1"/>
    </xf>
    <xf numFmtId="166" fontId="2" fillId="0" borderId="18" xfId="37" applyNumberFormat="1" applyBorder="1" applyAlignment="1">
      <alignment horizontal="left" vertical="center" wrapText="1"/>
    </xf>
    <xf numFmtId="166" fontId="2" fillId="0" borderId="16" xfId="37" applyNumberFormat="1" applyBorder="1" applyAlignment="1">
      <alignment horizontal="left" vertical="center" wrapText="1"/>
    </xf>
    <xf numFmtId="166" fontId="23" fillId="0" borderId="15" xfId="37" applyNumberFormat="1" applyFont="1" applyBorder="1" applyAlignment="1">
      <alignment horizontal="center" vertical="center" textRotation="90"/>
    </xf>
    <xf numFmtId="166" fontId="23" fillId="0" borderId="12" xfId="37" applyNumberFormat="1" applyFont="1" applyBorder="1" applyAlignment="1">
      <alignment horizontal="center" vertical="center" textRotation="90"/>
    </xf>
    <xf numFmtId="0" fontId="81" fillId="0" borderId="17" xfId="0" applyFont="1" applyBorder="1" applyAlignment="1">
      <alignment horizontal="left" vertical="center" wrapText="1"/>
    </xf>
    <xf numFmtId="0" fontId="81" fillId="0" borderId="18" xfId="0" applyFont="1" applyBorder="1" applyAlignment="1">
      <alignment horizontal="left" vertical="center" wrapText="1"/>
    </xf>
    <xf numFmtId="0" fontId="81" fillId="0" borderId="16" xfId="0" applyFont="1" applyBorder="1" applyAlignment="1">
      <alignment horizontal="left" vertical="center" wrapText="1"/>
    </xf>
    <xf numFmtId="0" fontId="81" fillId="0" borderId="23" xfId="0" applyFont="1" applyBorder="1" applyAlignment="1">
      <alignment horizontal="left" vertical="center" wrapText="1"/>
    </xf>
    <xf numFmtId="0" fontId="81" fillId="0" borderId="22" xfId="0" applyFont="1" applyBorder="1" applyAlignment="1">
      <alignment horizontal="left" vertical="center" wrapText="1"/>
    </xf>
    <xf numFmtId="0" fontId="81" fillId="0" borderId="20" xfId="0" applyFont="1" applyBorder="1" applyAlignment="1">
      <alignment horizontal="left" vertical="center" wrapText="1"/>
    </xf>
    <xf numFmtId="165" fontId="52" fillId="26" borderId="15" xfId="0" applyNumberFormat="1" applyFont="1" applyFill="1" applyBorder="1" applyAlignment="1">
      <alignment horizontal="center" vertical="center"/>
    </xf>
    <xf numFmtId="165" fontId="52" fillId="26" borderId="19" xfId="0" applyNumberFormat="1" applyFont="1" applyFill="1" applyBorder="1" applyAlignment="1">
      <alignment horizontal="center" vertical="center"/>
    </xf>
    <xf numFmtId="0" fontId="2" fillId="0" borderId="17" xfId="0" applyFont="1" applyBorder="1" applyAlignment="1">
      <alignment horizontal="left" vertical="center" wrapText="1"/>
    </xf>
    <xf numFmtId="0" fontId="2" fillId="0" borderId="18" xfId="0" applyFont="1" applyBorder="1" applyAlignment="1">
      <alignment horizontal="left" vertical="center" wrapText="1"/>
    </xf>
    <xf numFmtId="0" fontId="2" fillId="0" borderId="16" xfId="0" applyFont="1" applyBorder="1" applyAlignment="1">
      <alignment horizontal="left" vertical="center" wrapText="1"/>
    </xf>
    <xf numFmtId="0" fontId="2" fillId="0" borderId="23" xfId="0" applyFont="1" applyBorder="1" applyAlignment="1">
      <alignment horizontal="left" vertical="center" wrapText="1"/>
    </xf>
    <xf numFmtId="0" fontId="2" fillId="0" borderId="22" xfId="0" applyFont="1" applyBorder="1" applyAlignment="1">
      <alignment horizontal="left" vertical="center" wrapText="1"/>
    </xf>
    <xf numFmtId="0" fontId="2" fillId="0" borderId="20" xfId="0" applyFont="1" applyBorder="1" applyAlignment="1">
      <alignment horizontal="left" vertical="center" wrapText="1"/>
    </xf>
    <xf numFmtId="0" fontId="21" fillId="0" borderId="0" xfId="0" applyFont="1" applyAlignment="1">
      <alignment horizontal="left" vertical="center" wrapText="1"/>
    </xf>
    <xf numFmtId="0" fontId="0" fillId="0" borderId="0" xfId="0" applyAlignment="1">
      <alignment horizontal="left" vertical="center" wrapText="1"/>
    </xf>
    <xf numFmtId="0" fontId="80" fillId="0" borderId="21" xfId="0" applyFont="1" applyBorder="1" applyAlignment="1">
      <alignment horizontal="right" vertical="top" wrapText="1"/>
    </xf>
    <xf numFmtId="0" fontId="80" fillId="0" borderId="0" xfId="0" applyFont="1" applyAlignment="1">
      <alignment horizontal="right" vertical="top" wrapText="1"/>
    </xf>
    <xf numFmtId="0" fontId="80" fillId="0" borderId="10" xfId="0" applyFont="1" applyBorder="1" applyAlignment="1">
      <alignment horizontal="right" vertical="top" wrapText="1"/>
    </xf>
    <xf numFmtId="0" fontId="80" fillId="0" borderId="23" xfId="0" applyFont="1" applyBorder="1" applyAlignment="1">
      <alignment horizontal="right" vertical="top" wrapText="1"/>
    </xf>
    <xf numFmtId="0" fontId="80" fillId="0" borderId="22" xfId="0" applyFont="1" applyBorder="1" applyAlignment="1">
      <alignment horizontal="right" vertical="top" wrapText="1"/>
    </xf>
    <xf numFmtId="0" fontId="80" fillId="0" borderId="20" xfId="0" applyFont="1" applyBorder="1" applyAlignment="1">
      <alignment horizontal="right" vertical="top" wrapText="1"/>
    </xf>
    <xf numFmtId="166" fontId="2" fillId="0" borderId="21" xfId="0" applyNumberFormat="1" applyFont="1" applyBorder="1" applyAlignment="1">
      <alignment horizontal="left" vertical="top" wrapText="1"/>
    </xf>
    <xf numFmtId="166" fontId="2" fillId="0" borderId="0" xfId="0" applyNumberFormat="1" applyFont="1" applyAlignment="1">
      <alignment horizontal="left" vertical="top" wrapText="1"/>
    </xf>
    <xf numFmtId="166" fontId="2" fillId="0" borderId="10" xfId="0" applyNumberFormat="1" applyFont="1" applyBorder="1" applyAlignment="1">
      <alignment horizontal="left" vertical="top" wrapText="1"/>
    </xf>
    <xf numFmtId="166" fontId="30" fillId="0" borderId="21" xfId="0" applyNumberFormat="1" applyFont="1" applyBorder="1" applyAlignment="1">
      <alignment horizontal="center" vertical="center" wrapText="1"/>
    </xf>
    <xf numFmtId="166" fontId="30" fillId="0" borderId="0" xfId="0" applyNumberFormat="1" applyFont="1" applyAlignment="1">
      <alignment horizontal="center" vertical="center" wrapText="1"/>
    </xf>
    <xf numFmtId="166" fontId="30" fillId="0" borderId="10" xfId="0" applyNumberFormat="1" applyFont="1" applyBorder="1" applyAlignment="1">
      <alignment horizontal="center" vertical="center" wrapText="1"/>
    </xf>
    <xf numFmtId="0" fontId="21" fillId="0" borderId="17" xfId="0" applyFont="1" applyBorder="1" applyAlignment="1">
      <alignment horizontal="center" vertical="center"/>
    </xf>
    <xf numFmtId="0" fontId="21" fillId="0" borderId="18" xfId="0" applyFont="1" applyBorder="1" applyAlignment="1">
      <alignment horizontal="center" vertical="center"/>
    </xf>
    <xf numFmtId="0" fontId="21" fillId="0" borderId="16" xfId="0" applyFont="1" applyBorder="1" applyAlignment="1">
      <alignment horizontal="center" vertical="center"/>
    </xf>
    <xf numFmtId="0" fontId="21" fillId="0" borderId="23" xfId="0" applyFont="1" applyBorder="1" applyAlignment="1">
      <alignment horizontal="center" vertical="center"/>
    </xf>
    <xf numFmtId="0" fontId="21" fillId="0" borderId="22" xfId="0" applyFont="1" applyBorder="1" applyAlignment="1">
      <alignment horizontal="center" vertical="center"/>
    </xf>
    <xf numFmtId="0" fontId="21" fillId="0" borderId="20" xfId="0" applyFont="1" applyBorder="1" applyAlignment="1">
      <alignment horizontal="center" vertical="center"/>
    </xf>
    <xf numFmtId="1" fontId="23" fillId="0" borderId="15" xfId="0" applyNumberFormat="1" applyFont="1" applyBorder="1" applyAlignment="1">
      <alignment horizontal="center" vertical="center"/>
    </xf>
    <xf numFmtId="1" fontId="23" fillId="0" borderId="19" xfId="0" applyNumberFormat="1" applyFont="1" applyBorder="1" applyAlignment="1">
      <alignment horizontal="center" vertical="center"/>
    </xf>
    <xf numFmtId="0" fontId="24" fillId="0" borderId="17" xfId="0" applyFont="1" applyBorder="1" applyAlignment="1">
      <alignment horizontal="left" vertical="center" wrapText="1"/>
    </xf>
    <xf numFmtId="0" fontId="24" fillId="0" borderId="18" xfId="0" applyFont="1" applyBorder="1" applyAlignment="1">
      <alignment horizontal="left" vertical="center" wrapText="1"/>
    </xf>
    <xf numFmtId="0" fontId="24" fillId="0" borderId="16" xfId="0" applyFont="1" applyBorder="1" applyAlignment="1">
      <alignment horizontal="left" vertical="center" wrapText="1"/>
    </xf>
    <xf numFmtId="0" fontId="24" fillId="0" borderId="23" xfId="0" applyFont="1" applyBorder="1" applyAlignment="1">
      <alignment horizontal="left" vertical="center" wrapText="1"/>
    </xf>
    <xf numFmtId="0" fontId="24" fillId="0" borderId="22" xfId="0" applyFont="1" applyBorder="1" applyAlignment="1">
      <alignment horizontal="left" vertical="center" wrapText="1"/>
    </xf>
    <xf numFmtId="0" fontId="24" fillId="0" borderId="20" xfId="0" applyFont="1" applyBorder="1" applyAlignment="1">
      <alignment horizontal="left" vertical="center" wrapText="1"/>
    </xf>
    <xf numFmtId="0" fontId="2" fillId="0" borderId="33" xfId="0" applyFont="1" applyBorder="1" applyAlignment="1">
      <alignment horizontal="left" vertical="center"/>
    </xf>
    <xf numFmtId="0" fontId="2" fillId="0" borderId="34" xfId="0" applyFont="1" applyBorder="1" applyAlignment="1">
      <alignment horizontal="left" vertical="center"/>
    </xf>
    <xf numFmtId="0" fontId="2" fillId="0" borderId="25" xfId="0" applyFont="1" applyBorder="1" applyAlignment="1">
      <alignment horizontal="left" vertical="center"/>
    </xf>
    <xf numFmtId="0" fontId="23" fillId="0" borderId="33" xfId="0" applyFont="1" applyBorder="1" applyAlignment="1">
      <alignment horizontal="left" vertical="center"/>
    </xf>
    <xf numFmtId="0" fontId="23" fillId="0" borderId="34" xfId="0" applyFont="1" applyBorder="1" applyAlignment="1">
      <alignment horizontal="left" vertical="center"/>
    </xf>
    <xf numFmtId="0" fontId="23" fillId="0" borderId="25" xfId="0" applyFont="1" applyBorder="1" applyAlignment="1">
      <alignment horizontal="left" vertical="center"/>
    </xf>
    <xf numFmtId="0" fontId="23" fillId="0" borderId="17" xfId="0" applyFont="1" applyBorder="1" applyAlignment="1">
      <alignment horizontal="left" vertical="center"/>
    </xf>
    <xf numFmtId="0" fontId="23" fillId="0" borderId="18" xfId="0" applyFont="1" applyBorder="1" applyAlignment="1">
      <alignment horizontal="left" vertical="center"/>
    </xf>
    <xf numFmtId="0" fontId="23" fillId="0" borderId="16" xfId="0" applyFont="1" applyBorder="1" applyAlignment="1">
      <alignment horizontal="left" vertical="center"/>
    </xf>
    <xf numFmtId="166" fontId="2" fillId="0" borderId="0" xfId="0" applyNumberFormat="1" applyFont="1" applyAlignment="1">
      <alignment horizontal="center" vertical="top"/>
    </xf>
    <xf numFmtId="0" fontId="23" fillId="0" borderId="33" xfId="0" applyFont="1" applyBorder="1" applyAlignment="1">
      <alignment horizontal="center" vertical="center"/>
    </xf>
    <xf numFmtId="0" fontId="23" fillId="0" borderId="34" xfId="0" applyFont="1" applyBorder="1" applyAlignment="1">
      <alignment horizontal="center" vertical="center"/>
    </xf>
    <xf numFmtId="0" fontId="23" fillId="0" borderId="25" xfId="0" applyFont="1" applyBorder="1" applyAlignment="1">
      <alignment horizontal="center" vertical="center"/>
    </xf>
    <xf numFmtId="166" fontId="23" fillId="0" borderId="24" xfId="0" applyNumberFormat="1" applyFont="1" applyBorder="1" applyAlignment="1">
      <alignment horizontal="center" vertical="center" textRotation="90"/>
    </xf>
    <xf numFmtId="166" fontId="23" fillId="0" borderId="15" xfId="0" applyNumberFormat="1" applyFont="1" applyBorder="1" applyAlignment="1">
      <alignment horizontal="center" vertical="center" textRotation="90"/>
    </xf>
    <xf numFmtId="0" fontId="2" fillId="0" borderId="24" xfId="0" applyFont="1" applyBorder="1" applyAlignment="1">
      <alignment horizontal="center" vertical="center"/>
    </xf>
    <xf numFmtId="0" fontId="2" fillId="0" borderId="15" xfId="0" applyFont="1" applyBorder="1" applyAlignment="1">
      <alignment horizontal="center" vertical="center"/>
    </xf>
    <xf numFmtId="166" fontId="2" fillId="0" borderId="0" xfId="0" applyNumberFormat="1" applyFont="1" applyAlignment="1">
      <alignment horizontal="right" vertical="top"/>
    </xf>
    <xf numFmtId="0" fontId="2" fillId="0" borderId="0" xfId="0" applyFont="1" applyAlignment="1">
      <alignment horizontal="right" vertical="top"/>
    </xf>
    <xf numFmtId="0" fontId="2" fillId="0" borderId="17" xfId="0" applyFont="1" applyBorder="1" applyAlignment="1">
      <alignment horizontal="center" vertical="center" wrapText="1"/>
    </xf>
    <xf numFmtId="0" fontId="2" fillId="0" borderId="18"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21" xfId="0" applyFont="1" applyBorder="1" applyAlignment="1">
      <alignment horizontal="center" vertical="center" wrapText="1"/>
    </xf>
    <xf numFmtId="0" fontId="2" fillId="0" borderId="0" xfId="0" applyFont="1" applyAlignment="1">
      <alignment horizontal="center" vertical="center" wrapText="1"/>
    </xf>
    <xf numFmtId="166" fontId="23" fillId="0" borderId="33" xfId="0" applyNumberFormat="1" applyFont="1" applyBorder="1" applyAlignment="1">
      <alignment horizontal="center" vertical="center"/>
    </xf>
    <xf numFmtId="166" fontId="23" fillId="0" borderId="34" xfId="0" applyNumberFormat="1" applyFont="1" applyBorder="1" applyAlignment="1">
      <alignment horizontal="center" vertical="center"/>
    </xf>
    <xf numFmtId="166" fontId="23" fillId="0" borderId="25" xfId="0" applyNumberFormat="1" applyFont="1" applyBorder="1" applyAlignment="1">
      <alignment horizontal="center" vertical="center"/>
    </xf>
    <xf numFmtId="0" fontId="2" fillId="0" borderId="0" xfId="0" applyFont="1" applyAlignment="1">
      <alignment horizontal="center" vertical="top"/>
    </xf>
    <xf numFmtId="166" fontId="23" fillId="0" borderId="24" xfId="0" applyNumberFormat="1" applyFont="1" applyBorder="1" applyAlignment="1">
      <alignment horizontal="center" vertical="center" textRotation="90" wrapText="1"/>
    </xf>
    <xf numFmtId="0" fontId="2" fillId="0" borderId="18" xfId="0" applyFont="1" applyBorder="1" applyAlignment="1">
      <alignment horizontal="left" vertical="center"/>
    </xf>
    <xf numFmtId="0" fontId="21" fillId="0" borderId="33" xfId="0" applyFont="1" applyBorder="1" applyAlignment="1">
      <alignment horizontal="center" vertical="center"/>
    </xf>
    <xf numFmtId="0" fontId="21" fillId="0" borderId="34" xfId="0" applyFont="1" applyBorder="1" applyAlignment="1">
      <alignment horizontal="center" vertical="center"/>
    </xf>
    <xf numFmtId="0" fontId="21" fillId="0" borderId="25" xfId="0" applyFont="1" applyBorder="1" applyAlignment="1">
      <alignment horizontal="center" vertical="center"/>
    </xf>
    <xf numFmtId="0" fontId="2" fillId="0" borderId="0" xfId="0" applyFont="1" applyAlignment="1">
      <alignment horizontal="left" vertical="center" wrapText="1"/>
    </xf>
    <xf numFmtId="0" fontId="2" fillId="0" borderId="23" xfId="0" applyFont="1" applyBorder="1"/>
    <xf numFmtId="0" fontId="2" fillId="0" borderId="22" xfId="0" applyFont="1" applyBorder="1"/>
    <xf numFmtId="0" fontId="2" fillId="0" borderId="20" xfId="0" applyFont="1" applyBorder="1"/>
    <xf numFmtId="0" fontId="24" fillId="0" borderId="33" xfId="0" applyFont="1" applyBorder="1" applyAlignment="1">
      <alignment horizontal="center" vertical="top" wrapText="1"/>
    </xf>
    <xf numFmtId="0" fontId="24" fillId="0" borderId="34" xfId="0" applyFont="1" applyBorder="1" applyAlignment="1">
      <alignment horizontal="center" vertical="top" wrapText="1"/>
    </xf>
    <xf numFmtId="0" fontId="24" fillId="0" borderId="25" xfId="0" applyFont="1" applyBorder="1" applyAlignment="1">
      <alignment horizontal="center" vertical="top" wrapText="1"/>
    </xf>
    <xf numFmtId="0" fontId="2" fillId="0" borderId="23" xfId="0" applyFont="1" applyBorder="1" applyAlignment="1">
      <alignment horizontal="center" vertical="center" wrapText="1"/>
    </xf>
    <xf numFmtId="0" fontId="2" fillId="0" borderId="22" xfId="0" applyFont="1" applyBorder="1" applyAlignment="1">
      <alignment horizontal="center" vertical="center" wrapText="1"/>
    </xf>
    <xf numFmtId="0" fontId="2" fillId="0" borderId="20" xfId="0" applyFont="1" applyBorder="1" applyAlignment="1">
      <alignment horizontal="center" vertical="center" wrapText="1"/>
    </xf>
    <xf numFmtId="0" fontId="30" fillId="0" borderId="23" xfId="0" applyFont="1" applyBorder="1" applyAlignment="1">
      <alignment horizontal="center" vertical="center"/>
    </xf>
    <xf numFmtId="0" fontId="30" fillId="0" borderId="22" xfId="0" applyFont="1" applyBorder="1" applyAlignment="1">
      <alignment horizontal="center" vertical="center"/>
    </xf>
    <xf numFmtId="0" fontId="30" fillId="0" borderId="20" xfId="0" applyFont="1" applyBorder="1" applyAlignment="1">
      <alignment horizontal="center" vertical="center"/>
    </xf>
    <xf numFmtId="0" fontId="2" fillId="0" borderId="33" xfId="0" applyFont="1" applyBorder="1" applyAlignment="1">
      <alignment horizontal="center" vertical="center"/>
    </xf>
    <xf numFmtId="0" fontId="2" fillId="0" borderId="34" xfId="0" applyFont="1" applyBorder="1" applyAlignment="1">
      <alignment horizontal="center" vertical="center"/>
    </xf>
    <xf numFmtId="0" fontId="2" fillId="0" borderId="25" xfId="0" applyFont="1" applyBorder="1" applyAlignment="1">
      <alignment horizontal="center" vertical="center"/>
    </xf>
    <xf numFmtId="166" fontId="2" fillId="0" borderId="17" xfId="40" applyNumberFormat="1" applyFont="1" applyBorder="1" applyAlignment="1">
      <alignment horizontal="left" vertical="top" wrapText="1"/>
    </xf>
    <xf numFmtId="166" fontId="2" fillId="0" borderId="23" xfId="40" applyNumberFormat="1" applyFont="1" applyBorder="1" applyAlignment="1">
      <alignment horizontal="left" vertical="top" wrapText="1"/>
    </xf>
    <xf numFmtId="0" fontId="2" fillId="0" borderId="18" xfId="0" applyFont="1" applyBorder="1" applyAlignment="1">
      <alignment horizontal="left" vertical="top" wrapText="1"/>
    </xf>
    <xf numFmtId="0" fontId="2" fillId="0" borderId="60" xfId="0" applyFont="1" applyBorder="1" applyAlignment="1">
      <alignment horizontal="left" vertical="top" wrapText="1"/>
    </xf>
    <xf numFmtId="166" fontId="30" fillId="28" borderId="33" xfId="40" applyNumberFormat="1" applyFont="1" applyFill="1" applyBorder="1" applyAlignment="1">
      <alignment horizontal="left" vertical="center"/>
    </xf>
    <xf numFmtId="166" fontId="30" fillId="28" borderId="34" xfId="40" applyNumberFormat="1" applyFont="1" applyFill="1" applyBorder="1" applyAlignment="1">
      <alignment horizontal="left" vertical="center"/>
    </xf>
    <xf numFmtId="166" fontId="30" fillId="28" borderId="56" xfId="40" applyNumberFormat="1" applyFont="1" applyFill="1" applyBorder="1" applyAlignment="1">
      <alignment horizontal="left" vertical="center"/>
    </xf>
    <xf numFmtId="0" fontId="21" fillId="0" borderId="33" xfId="40" applyFont="1" applyBorder="1" applyAlignment="1">
      <alignment horizontal="center" vertical="center"/>
    </xf>
    <xf numFmtId="0" fontId="21" fillId="0" borderId="25" xfId="40" applyFont="1" applyBorder="1" applyAlignment="1">
      <alignment horizontal="center" vertical="center"/>
    </xf>
    <xf numFmtId="0" fontId="21" fillId="0" borderId="56" xfId="40" applyFont="1" applyBorder="1" applyAlignment="1">
      <alignment horizontal="center" vertical="center"/>
    </xf>
    <xf numFmtId="0" fontId="2" fillId="0" borderId="33" xfId="40" applyFont="1" applyBorder="1" applyAlignment="1">
      <alignment horizontal="center" vertical="center"/>
    </xf>
    <xf numFmtId="0" fontId="2" fillId="0" borderId="25" xfId="40" applyFont="1" applyBorder="1" applyAlignment="1">
      <alignment horizontal="center" vertical="center"/>
    </xf>
    <xf numFmtId="0" fontId="21" fillId="0" borderId="58" xfId="40" applyFont="1" applyBorder="1" applyAlignment="1">
      <alignment horizontal="center" vertical="center"/>
    </xf>
    <xf numFmtId="0" fontId="21" fillId="0" borderId="34" xfId="40" applyFont="1" applyBorder="1" applyAlignment="1">
      <alignment horizontal="center" vertical="center"/>
    </xf>
    <xf numFmtId="0" fontId="21" fillId="0" borderId="59" xfId="40" applyFont="1" applyBorder="1" applyAlignment="1">
      <alignment horizontal="center" vertical="center"/>
    </xf>
    <xf numFmtId="0" fontId="21" fillId="0" borderId="18" xfId="40" applyFont="1" applyBorder="1" applyAlignment="1">
      <alignment horizontal="center" vertical="center"/>
    </xf>
    <xf numFmtId="0" fontId="21" fillId="0" borderId="60" xfId="40" applyFont="1" applyBorder="1" applyAlignment="1">
      <alignment horizontal="center" vertical="center"/>
    </xf>
    <xf numFmtId="0" fontId="2" fillId="0" borderId="58" xfId="40" applyFont="1" applyBorder="1" applyAlignment="1">
      <alignment horizontal="center" vertical="center"/>
    </xf>
    <xf numFmtId="0" fontId="2" fillId="0" borderId="57" xfId="40" applyFont="1" applyBorder="1" applyAlignment="1">
      <alignment horizontal="center" vertical="center"/>
    </xf>
    <xf numFmtId="0" fontId="21" fillId="0" borderId="18" xfId="40" applyFont="1" applyBorder="1" applyAlignment="1">
      <alignment vertical="center"/>
    </xf>
    <xf numFmtId="0" fontId="21" fillId="0" borderId="60" xfId="40" applyFont="1" applyBorder="1" applyAlignment="1">
      <alignment vertical="center"/>
    </xf>
    <xf numFmtId="0" fontId="2" fillId="0" borderId="18" xfId="40" applyFont="1" applyBorder="1" applyAlignment="1">
      <alignment horizontal="left" vertical="top" wrapText="1"/>
    </xf>
    <xf numFmtId="0" fontId="2" fillId="0" borderId="60" xfId="40" applyFont="1" applyBorder="1" applyAlignment="1">
      <alignment horizontal="left" vertical="top" wrapText="1"/>
    </xf>
    <xf numFmtId="0" fontId="2" fillId="0" borderId="22" xfId="40" applyFont="1" applyBorder="1" applyAlignment="1">
      <alignment horizontal="left" vertical="top" wrapText="1"/>
    </xf>
    <xf numFmtId="0" fontId="2" fillId="0" borderId="54" xfId="40" applyFont="1" applyBorder="1" applyAlignment="1">
      <alignment horizontal="left" vertical="top" wrapText="1"/>
    </xf>
    <xf numFmtId="0" fontId="21" fillId="0" borderId="53" xfId="40" applyFont="1" applyBorder="1" applyAlignment="1">
      <alignment horizontal="center" vertical="center"/>
    </xf>
    <xf numFmtId="0" fontId="2" fillId="0" borderId="22" xfId="0" applyFont="1" applyBorder="1" applyAlignment="1">
      <alignment horizontal="center" vertical="center"/>
    </xf>
    <xf numFmtId="0" fontId="2" fillId="0" borderId="34" xfId="40" applyFont="1" applyBorder="1" applyAlignment="1">
      <alignment horizontal="center" vertical="center"/>
    </xf>
    <xf numFmtId="0" fontId="2" fillId="0" borderId="67" xfId="0" applyFont="1" applyBorder="1" applyAlignment="1">
      <alignment horizontal="center" vertical="center"/>
    </xf>
    <xf numFmtId="0" fontId="2" fillId="0" borderId="56" xfId="0" applyFont="1" applyBorder="1" applyAlignment="1">
      <alignment horizontal="center" vertical="center"/>
    </xf>
    <xf numFmtId="0" fontId="80" fillId="0" borderId="78" xfId="40" applyFont="1" applyBorder="1" applyAlignment="1">
      <alignment horizontal="center" vertical="center" wrapText="1"/>
    </xf>
    <xf numFmtId="0" fontId="80" fillId="0" borderId="79" xfId="40" applyFont="1" applyBorder="1" applyAlignment="1">
      <alignment horizontal="center" vertical="center" wrapText="1"/>
    </xf>
    <xf numFmtId="166" fontId="2" fillId="0" borderId="0" xfId="40" applyNumberFormat="1" applyFont="1" applyAlignment="1">
      <alignment horizontal="left" vertical="center"/>
    </xf>
    <xf numFmtId="0" fontId="25" fillId="0" borderId="59" xfId="40" applyFont="1" applyBorder="1" applyAlignment="1">
      <alignment horizontal="center" vertical="center"/>
    </xf>
    <xf numFmtId="0" fontId="25" fillId="0" borderId="18" xfId="40" applyFont="1" applyBorder="1" applyAlignment="1">
      <alignment horizontal="center" vertical="center"/>
    </xf>
    <xf numFmtId="0" fontId="25" fillId="0" borderId="60" xfId="40" applyFont="1" applyBorder="1" applyAlignment="1">
      <alignment horizontal="center" vertical="center"/>
    </xf>
    <xf numFmtId="0" fontId="0" fillId="0" borderId="0" xfId="37" applyFont="1" applyAlignment="1">
      <alignment horizontal="left" vertical="top" wrapText="1"/>
    </xf>
    <xf numFmtId="0" fontId="2" fillId="26" borderId="34" xfId="37" applyFill="1" applyBorder="1" applyAlignment="1">
      <alignment horizontal="center" vertical="center"/>
    </xf>
    <xf numFmtId="0" fontId="23" fillId="26" borderId="33" xfId="37" applyFont="1" applyFill="1" applyBorder="1" applyAlignment="1">
      <alignment horizontal="center" vertical="center"/>
    </xf>
    <xf numFmtId="0" fontId="23" fillId="26" borderId="34" xfId="37" applyFont="1" applyFill="1" applyBorder="1" applyAlignment="1">
      <alignment horizontal="center" vertical="center"/>
    </xf>
    <xf numFmtId="0" fontId="23" fillId="26" borderId="25" xfId="37" applyFont="1" applyFill="1" applyBorder="1" applyAlignment="1">
      <alignment horizontal="center" vertical="center"/>
    </xf>
    <xf numFmtId="0" fontId="2" fillId="28" borderId="0" xfId="37" applyFill="1" applyAlignment="1">
      <alignment horizontal="center"/>
    </xf>
    <xf numFmtId="0" fontId="2" fillId="28" borderId="0" xfId="37" applyFill="1" applyAlignment="1">
      <alignment horizontal="left" wrapText="1" indent="2"/>
    </xf>
    <xf numFmtId="0" fontId="2" fillId="28" borderId="0" xfId="37" applyFill="1" applyAlignment="1">
      <alignment horizontal="center" vertical="top"/>
    </xf>
    <xf numFmtId="0" fontId="2" fillId="28" borderId="0" xfId="37" applyFill="1" applyAlignment="1">
      <alignment horizontal="left" wrapText="1"/>
    </xf>
    <xf numFmtId="0" fontId="2" fillId="26" borderId="0" xfId="47" applyFill="1" applyAlignment="1">
      <alignment horizontal="left" wrapText="1"/>
    </xf>
    <xf numFmtId="0" fontId="2" fillId="26" borderId="0" xfId="47" applyFill="1" applyAlignment="1">
      <alignment horizontal="center" vertical="top"/>
    </xf>
    <xf numFmtId="0" fontId="74" fillId="29" borderId="81" xfId="47" applyFont="1" applyFill="1" applyBorder="1" applyAlignment="1">
      <alignment horizontal="center" vertical="center"/>
    </xf>
    <xf numFmtId="0" fontId="74" fillId="29" borderId="104" xfId="47" applyFont="1" applyFill="1" applyBorder="1" applyAlignment="1">
      <alignment horizontal="center" vertical="center"/>
    </xf>
    <xf numFmtId="166" fontId="25" fillId="28" borderId="23" xfId="47" applyNumberFormat="1" applyFont="1" applyFill="1" applyBorder="1" applyAlignment="1">
      <alignment horizontal="left" vertical="center"/>
    </xf>
    <xf numFmtId="166" fontId="25" fillId="28" borderId="22" xfId="47" applyNumberFormat="1" applyFont="1" applyFill="1" applyBorder="1" applyAlignment="1">
      <alignment horizontal="left" vertical="center"/>
    </xf>
    <xf numFmtId="166" fontId="25" fillId="28" borderId="20" xfId="47" applyNumberFormat="1" applyFont="1" applyFill="1" applyBorder="1" applyAlignment="1">
      <alignment horizontal="left" vertical="center"/>
    </xf>
    <xf numFmtId="166" fontId="2" fillId="26" borderId="12" xfId="47" applyNumberFormat="1" applyFill="1" applyBorder="1" applyAlignment="1">
      <alignment horizontal="left" vertical="top"/>
    </xf>
    <xf numFmtId="166" fontId="2" fillId="26" borderId="19" xfId="47" applyNumberFormat="1" applyFill="1" applyBorder="1" applyAlignment="1">
      <alignment horizontal="left" vertical="top"/>
    </xf>
    <xf numFmtId="0" fontId="32" fillId="26" borderId="21" xfId="47" applyFont="1" applyFill="1" applyBorder="1" applyAlignment="1">
      <alignment horizontal="left" vertical="top" wrapText="1"/>
    </xf>
    <xf numFmtId="0" fontId="32" fillId="26" borderId="0" xfId="47" applyFont="1" applyFill="1" applyAlignment="1">
      <alignment horizontal="left" vertical="top" wrapText="1"/>
    </xf>
    <xf numFmtId="0" fontId="32" fillId="26" borderId="10" xfId="47" applyFont="1" applyFill="1" applyBorder="1" applyAlignment="1">
      <alignment horizontal="left" vertical="top" wrapText="1"/>
    </xf>
    <xf numFmtId="0" fontId="32" fillId="26" borderId="23" xfId="47" applyFont="1" applyFill="1" applyBorder="1" applyAlignment="1">
      <alignment horizontal="left" vertical="top" wrapText="1"/>
    </xf>
    <xf numFmtId="0" fontId="32" fillId="26" borderId="22" xfId="47" applyFont="1" applyFill="1" applyBorder="1" applyAlignment="1">
      <alignment horizontal="left" vertical="top" wrapText="1"/>
    </xf>
    <xf numFmtId="0" fontId="32" fillId="26" borderId="20" xfId="47" applyFont="1" applyFill="1" applyBorder="1" applyAlignment="1">
      <alignment horizontal="left" vertical="top" wrapText="1"/>
    </xf>
    <xf numFmtId="166" fontId="2" fillId="26" borderId="15" xfId="47" applyNumberFormat="1" applyFill="1" applyBorder="1" applyAlignment="1">
      <alignment horizontal="left" vertical="top"/>
    </xf>
    <xf numFmtId="0" fontId="2" fillId="26" borderId="18" xfId="47" applyFill="1" applyBorder="1" applyAlignment="1">
      <alignment horizontal="left" vertical="top" wrapText="1"/>
    </xf>
    <xf numFmtId="0" fontId="2" fillId="26" borderId="23" xfId="47" applyFill="1" applyBorder="1" applyAlignment="1">
      <alignment horizontal="left" vertical="top" wrapText="1"/>
    </xf>
    <xf numFmtId="0" fontId="2" fillId="26" borderId="22" xfId="47" applyFill="1" applyBorder="1" applyAlignment="1">
      <alignment horizontal="left" vertical="top" wrapText="1"/>
    </xf>
    <xf numFmtId="0" fontId="2" fillId="26" borderId="20" xfId="47" applyFill="1" applyBorder="1" applyAlignment="1">
      <alignment horizontal="left" vertical="top" wrapText="1"/>
    </xf>
    <xf numFmtId="166" fontId="51" fillId="26" borderId="84" xfId="47" applyNumberFormat="1" applyFont="1" applyFill="1" applyBorder="1" applyAlignment="1">
      <alignment horizontal="left" vertical="top"/>
    </xf>
    <xf numFmtId="166" fontId="51" fillId="26" borderId="89" xfId="47" applyNumberFormat="1" applyFont="1" applyFill="1" applyBorder="1" applyAlignment="1">
      <alignment horizontal="left" vertical="top"/>
    </xf>
    <xf numFmtId="166" fontId="51" fillId="26" borderId="97" xfId="47" applyNumberFormat="1" applyFont="1" applyFill="1" applyBorder="1" applyAlignment="1">
      <alignment horizontal="left" vertical="top"/>
    </xf>
    <xf numFmtId="0" fontId="51" fillId="26" borderId="85" xfId="47" applyFont="1" applyFill="1" applyBorder="1" applyAlignment="1">
      <alignment horizontal="left" vertical="top" wrapText="1"/>
    </xf>
    <xf numFmtId="0" fontId="51" fillId="26" borderId="86" xfId="47" applyFont="1" applyFill="1" applyBorder="1" applyAlignment="1">
      <alignment horizontal="left" vertical="top" wrapText="1"/>
    </xf>
    <xf numFmtId="0" fontId="51" fillId="26" borderId="87" xfId="47" applyFont="1" applyFill="1" applyBorder="1" applyAlignment="1">
      <alignment horizontal="left" vertical="top" wrapText="1"/>
    </xf>
    <xf numFmtId="0" fontId="51" fillId="26" borderId="90" xfId="47" applyFont="1" applyFill="1" applyBorder="1" applyAlignment="1">
      <alignment horizontal="left" vertical="top" wrapText="1"/>
    </xf>
    <xf numFmtId="0" fontId="51" fillId="26" borderId="0" xfId="47" applyFont="1" applyFill="1" applyAlignment="1">
      <alignment horizontal="left" vertical="top" wrapText="1"/>
    </xf>
    <xf numFmtId="0" fontId="51" fillId="26" borderId="91" xfId="47" applyFont="1" applyFill="1" applyBorder="1" applyAlignment="1">
      <alignment horizontal="left" vertical="top" wrapText="1"/>
    </xf>
    <xf numFmtId="0" fontId="51" fillId="26" borderId="96" xfId="47" applyFont="1" applyFill="1" applyBorder="1" applyAlignment="1">
      <alignment horizontal="left" vertical="top" wrapText="1"/>
    </xf>
    <xf numFmtId="0" fontId="51" fillId="26" borderId="22" xfId="47" applyFont="1" applyFill="1" applyBorder="1" applyAlignment="1">
      <alignment horizontal="left" vertical="top" wrapText="1"/>
    </xf>
    <xf numFmtId="0" fontId="51" fillId="26" borderId="98" xfId="47" applyFont="1" applyFill="1" applyBorder="1" applyAlignment="1">
      <alignment horizontal="left" vertical="top" wrapText="1"/>
    </xf>
    <xf numFmtId="0" fontId="51" fillId="26" borderId="0" xfId="47" applyFont="1" applyFill="1" applyAlignment="1">
      <alignment horizontal="right" vertical="center"/>
    </xf>
    <xf numFmtId="0" fontId="51" fillId="26" borderId="10" xfId="47" applyFont="1" applyFill="1" applyBorder="1" applyAlignment="1">
      <alignment horizontal="right" vertical="center"/>
    </xf>
    <xf numFmtId="0" fontId="51" fillId="0" borderId="85" xfId="47" applyFont="1" applyBorder="1" applyAlignment="1">
      <alignment horizontal="left" vertical="top" wrapText="1"/>
    </xf>
    <xf numFmtId="0" fontId="51" fillId="0" borderId="86" xfId="47" applyFont="1" applyBorder="1" applyAlignment="1">
      <alignment horizontal="left" vertical="top" wrapText="1"/>
    </xf>
    <xf numFmtId="0" fontId="51" fillId="0" borderId="87" xfId="47" applyFont="1" applyBorder="1" applyAlignment="1">
      <alignment horizontal="left" vertical="top" wrapText="1"/>
    </xf>
    <xf numFmtId="0" fontId="51" fillId="0" borderId="90" xfId="47" applyFont="1" applyBorder="1" applyAlignment="1">
      <alignment horizontal="left" vertical="top" wrapText="1"/>
    </xf>
    <xf numFmtId="0" fontId="51" fillId="0" borderId="0" xfId="47" applyFont="1" applyAlignment="1">
      <alignment horizontal="left" vertical="top" wrapText="1"/>
    </xf>
    <xf numFmtId="0" fontId="51" fillId="0" borderId="91" xfId="47" applyFont="1" applyBorder="1" applyAlignment="1">
      <alignment horizontal="left" vertical="top" wrapText="1"/>
    </xf>
    <xf numFmtId="0" fontId="51" fillId="0" borderId="96" xfId="47" applyFont="1" applyBorder="1" applyAlignment="1">
      <alignment horizontal="left" vertical="top" wrapText="1"/>
    </xf>
    <xf numFmtId="0" fontId="51" fillId="0" borderId="22" xfId="47" applyFont="1" applyBorder="1" applyAlignment="1">
      <alignment horizontal="left" vertical="top" wrapText="1"/>
    </xf>
    <xf numFmtId="0" fontId="51" fillId="0" borderId="98" xfId="47" applyFont="1" applyBorder="1" applyAlignment="1">
      <alignment horizontal="left" vertical="top" wrapText="1"/>
    </xf>
    <xf numFmtId="0" fontId="74" fillId="29" borderId="83" xfId="47" applyFont="1" applyFill="1" applyBorder="1" applyAlignment="1">
      <alignment horizontal="center" vertical="center"/>
    </xf>
    <xf numFmtId="0" fontId="74" fillId="29" borderId="82" xfId="47" applyFont="1" applyFill="1" applyBorder="1" applyAlignment="1">
      <alignment horizontal="center" vertical="center"/>
    </xf>
    <xf numFmtId="0" fontId="25" fillId="26" borderId="152" xfId="47" applyFont="1" applyFill="1" applyBorder="1" applyAlignment="1">
      <alignment horizontal="left" vertical="center"/>
    </xf>
    <xf numFmtId="0" fontId="25" fillId="26" borderId="94" xfId="47" applyFont="1" applyFill="1" applyBorder="1" applyAlignment="1">
      <alignment horizontal="left" vertical="center"/>
    </xf>
    <xf numFmtId="0" fontId="25" fillId="26" borderId="102" xfId="47" applyFont="1" applyFill="1" applyBorder="1" applyAlignment="1">
      <alignment horizontal="left" vertical="center"/>
    </xf>
    <xf numFmtId="166" fontId="2" fillId="26" borderId="84" xfId="47" applyNumberFormat="1" applyFill="1" applyBorder="1" applyAlignment="1">
      <alignment horizontal="left" vertical="top"/>
    </xf>
    <xf numFmtId="166" fontId="2" fillId="26" borderId="89" xfId="47" applyNumberFormat="1" applyFill="1" applyBorder="1" applyAlignment="1">
      <alignment horizontal="left" vertical="top"/>
    </xf>
    <xf numFmtId="166" fontId="2" fillId="26" borderId="92" xfId="47" applyNumberFormat="1" applyFill="1" applyBorder="1" applyAlignment="1">
      <alignment horizontal="left" vertical="top"/>
    </xf>
    <xf numFmtId="0" fontId="2" fillId="0" borderId="85" xfId="37" applyBorder="1" applyAlignment="1">
      <alignment horizontal="left" vertical="top" wrapText="1"/>
    </xf>
    <xf numFmtId="0" fontId="2" fillId="0" borderId="86" xfId="37" applyBorder="1" applyAlignment="1">
      <alignment horizontal="left" vertical="top" wrapText="1"/>
    </xf>
    <xf numFmtId="0" fontId="2" fillId="0" borderId="87" xfId="37" applyBorder="1" applyAlignment="1">
      <alignment horizontal="left" vertical="top" wrapText="1"/>
    </xf>
    <xf numFmtId="0" fontId="2" fillId="0" borderId="90" xfId="37" applyBorder="1" applyAlignment="1">
      <alignment horizontal="left" vertical="top" wrapText="1"/>
    </xf>
    <xf numFmtId="0" fontId="2" fillId="0" borderId="91" xfId="37" applyBorder="1" applyAlignment="1">
      <alignment horizontal="left" vertical="top" wrapText="1"/>
    </xf>
    <xf numFmtId="0" fontId="2" fillId="0" borderId="96" xfId="37" applyBorder="1" applyAlignment="1">
      <alignment horizontal="left" vertical="top" wrapText="1"/>
    </xf>
    <xf numFmtId="0" fontId="2" fillId="0" borderId="98" xfId="37" applyBorder="1" applyAlignment="1">
      <alignment horizontal="left" vertical="top" wrapText="1"/>
    </xf>
    <xf numFmtId="166" fontId="25" fillId="26" borderId="50" xfId="47" applyNumberFormat="1" applyFont="1" applyFill="1" applyBorder="1" applyAlignment="1">
      <alignment horizontal="left" vertical="center"/>
    </xf>
    <xf numFmtId="166" fontId="25" fillId="26" borderId="51" xfId="47" applyNumberFormat="1" applyFont="1" applyFill="1" applyBorder="1" applyAlignment="1">
      <alignment horizontal="left" vertical="center"/>
    </xf>
    <xf numFmtId="166" fontId="25" fillId="26" borderId="48" xfId="47" applyNumberFormat="1" applyFont="1" applyFill="1" applyBorder="1" applyAlignment="1">
      <alignment horizontal="left" vertical="center"/>
    </xf>
    <xf numFmtId="166" fontId="2" fillId="28" borderId="84" xfId="47" applyNumberFormat="1" applyFill="1" applyBorder="1" applyAlignment="1">
      <alignment horizontal="left" vertical="top"/>
    </xf>
    <xf numFmtId="166" fontId="2" fillId="28" borderId="89" xfId="47" applyNumberFormat="1" applyFill="1" applyBorder="1" applyAlignment="1">
      <alignment horizontal="left" vertical="top"/>
    </xf>
    <xf numFmtId="166" fontId="2" fillId="28" borderId="92" xfId="47" applyNumberFormat="1" applyFill="1" applyBorder="1" applyAlignment="1">
      <alignment horizontal="left" vertical="top"/>
    </xf>
    <xf numFmtId="0" fontId="62" fillId="28" borderId="85" xfId="47" applyFont="1" applyFill="1" applyBorder="1" applyAlignment="1">
      <alignment horizontal="left" vertical="top" wrapText="1"/>
    </xf>
    <xf numFmtId="0" fontId="24" fillId="28" borderId="86" xfId="47" applyFont="1" applyFill="1" applyBorder="1" applyAlignment="1">
      <alignment horizontal="left" vertical="top" wrapText="1"/>
    </xf>
    <xf numFmtId="0" fontId="24" fillId="28" borderId="87" xfId="47" applyFont="1" applyFill="1" applyBorder="1" applyAlignment="1">
      <alignment horizontal="left" vertical="top" wrapText="1"/>
    </xf>
    <xf numFmtId="0" fontId="24" fillId="28" borderId="90" xfId="47" applyFont="1" applyFill="1" applyBorder="1" applyAlignment="1">
      <alignment horizontal="left" vertical="top" wrapText="1"/>
    </xf>
    <xf numFmtId="0" fontId="24" fillId="28" borderId="0" xfId="47" applyFont="1" applyFill="1" applyAlignment="1">
      <alignment horizontal="left" vertical="top" wrapText="1"/>
    </xf>
    <xf numFmtId="0" fontId="24" fillId="28" borderId="91" xfId="47" applyFont="1" applyFill="1" applyBorder="1" applyAlignment="1">
      <alignment horizontal="left" vertical="top" wrapText="1"/>
    </xf>
    <xf numFmtId="0" fontId="24" fillId="28" borderId="93" xfId="47" applyFont="1" applyFill="1" applyBorder="1" applyAlignment="1">
      <alignment horizontal="left" vertical="top" wrapText="1"/>
    </xf>
    <xf numFmtId="0" fontId="24" fillId="28" borderId="94" xfId="47" applyFont="1" applyFill="1" applyBorder="1" applyAlignment="1">
      <alignment horizontal="left" vertical="top" wrapText="1"/>
    </xf>
    <xf numFmtId="0" fontId="24" fillId="28" borderId="95" xfId="47" applyFont="1" applyFill="1" applyBorder="1" applyAlignment="1">
      <alignment horizontal="left" vertical="top" wrapText="1"/>
    </xf>
    <xf numFmtId="49" fontId="2" fillId="33" borderId="0" xfId="47" applyNumberFormat="1" applyFill="1" applyAlignment="1">
      <alignment horizontal="left"/>
    </xf>
    <xf numFmtId="49" fontId="2" fillId="33" borderId="10" xfId="47" applyNumberFormat="1" applyFill="1" applyBorder="1" applyAlignment="1">
      <alignment horizontal="left"/>
    </xf>
    <xf numFmtId="166" fontId="2" fillId="26" borderId="99" xfId="47" applyNumberFormat="1" applyFill="1" applyBorder="1" applyAlignment="1">
      <alignment horizontal="left" vertical="top"/>
    </xf>
    <xf numFmtId="0" fontId="2" fillId="26" borderId="100" xfId="47" applyFill="1" applyBorder="1" applyAlignment="1">
      <alignment horizontal="left" vertical="top" wrapText="1"/>
    </xf>
    <xf numFmtId="0" fontId="2" fillId="26" borderId="101" xfId="47" applyFill="1" applyBorder="1" applyAlignment="1">
      <alignment horizontal="left" vertical="top" wrapText="1"/>
    </xf>
    <xf numFmtId="0" fontId="2" fillId="26" borderId="90" xfId="47" applyFill="1" applyBorder="1" applyAlignment="1">
      <alignment horizontal="left" vertical="top" wrapText="1"/>
    </xf>
    <xf numFmtId="0" fontId="2" fillId="26" borderId="91" xfId="47" applyFill="1" applyBorder="1" applyAlignment="1">
      <alignment horizontal="left" vertical="top" wrapText="1"/>
    </xf>
    <xf numFmtId="0" fontId="2" fillId="26" borderId="96" xfId="47" applyFill="1" applyBorder="1" applyAlignment="1">
      <alignment horizontal="left" vertical="top" wrapText="1"/>
    </xf>
    <xf numFmtId="0" fontId="2" fillId="26" borderId="98" xfId="47" applyFill="1" applyBorder="1" applyAlignment="1">
      <alignment horizontal="left" vertical="top" wrapText="1"/>
    </xf>
    <xf numFmtId="166" fontId="2" fillId="26" borderId="97" xfId="47" applyNumberFormat="1" applyFill="1" applyBorder="1" applyAlignment="1">
      <alignment horizontal="left" vertical="top"/>
    </xf>
    <xf numFmtId="0" fontId="2" fillId="26" borderId="85" xfId="47" applyFill="1" applyBorder="1" applyAlignment="1">
      <alignment horizontal="left" vertical="top" wrapText="1"/>
    </xf>
    <xf numFmtId="0" fontId="2" fillId="26" borderId="86" xfId="47" applyFill="1" applyBorder="1" applyAlignment="1">
      <alignment horizontal="left" vertical="top" wrapText="1"/>
    </xf>
    <xf numFmtId="0" fontId="2" fillId="26" borderId="87" xfId="47" applyFill="1" applyBorder="1" applyAlignment="1">
      <alignment horizontal="left" vertical="top" wrapText="1"/>
    </xf>
    <xf numFmtId="0" fontId="2" fillId="26" borderId="93" xfId="47" applyFill="1" applyBorder="1" applyAlignment="1">
      <alignment horizontal="left" vertical="top" wrapText="1"/>
    </xf>
    <xf numFmtId="0" fontId="2" fillId="26" borderId="94" xfId="47" applyFill="1" applyBorder="1" applyAlignment="1">
      <alignment horizontal="left" vertical="top" wrapText="1"/>
    </xf>
    <xf numFmtId="0" fontId="2" fillId="26" borderId="95" xfId="47" applyFill="1" applyBorder="1" applyAlignment="1">
      <alignment horizontal="left" vertical="top" wrapText="1"/>
    </xf>
    <xf numFmtId="166" fontId="2" fillId="33" borderId="84" xfId="47" applyNumberFormat="1" applyFill="1" applyBorder="1" applyAlignment="1">
      <alignment horizontal="left" vertical="top"/>
    </xf>
    <xf numFmtId="166" fontId="2" fillId="33" borderId="89" xfId="47" applyNumberFormat="1" applyFill="1" applyBorder="1" applyAlignment="1">
      <alignment horizontal="left" vertical="top"/>
    </xf>
    <xf numFmtId="166" fontId="2" fillId="33" borderId="97" xfId="47" applyNumberFormat="1" applyFill="1" applyBorder="1" applyAlignment="1">
      <alignment horizontal="left" vertical="top"/>
    </xf>
    <xf numFmtId="0" fontId="2" fillId="33" borderId="85" xfId="47" applyFill="1" applyBorder="1" applyAlignment="1">
      <alignment horizontal="left" vertical="top" wrapText="1"/>
    </xf>
    <xf numFmtId="0" fontId="2" fillId="33" borderId="86" xfId="47" applyFill="1" applyBorder="1" applyAlignment="1">
      <alignment horizontal="left" vertical="top" wrapText="1"/>
    </xf>
    <xf numFmtId="0" fontId="2" fillId="33" borderId="87" xfId="47" applyFill="1" applyBorder="1" applyAlignment="1">
      <alignment horizontal="left" vertical="top" wrapText="1"/>
    </xf>
    <xf numFmtId="0" fontId="2" fillId="33" borderId="90" xfId="47" applyFill="1" applyBorder="1" applyAlignment="1">
      <alignment horizontal="left" vertical="top" wrapText="1"/>
    </xf>
    <xf numFmtId="0" fontId="2" fillId="33" borderId="0" xfId="47" applyFill="1" applyAlignment="1">
      <alignment horizontal="left" vertical="top" wrapText="1"/>
    </xf>
    <xf numFmtId="0" fontId="2" fillId="33" borderId="91" xfId="47" applyFill="1" applyBorder="1" applyAlignment="1">
      <alignment horizontal="left" vertical="top" wrapText="1"/>
    </xf>
    <xf numFmtId="0" fontId="2" fillId="33" borderId="96" xfId="47" applyFill="1" applyBorder="1" applyAlignment="1">
      <alignment horizontal="left" vertical="top" wrapText="1"/>
    </xf>
    <xf numFmtId="0" fontId="2" fillId="33" borderId="22" xfId="47" applyFill="1" applyBorder="1" applyAlignment="1">
      <alignment horizontal="left" vertical="top" wrapText="1"/>
    </xf>
    <xf numFmtId="0" fontId="2" fillId="33" borderId="98" xfId="47" applyFill="1" applyBorder="1" applyAlignment="1">
      <alignment horizontal="left" vertical="top" wrapText="1"/>
    </xf>
    <xf numFmtId="49" fontId="52" fillId="26" borderId="0" xfId="47" applyNumberFormat="1" applyFont="1" applyFill="1" applyAlignment="1">
      <alignment horizontal="left"/>
    </xf>
    <xf numFmtId="49" fontId="52" fillId="26" borderId="10" xfId="47" applyNumberFormat="1" applyFont="1" applyFill="1" applyBorder="1" applyAlignment="1">
      <alignment horizontal="left"/>
    </xf>
    <xf numFmtId="49" fontId="2" fillId="26" borderId="0" xfId="47" applyNumberFormat="1" applyFill="1" applyAlignment="1">
      <alignment horizontal="left"/>
    </xf>
    <xf numFmtId="49" fontId="2" fillId="26" borderId="10" xfId="47" applyNumberFormat="1" applyFill="1" applyBorder="1" applyAlignment="1">
      <alignment horizontal="left"/>
    </xf>
    <xf numFmtId="49" fontId="23" fillId="26" borderId="0" xfId="47" applyNumberFormat="1" applyFont="1" applyFill="1" applyAlignment="1">
      <alignment horizontal="left"/>
    </xf>
    <xf numFmtId="49" fontId="23" fillId="26" borderId="10" xfId="47" applyNumberFormat="1" applyFont="1" applyFill="1" applyBorder="1" applyAlignment="1">
      <alignment horizontal="left"/>
    </xf>
    <xf numFmtId="166" fontId="2" fillId="26" borderId="115" xfId="47" applyNumberFormat="1" applyFill="1" applyBorder="1" applyAlignment="1">
      <alignment horizontal="left" vertical="top"/>
    </xf>
    <xf numFmtId="0" fontId="2" fillId="26" borderId="116" xfId="47" applyFill="1" applyBorder="1" applyAlignment="1">
      <alignment horizontal="left" vertical="top" wrapText="1"/>
    </xf>
    <xf numFmtId="0" fontId="2" fillId="26" borderId="77" xfId="47" applyFill="1" applyBorder="1" applyAlignment="1">
      <alignment horizontal="left" vertical="top" wrapText="1"/>
    </xf>
    <xf numFmtId="0" fontId="2" fillId="26" borderId="117" xfId="47" applyFill="1" applyBorder="1" applyAlignment="1">
      <alignment horizontal="left" vertical="top" wrapText="1"/>
    </xf>
    <xf numFmtId="0" fontId="2" fillId="0" borderId="85" xfId="47" applyBorder="1" applyAlignment="1">
      <alignment horizontal="left" vertical="top" wrapText="1"/>
    </xf>
    <xf numFmtId="0" fontId="2" fillId="0" borderId="86" xfId="47" applyBorder="1" applyAlignment="1">
      <alignment horizontal="left" vertical="top" wrapText="1"/>
    </xf>
    <xf numFmtId="0" fontId="2" fillId="0" borderId="87" xfId="47" applyBorder="1" applyAlignment="1">
      <alignment horizontal="left" vertical="top" wrapText="1"/>
    </xf>
    <xf numFmtId="0" fontId="2" fillId="0" borderId="90" xfId="47" applyBorder="1" applyAlignment="1">
      <alignment horizontal="left" vertical="top" wrapText="1"/>
    </xf>
    <xf numFmtId="0" fontId="2" fillId="0" borderId="91" xfId="47" applyBorder="1" applyAlignment="1">
      <alignment horizontal="left" vertical="top" wrapText="1"/>
    </xf>
    <xf numFmtId="0" fontId="2" fillId="26" borderId="0" xfId="47" applyFill="1" applyAlignment="1">
      <alignment horizontal="right" vertical="center"/>
    </xf>
    <xf numFmtId="0" fontId="2" fillId="26" borderId="10" xfId="47" applyFill="1" applyBorder="1" applyAlignment="1">
      <alignment horizontal="right" vertical="center"/>
    </xf>
    <xf numFmtId="0" fontId="2" fillId="0" borderId="100" xfId="47" applyBorder="1" applyAlignment="1">
      <alignment horizontal="left" vertical="top" wrapText="1"/>
    </xf>
    <xf numFmtId="0" fontId="2" fillId="0" borderId="18" xfId="47" applyBorder="1" applyAlignment="1">
      <alignment horizontal="left" vertical="top" wrapText="1"/>
    </xf>
    <xf numFmtId="0" fontId="2" fillId="0" borderId="101" xfId="47" applyBorder="1" applyAlignment="1">
      <alignment horizontal="left" vertical="top" wrapText="1"/>
    </xf>
    <xf numFmtId="0" fontId="2" fillId="0" borderId="96" xfId="47" applyBorder="1" applyAlignment="1">
      <alignment horizontal="left" vertical="top" wrapText="1"/>
    </xf>
    <xf numFmtId="0" fontId="2" fillId="0" borderId="22" xfId="47" applyBorder="1" applyAlignment="1">
      <alignment horizontal="left" vertical="top" wrapText="1"/>
    </xf>
    <xf numFmtId="0" fontId="2" fillId="0" borderId="98" xfId="47" applyBorder="1" applyAlignment="1">
      <alignment horizontal="left" vertical="top" wrapText="1"/>
    </xf>
    <xf numFmtId="166" fontId="51" fillId="26" borderId="92" xfId="47" applyNumberFormat="1" applyFont="1" applyFill="1" applyBorder="1" applyAlignment="1">
      <alignment horizontal="left" vertical="top"/>
    </xf>
    <xf numFmtId="0" fontId="51" fillId="0" borderId="93" xfId="47" applyFont="1" applyBorder="1" applyAlignment="1">
      <alignment horizontal="left" vertical="top" wrapText="1"/>
    </xf>
    <xf numFmtId="0" fontId="51" fillId="0" borderId="94" xfId="47" applyFont="1" applyBorder="1" applyAlignment="1">
      <alignment horizontal="left" vertical="top" wrapText="1"/>
    </xf>
    <xf numFmtId="0" fontId="51" fillId="0" borderId="95" xfId="47" applyFont="1" applyBorder="1" applyAlignment="1">
      <alignment horizontal="left" vertical="top" wrapText="1"/>
    </xf>
    <xf numFmtId="166" fontId="1" fillId="26" borderId="84" xfId="47" applyNumberFormat="1" applyFont="1" applyFill="1" applyBorder="1" applyAlignment="1">
      <alignment horizontal="left" vertical="top"/>
    </xf>
    <xf numFmtId="166" fontId="1" fillId="26" borderId="89" xfId="47" applyNumberFormat="1" applyFont="1" applyFill="1" applyBorder="1" applyAlignment="1">
      <alignment horizontal="left" vertical="top"/>
    </xf>
    <xf numFmtId="166" fontId="1" fillId="26" borderId="92" xfId="47" applyNumberFormat="1" applyFont="1" applyFill="1" applyBorder="1" applyAlignment="1">
      <alignment horizontal="left" vertical="top"/>
    </xf>
    <xf numFmtId="0" fontId="25" fillId="26" borderId="17" xfId="47" applyFont="1" applyFill="1" applyBorder="1" applyAlignment="1">
      <alignment horizontal="left" vertical="center"/>
    </xf>
    <xf numFmtId="0" fontId="25" fillId="26" borderId="18" xfId="47" applyFont="1" applyFill="1" applyBorder="1" applyAlignment="1">
      <alignment horizontal="left" vertical="center"/>
    </xf>
    <xf numFmtId="0" fontId="25" fillId="26" borderId="16" xfId="47" applyFont="1" applyFill="1" applyBorder="1" applyAlignment="1">
      <alignment horizontal="left" vertical="center"/>
    </xf>
    <xf numFmtId="39" fontId="23" fillId="26" borderId="0" xfId="47" applyNumberFormat="1" applyFont="1" applyFill="1" applyAlignment="1">
      <alignment horizontal="left"/>
    </xf>
    <xf numFmtId="39" fontId="23" fillId="26" borderId="10" xfId="47" applyNumberFormat="1" applyFont="1" applyFill="1" applyBorder="1" applyAlignment="1">
      <alignment horizontal="left"/>
    </xf>
    <xf numFmtId="0" fontId="2" fillId="26" borderId="17" xfId="47" applyFill="1" applyBorder="1" applyAlignment="1">
      <alignment horizontal="center"/>
    </xf>
    <xf numFmtId="0" fontId="2" fillId="26" borderId="18" xfId="47" applyFill="1" applyBorder="1" applyAlignment="1">
      <alignment horizontal="center"/>
    </xf>
    <xf numFmtId="0" fontId="2" fillId="26" borderId="16" xfId="47" applyFill="1" applyBorder="1" applyAlignment="1">
      <alignment horizontal="center"/>
    </xf>
    <xf numFmtId="0" fontId="2" fillId="26" borderId="23" xfId="47" applyFill="1" applyBorder="1" applyAlignment="1">
      <alignment horizontal="center"/>
    </xf>
    <xf numFmtId="0" fontId="2" fillId="26" borderId="22" xfId="47" applyFill="1" applyBorder="1" applyAlignment="1">
      <alignment horizontal="center"/>
    </xf>
    <xf numFmtId="0" fontId="2" fillId="26" borderId="20" xfId="47" applyFill="1" applyBorder="1" applyAlignment="1">
      <alignment horizontal="center"/>
    </xf>
    <xf numFmtId="166" fontId="51" fillId="0" borderId="84" xfId="47" applyNumberFormat="1" applyFont="1" applyBorder="1" applyAlignment="1">
      <alignment horizontal="left" vertical="top"/>
    </xf>
    <xf numFmtId="166" fontId="51" fillId="0" borderId="89" xfId="47" applyNumberFormat="1" applyFont="1" applyBorder="1" applyAlignment="1">
      <alignment horizontal="left" vertical="top"/>
    </xf>
    <xf numFmtId="166" fontId="51" fillId="0" borderId="92" xfId="47" applyNumberFormat="1" applyFont="1" applyBorder="1" applyAlignment="1">
      <alignment horizontal="left" vertical="top"/>
    </xf>
    <xf numFmtId="166" fontId="2" fillId="0" borderId="99" xfId="47" applyNumberFormat="1" applyBorder="1" applyAlignment="1">
      <alignment horizontal="left" vertical="top"/>
    </xf>
    <xf numFmtId="166" fontId="2" fillId="0" borderId="89" xfId="47" applyNumberFormat="1" applyBorder="1" applyAlignment="1">
      <alignment horizontal="left" vertical="top"/>
    </xf>
    <xf numFmtId="166" fontId="2" fillId="0" borderId="97" xfId="47" applyNumberFormat="1" applyBorder="1" applyAlignment="1">
      <alignment horizontal="left" vertical="top"/>
    </xf>
    <xf numFmtId="166" fontId="51" fillId="0" borderId="99" xfId="47" applyNumberFormat="1" applyFont="1" applyBorder="1" applyAlignment="1">
      <alignment horizontal="left" vertical="top"/>
    </xf>
    <xf numFmtId="0" fontId="51" fillId="0" borderId="100" xfId="47" applyFont="1" applyBorder="1" applyAlignment="1">
      <alignment horizontal="left" vertical="top" wrapText="1"/>
    </xf>
    <xf numFmtId="0" fontId="51" fillId="0" borderId="18" xfId="47" applyFont="1" applyBorder="1" applyAlignment="1">
      <alignment horizontal="left" vertical="top" wrapText="1"/>
    </xf>
    <xf numFmtId="0" fontId="51" fillId="0" borderId="101" xfId="47" applyFont="1" applyBorder="1" applyAlignment="1">
      <alignment horizontal="left" vertical="top" wrapText="1"/>
    </xf>
    <xf numFmtId="0" fontId="32" fillId="33" borderId="110" xfId="47" applyFont="1" applyFill="1" applyBorder="1" applyAlignment="1">
      <alignment horizontal="left" vertical="center"/>
    </xf>
    <xf numFmtId="0" fontId="32" fillId="33" borderId="111" xfId="47" applyFont="1" applyFill="1" applyBorder="1" applyAlignment="1">
      <alignment horizontal="left" vertical="center"/>
    </xf>
    <xf numFmtId="0" fontId="32" fillId="33" borderId="112" xfId="47" applyFont="1" applyFill="1" applyBorder="1" applyAlignment="1">
      <alignment horizontal="left" vertical="center"/>
    </xf>
    <xf numFmtId="166" fontId="51" fillId="26" borderId="99" xfId="47" applyNumberFormat="1" applyFont="1" applyFill="1" applyBorder="1" applyAlignment="1">
      <alignment horizontal="left" vertical="top"/>
    </xf>
    <xf numFmtId="0" fontId="51" fillId="26" borderId="100" xfId="47" applyFont="1" applyFill="1" applyBorder="1" applyAlignment="1">
      <alignment horizontal="left" vertical="top" wrapText="1"/>
    </xf>
    <xf numFmtId="0" fontId="51" fillId="26" borderId="18" xfId="47" applyFont="1" applyFill="1" applyBorder="1" applyAlignment="1">
      <alignment horizontal="left" vertical="top" wrapText="1"/>
    </xf>
    <xf numFmtId="0" fontId="51" fillId="26" borderId="101" xfId="47" applyFont="1" applyFill="1" applyBorder="1" applyAlignment="1">
      <alignment horizontal="left" vertical="top" wrapText="1"/>
    </xf>
    <xf numFmtId="166" fontId="2" fillId="26" borderId="24" xfId="47" applyNumberFormat="1" applyFill="1" applyBorder="1" applyAlignment="1">
      <alignment horizontal="left" vertical="top"/>
    </xf>
    <xf numFmtId="0" fontId="32" fillId="26" borderId="24" xfId="47" applyFont="1" applyFill="1" applyBorder="1" applyAlignment="1">
      <alignment horizontal="left" vertical="top" wrapText="1"/>
    </xf>
    <xf numFmtId="0" fontId="32" fillId="26" borderId="33" xfId="47" applyFont="1" applyFill="1" applyBorder="1" applyAlignment="1">
      <alignment horizontal="left" vertical="top" wrapText="1"/>
    </xf>
    <xf numFmtId="166" fontId="2" fillId="28" borderId="15" xfId="37" applyNumberFormat="1" applyFill="1" applyBorder="1" applyAlignment="1">
      <alignment horizontal="left" vertical="top"/>
    </xf>
    <xf numFmtId="166" fontId="2" fillId="28" borderId="12" xfId="37" applyNumberFormat="1" applyFill="1" applyBorder="1" applyAlignment="1">
      <alignment horizontal="left" vertical="top"/>
    </xf>
    <xf numFmtId="166" fontId="2" fillId="28" borderId="19" xfId="37" applyNumberFormat="1" applyFill="1" applyBorder="1" applyAlignment="1">
      <alignment horizontal="left" vertical="top"/>
    </xf>
    <xf numFmtId="0" fontId="32" fillId="28" borderId="17" xfId="37" applyFont="1" applyFill="1" applyBorder="1" applyAlignment="1">
      <alignment horizontal="left" vertical="top" wrapText="1"/>
    </xf>
    <xf numFmtId="0" fontId="32" fillId="28" borderId="18" xfId="37" applyFont="1" applyFill="1" applyBorder="1" applyAlignment="1">
      <alignment horizontal="left" vertical="top" wrapText="1"/>
    </xf>
    <xf numFmtId="0" fontId="32" fillId="28" borderId="16" xfId="37" applyFont="1" applyFill="1" applyBorder="1" applyAlignment="1">
      <alignment horizontal="left" vertical="top" wrapText="1"/>
    </xf>
    <xf numFmtId="0" fontId="32" fillId="28" borderId="21" xfId="37" applyFont="1" applyFill="1" applyBorder="1" applyAlignment="1">
      <alignment horizontal="left" vertical="top" wrapText="1"/>
    </xf>
    <xf numFmtId="0" fontId="32" fillId="28" borderId="0" xfId="37" applyFont="1" applyFill="1" applyAlignment="1">
      <alignment horizontal="left" vertical="top" wrapText="1"/>
    </xf>
    <xf numFmtId="0" fontId="32" fillId="28" borderId="10" xfId="37" applyFont="1" applyFill="1" applyBorder="1" applyAlignment="1">
      <alignment horizontal="left" vertical="top" wrapText="1"/>
    </xf>
    <xf numFmtId="166" fontId="2" fillId="28" borderId="99" xfId="37" applyNumberFormat="1" applyFill="1" applyBorder="1" applyAlignment="1">
      <alignment horizontal="left" vertical="top"/>
    </xf>
    <xf numFmtId="166" fontId="2" fillId="28" borderId="89" xfId="37" applyNumberFormat="1" applyFill="1" applyBorder="1" applyAlignment="1">
      <alignment horizontal="left" vertical="top"/>
    </xf>
    <xf numFmtId="166" fontId="2" fillId="28" borderId="97" xfId="37" applyNumberFormat="1" applyFill="1" applyBorder="1" applyAlignment="1">
      <alignment horizontal="left" vertical="top"/>
    </xf>
    <xf numFmtId="0" fontId="32" fillId="28" borderId="100" xfId="37" applyFont="1" applyFill="1" applyBorder="1" applyAlignment="1">
      <alignment horizontal="left" vertical="top" wrapText="1"/>
    </xf>
    <xf numFmtId="0" fontId="32" fillId="28" borderId="101" xfId="37" applyFont="1" applyFill="1" applyBorder="1" applyAlignment="1">
      <alignment horizontal="left" vertical="top" wrapText="1"/>
    </xf>
    <xf numFmtId="0" fontId="32" fillId="28" borderId="90" xfId="37" applyFont="1" applyFill="1" applyBorder="1" applyAlignment="1">
      <alignment horizontal="left" vertical="top" wrapText="1"/>
    </xf>
    <xf numFmtId="0" fontId="32" fillId="28" borderId="91" xfId="37" applyFont="1" applyFill="1" applyBorder="1" applyAlignment="1">
      <alignment horizontal="left" vertical="top" wrapText="1"/>
    </xf>
    <xf numFmtId="0" fontId="32" fillId="28" borderId="96" xfId="37" applyFont="1" applyFill="1" applyBorder="1" applyAlignment="1">
      <alignment horizontal="left" vertical="top" wrapText="1"/>
    </xf>
    <xf numFmtId="0" fontId="32" fillId="28" borderId="22" xfId="37" applyFont="1" applyFill="1" applyBorder="1" applyAlignment="1">
      <alignment horizontal="left" vertical="top" wrapText="1"/>
    </xf>
    <xf numFmtId="0" fontId="32" fillId="28" borderId="98" xfId="37" applyFont="1" applyFill="1" applyBorder="1" applyAlignment="1">
      <alignment horizontal="left" vertical="top" wrapText="1"/>
    </xf>
    <xf numFmtId="166" fontId="2" fillId="26" borderId="99" xfId="37" applyNumberFormat="1" applyFill="1" applyBorder="1" applyAlignment="1">
      <alignment horizontal="left" vertical="top"/>
    </xf>
    <xf numFmtId="166" fontId="2" fillId="26" borderId="89" xfId="37" applyNumberFormat="1" applyFill="1" applyBorder="1" applyAlignment="1">
      <alignment horizontal="left" vertical="top"/>
    </xf>
    <xf numFmtId="166" fontId="2" fillId="26" borderId="97" xfId="37" applyNumberFormat="1" applyFill="1" applyBorder="1" applyAlignment="1">
      <alignment horizontal="left" vertical="top"/>
    </xf>
    <xf numFmtId="0" fontId="2" fillId="26" borderId="100" xfId="37" applyFill="1" applyBorder="1" applyAlignment="1">
      <alignment horizontal="left" vertical="top" wrapText="1"/>
    </xf>
    <xf numFmtId="0" fontId="2" fillId="26" borderId="101" xfId="37" applyFill="1" applyBorder="1" applyAlignment="1">
      <alignment horizontal="left" vertical="top" wrapText="1"/>
    </xf>
    <xf numFmtId="0" fontId="2" fillId="26" borderId="90" xfId="37" applyFill="1" applyBorder="1" applyAlignment="1">
      <alignment horizontal="left" vertical="top" wrapText="1"/>
    </xf>
    <xf numFmtId="0" fontId="2" fillId="26" borderId="91" xfId="37" applyFill="1" applyBorder="1" applyAlignment="1">
      <alignment horizontal="left" vertical="top" wrapText="1"/>
    </xf>
    <xf numFmtId="0" fontId="2" fillId="26" borderId="96" xfId="37" applyFill="1" applyBorder="1" applyAlignment="1">
      <alignment horizontal="left" vertical="top" wrapText="1"/>
    </xf>
    <xf numFmtId="0" fontId="2" fillId="26" borderId="22" xfId="37" applyFill="1" applyBorder="1" applyAlignment="1">
      <alignment horizontal="left" vertical="top" wrapText="1"/>
    </xf>
    <xf numFmtId="0" fontId="2" fillId="26" borderId="98" xfId="37" applyFill="1" applyBorder="1" applyAlignment="1">
      <alignment horizontal="left" vertical="top" wrapText="1"/>
    </xf>
    <xf numFmtId="0" fontId="32" fillId="26" borderId="15" xfId="47" applyFont="1" applyFill="1" applyBorder="1" applyAlignment="1">
      <alignment horizontal="left" vertical="top" wrapText="1"/>
    </xf>
    <xf numFmtId="0" fontId="32" fillId="26" borderId="17" xfId="47" applyFont="1" applyFill="1" applyBorder="1" applyAlignment="1">
      <alignment horizontal="left" vertical="top" wrapText="1"/>
    </xf>
    <xf numFmtId="0" fontId="32" fillId="26" borderId="23" xfId="47" applyFont="1" applyFill="1" applyBorder="1" applyAlignment="1">
      <alignment horizontal="center" vertical="top" wrapText="1"/>
    </xf>
    <xf numFmtId="0" fontId="32" fillId="26" borderId="22" xfId="47" applyFont="1" applyFill="1" applyBorder="1" applyAlignment="1">
      <alignment horizontal="center" vertical="top" wrapText="1"/>
    </xf>
    <xf numFmtId="0" fontId="32" fillId="26" borderId="20" xfId="47" applyFont="1" applyFill="1" applyBorder="1" applyAlignment="1">
      <alignment horizontal="center" vertical="top" wrapText="1"/>
    </xf>
    <xf numFmtId="166" fontId="2" fillId="28" borderId="17" xfId="37" applyNumberFormat="1" applyFill="1" applyBorder="1" applyAlignment="1">
      <alignment horizontal="left" vertical="top"/>
    </xf>
    <xf numFmtId="166" fontId="2" fillId="28" borderId="21" xfId="37" applyNumberFormat="1" applyFill="1" applyBorder="1" applyAlignment="1">
      <alignment horizontal="left" vertical="top"/>
    </xf>
    <xf numFmtId="166" fontId="2" fillId="28" borderId="23" xfId="37" applyNumberFormat="1" applyFill="1" applyBorder="1" applyAlignment="1">
      <alignment horizontal="left" vertical="top"/>
    </xf>
    <xf numFmtId="0" fontId="32" fillId="28" borderId="23" xfId="37" applyFont="1" applyFill="1" applyBorder="1" applyAlignment="1">
      <alignment horizontal="left" vertical="top" wrapText="1"/>
    </xf>
    <xf numFmtId="0" fontId="32" fillId="28" borderId="20" xfId="37" applyFont="1" applyFill="1" applyBorder="1" applyAlignment="1">
      <alignment horizontal="left" vertical="top" wrapText="1"/>
    </xf>
    <xf numFmtId="0" fontId="2" fillId="0" borderId="23" xfId="0" applyFont="1" applyBorder="1" applyAlignment="1">
      <alignment horizontal="left" vertical="center"/>
    </xf>
    <xf numFmtId="0" fontId="2" fillId="0" borderId="22" xfId="0" applyFont="1" applyBorder="1" applyAlignment="1">
      <alignment horizontal="left" vertical="center"/>
    </xf>
    <xf numFmtId="0" fontId="2" fillId="0" borderId="20" xfId="0" applyFont="1" applyBorder="1" applyAlignment="1">
      <alignment horizontal="left" vertical="center"/>
    </xf>
    <xf numFmtId="0" fontId="2" fillId="0" borderId="21" xfId="0" applyFont="1" applyBorder="1" applyAlignment="1">
      <alignment horizontal="center" vertical="center"/>
    </xf>
    <xf numFmtId="0" fontId="42" fillId="0" borderId="15" xfId="0" applyFont="1" applyBorder="1" applyAlignment="1">
      <alignment horizontal="center" vertical="center" textRotation="90" wrapText="1"/>
    </xf>
    <xf numFmtId="0" fontId="42" fillId="0" borderId="12" xfId="0" applyFont="1" applyBorder="1" applyAlignment="1">
      <alignment horizontal="center" vertical="center" textRotation="90" wrapText="1"/>
    </xf>
    <xf numFmtId="0" fontId="42" fillId="0" borderId="19" xfId="0" applyFont="1" applyBorder="1" applyAlignment="1">
      <alignment horizontal="center" vertical="center" textRotation="90" wrapText="1"/>
    </xf>
    <xf numFmtId="166" fontId="1" fillId="0" borderId="17" xfId="0" applyNumberFormat="1" applyFont="1" applyBorder="1" applyAlignment="1">
      <alignment horizontal="left" vertical="center"/>
    </xf>
    <xf numFmtId="166" fontId="1" fillId="0" borderId="18" xfId="0" applyNumberFormat="1" applyFont="1" applyBorder="1" applyAlignment="1">
      <alignment horizontal="left" vertical="center"/>
    </xf>
    <xf numFmtId="166" fontId="1" fillId="0" borderId="16" xfId="0" applyNumberFormat="1" applyFont="1" applyBorder="1" applyAlignment="1">
      <alignment horizontal="left" vertical="center"/>
    </xf>
    <xf numFmtId="0" fontId="1" fillId="0" borderId="21" xfId="0" applyFont="1" applyBorder="1" applyAlignment="1">
      <alignment horizontal="center" vertical="center"/>
    </xf>
    <xf numFmtId="0" fontId="1" fillId="0" borderId="0" xfId="0" applyFont="1" applyAlignment="1">
      <alignment horizontal="center" vertical="center"/>
    </xf>
    <xf numFmtId="0" fontId="1" fillId="0" borderId="21" xfId="0" applyFont="1" applyBorder="1" applyAlignment="1">
      <alignment horizontal="left" vertical="top" wrapText="1"/>
    </xf>
    <xf numFmtId="0" fontId="1" fillId="0" borderId="0" xfId="0" applyFont="1" applyAlignment="1">
      <alignment horizontal="left" vertical="top" wrapText="1"/>
    </xf>
    <xf numFmtId="0" fontId="1" fillId="0" borderId="10" xfId="0" applyFont="1" applyBorder="1" applyAlignment="1">
      <alignment horizontal="left" vertical="top" wrapText="1"/>
    </xf>
    <xf numFmtId="0" fontId="1" fillId="0" borderId="28" xfId="0" applyFont="1" applyBorder="1" applyAlignment="1">
      <alignment horizontal="left" vertical="top" wrapText="1"/>
    </xf>
    <xf numFmtId="0" fontId="1" fillId="0" borderId="31" xfId="0" applyFont="1" applyBorder="1" applyAlignment="1">
      <alignment horizontal="left" vertical="top" wrapText="1"/>
    </xf>
    <xf numFmtId="0" fontId="1" fillId="0" borderId="29" xfId="0" applyFont="1" applyBorder="1" applyAlignment="1">
      <alignment horizontal="left" vertical="top" wrapText="1"/>
    </xf>
    <xf numFmtId="0" fontId="1" fillId="0" borderId="23" xfId="0" applyFont="1" applyBorder="1" applyAlignment="1">
      <alignment horizontal="center" vertical="center"/>
    </xf>
    <xf numFmtId="0" fontId="1" fillId="0" borderId="22" xfId="0" applyFont="1" applyBorder="1" applyAlignment="1">
      <alignment horizontal="center" vertical="center"/>
    </xf>
    <xf numFmtId="0" fontId="1" fillId="0" borderId="20" xfId="0" applyFont="1" applyBorder="1" applyAlignment="1">
      <alignment horizontal="center" vertical="center"/>
    </xf>
    <xf numFmtId="0" fontId="1" fillId="0" borderId="23" xfId="0" applyFont="1" applyBorder="1" applyAlignment="1">
      <alignment horizontal="center" vertical="top" wrapText="1"/>
    </xf>
    <xf numFmtId="0" fontId="1" fillId="0" borderId="22" xfId="0" applyFont="1" applyBorder="1" applyAlignment="1">
      <alignment horizontal="center" vertical="top" wrapText="1"/>
    </xf>
    <xf numFmtId="0" fontId="1" fillId="0" borderId="20" xfId="0" applyFont="1" applyBorder="1" applyAlignment="1">
      <alignment horizontal="center" vertical="top" wrapText="1"/>
    </xf>
    <xf numFmtId="0" fontId="42" fillId="0" borderId="21" xfId="0" applyFont="1" applyBorder="1" applyAlignment="1">
      <alignment horizontal="center" vertical="center"/>
    </xf>
    <xf numFmtId="0" fontId="42" fillId="0" borderId="0" xfId="0" applyFont="1" applyAlignment="1">
      <alignment horizontal="center" vertical="center"/>
    </xf>
    <xf numFmtId="166" fontId="1" fillId="0" borderId="21" xfId="0" applyNumberFormat="1" applyFont="1" applyBorder="1" applyAlignment="1">
      <alignment horizontal="left" vertical="center"/>
    </xf>
    <xf numFmtId="166" fontId="1" fillId="0" borderId="0" xfId="0" applyNumberFormat="1" applyFont="1" applyAlignment="1">
      <alignment horizontal="left" vertical="center"/>
    </xf>
    <xf numFmtId="0" fontId="1" fillId="0" borderId="36" xfId="0" applyFont="1" applyBorder="1" applyAlignment="1">
      <alignment horizontal="left" vertical="center"/>
    </xf>
    <xf numFmtId="0" fontId="1" fillId="0" borderId="38" xfId="0" applyFont="1" applyBorder="1" applyAlignment="1">
      <alignment horizontal="left" vertical="center"/>
    </xf>
    <xf numFmtId="0" fontId="1" fillId="0" borderId="37" xfId="0" applyFont="1" applyBorder="1" applyAlignment="1">
      <alignment horizontal="left" vertical="center"/>
    </xf>
    <xf numFmtId="0" fontId="1" fillId="0" borderId="13" xfId="0" applyFont="1" applyBorder="1" applyAlignment="1">
      <alignment horizontal="left" vertical="center" wrapText="1"/>
    </xf>
    <xf numFmtId="0" fontId="1" fillId="0" borderId="30" xfId="0" applyFont="1" applyBorder="1" applyAlignment="1">
      <alignment horizontal="left" vertical="center" wrapText="1"/>
    </xf>
    <xf numFmtId="0" fontId="1" fillId="0" borderId="28" xfId="0" applyFont="1" applyBorder="1" applyAlignment="1">
      <alignment horizontal="left" vertical="center" wrapText="1"/>
    </xf>
    <xf numFmtId="0" fontId="1" fillId="0" borderId="31" xfId="0" applyFont="1" applyBorder="1" applyAlignment="1">
      <alignment horizontal="left" vertical="center" wrapText="1"/>
    </xf>
    <xf numFmtId="0" fontId="1" fillId="0" borderId="26" xfId="0" applyFont="1" applyBorder="1" applyAlignment="1">
      <alignment horizontal="center" vertical="center" wrapText="1"/>
    </xf>
    <xf numFmtId="0" fontId="1" fillId="0" borderId="29" xfId="0" applyFont="1" applyBorder="1" applyAlignment="1">
      <alignment horizontal="center" vertical="center" wrapText="1"/>
    </xf>
    <xf numFmtId="0" fontId="1" fillId="0" borderId="52" xfId="0" applyFont="1" applyBorder="1" applyAlignment="1">
      <alignment horizontal="center" vertical="center" wrapText="1"/>
    </xf>
    <xf numFmtId="0" fontId="1" fillId="0" borderId="39" xfId="0" applyFont="1" applyBorder="1" applyAlignment="1">
      <alignment horizontal="center" vertical="center" wrapText="1"/>
    </xf>
    <xf numFmtId="0" fontId="1" fillId="0" borderId="32" xfId="0" applyFont="1" applyBorder="1" applyAlignment="1">
      <alignment horizontal="center" vertical="center" wrapText="1"/>
    </xf>
    <xf numFmtId="166" fontId="1" fillId="0" borderId="24" xfId="0" applyNumberFormat="1" applyFont="1" applyBorder="1" applyAlignment="1">
      <alignment horizontal="left" vertical="center"/>
    </xf>
    <xf numFmtId="0" fontId="1" fillId="0" borderId="23" xfId="0" applyFont="1" applyBorder="1" applyAlignment="1">
      <alignment horizontal="left" vertical="center"/>
    </xf>
    <xf numFmtId="0" fontId="1" fillId="0" borderId="33" xfId="0" applyFont="1" applyBorder="1" applyAlignment="1">
      <alignment horizontal="left" vertical="center"/>
    </xf>
    <xf numFmtId="0" fontId="2" fillId="0" borderId="38" xfId="0" applyFont="1" applyBorder="1" applyAlignment="1">
      <alignment horizontal="left" vertical="center"/>
    </xf>
    <xf numFmtId="0" fontId="2" fillId="0" borderId="37" xfId="0" applyFont="1" applyBorder="1" applyAlignment="1">
      <alignment horizontal="left" vertical="center"/>
    </xf>
    <xf numFmtId="0" fontId="1" fillId="0" borderId="17" xfId="0" applyFont="1" applyBorder="1" applyAlignment="1">
      <alignment horizontal="left" vertical="top" wrapText="1"/>
    </xf>
    <xf numFmtId="0" fontId="1" fillId="0" borderId="18" xfId="0" applyFont="1" applyBorder="1" applyAlignment="1">
      <alignment horizontal="left" vertical="top" wrapText="1"/>
    </xf>
    <xf numFmtId="0" fontId="1" fillId="0" borderId="16" xfId="0" applyFont="1" applyBorder="1" applyAlignment="1">
      <alignment horizontal="left" vertical="top" wrapText="1"/>
    </xf>
    <xf numFmtId="0" fontId="2" fillId="0" borderId="31" xfId="0" applyFont="1" applyBorder="1" applyAlignment="1">
      <alignment horizontal="left" vertical="top" wrapText="1"/>
    </xf>
    <xf numFmtId="0" fontId="1" fillId="0" borderId="21" xfId="0" applyFont="1" applyBorder="1" applyAlignment="1">
      <alignment vertical="top" wrapText="1"/>
    </xf>
    <xf numFmtId="0" fontId="1" fillId="0" borderId="0" xfId="0" applyFont="1" applyAlignment="1">
      <alignment vertical="top" wrapText="1"/>
    </xf>
    <xf numFmtId="0" fontId="1" fillId="0" borderId="10" xfId="0" applyFont="1" applyBorder="1" applyAlignment="1">
      <alignment vertical="top" wrapText="1"/>
    </xf>
    <xf numFmtId="0" fontId="1" fillId="0" borderId="23" xfId="0" applyFont="1" applyBorder="1" applyAlignment="1">
      <alignment horizontal="left" vertical="center" wrapText="1"/>
    </xf>
    <xf numFmtId="0" fontId="1" fillId="0" borderId="22" xfId="0" applyFont="1" applyBorder="1" applyAlignment="1">
      <alignment horizontal="left" vertical="center" wrapText="1"/>
    </xf>
    <xf numFmtId="0" fontId="50" fillId="29" borderId="81" xfId="47" applyFont="1" applyFill="1" applyBorder="1" applyAlignment="1">
      <alignment horizontal="center" vertical="center"/>
    </xf>
    <xf numFmtId="0" fontId="50" fillId="29" borderId="81" xfId="47" applyFont="1" applyFill="1" applyBorder="1" applyAlignment="1">
      <alignment horizontal="center"/>
    </xf>
    <xf numFmtId="0" fontId="50" fillId="29" borderId="104" xfId="47" applyFont="1" applyFill="1" applyBorder="1" applyAlignment="1">
      <alignment horizontal="center"/>
    </xf>
    <xf numFmtId="0" fontId="50" fillId="29" borderId="83" xfId="47" applyFont="1" applyFill="1" applyBorder="1" applyAlignment="1">
      <alignment horizontal="center"/>
    </xf>
    <xf numFmtId="0" fontId="50" fillId="29" borderId="82" xfId="47" applyFont="1" applyFill="1" applyBorder="1" applyAlignment="1">
      <alignment horizontal="center"/>
    </xf>
    <xf numFmtId="166" fontId="2" fillId="26" borderId="89" xfId="0" applyNumberFormat="1" applyFont="1" applyFill="1" applyBorder="1" applyAlignment="1">
      <alignment horizontal="center" vertical="center"/>
    </xf>
    <xf numFmtId="166" fontId="2" fillId="26" borderId="97" xfId="0" applyNumberFormat="1" applyFont="1" applyFill="1" applyBorder="1" applyAlignment="1">
      <alignment horizontal="center" vertical="center"/>
    </xf>
    <xf numFmtId="166" fontId="2" fillId="26" borderId="90" xfId="0" applyNumberFormat="1" applyFont="1" applyFill="1" applyBorder="1" applyAlignment="1">
      <alignment horizontal="left" vertical="top" wrapText="1"/>
    </xf>
    <xf numFmtId="166" fontId="2" fillId="26" borderId="0" xfId="0" applyNumberFormat="1" applyFont="1" applyFill="1" applyAlignment="1">
      <alignment horizontal="left" vertical="top" wrapText="1"/>
    </xf>
    <xf numFmtId="166" fontId="2" fillId="26" borderId="91" xfId="0" applyNumberFormat="1" applyFont="1" applyFill="1" applyBorder="1" applyAlignment="1">
      <alignment horizontal="left" vertical="top" wrapText="1"/>
    </xf>
    <xf numFmtId="166" fontId="2" fillId="26" borderId="96" xfId="0" applyNumberFormat="1" applyFont="1" applyFill="1" applyBorder="1" applyAlignment="1">
      <alignment horizontal="left" vertical="top" wrapText="1"/>
    </xf>
    <xf numFmtId="166" fontId="2" fillId="26" borderId="22" xfId="0" applyNumberFormat="1" applyFont="1" applyFill="1" applyBorder="1" applyAlignment="1">
      <alignment horizontal="left" vertical="top" wrapText="1"/>
    </xf>
    <xf numFmtId="166" fontId="2" fillId="26" borderId="98" xfId="0" applyNumberFormat="1" applyFont="1" applyFill="1" applyBorder="1" applyAlignment="1">
      <alignment horizontal="left" vertical="top" wrapText="1"/>
    </xf>
    <xf numFmtId="166" fontId="2" fillId="26" borderId="99" xfId="47" applyNumberFormat="1" applyFill="1" applyBorder="1" applyAlignment="1">
      <alignment horizontal="center" vertical="center"/>
    </xf>
    <xf numFmtId="166" fontId="2" fillId="26" borderId="89" xfId="47" applyNumberFormat="1" applyFill="1" applyBorder="1" applyAlignment="1">
      <alignment horizontal="center" vertical="center"/>
    </xf>
    <xf numFmtId="166" fontId="2" fillId="26" borderId="92" xfId="47" applyNumberFormat="1" applyFill="1" applyBorder="1" applyAlignment="1">
      <alignment horizontal="center" vertical="center"/>
    </xf>
    <xf numFmtId="166" fontId="2" fillId="26" borderId="84" xfId="47" applyNumberFormat="1" applyFill="1" applyBorder="1" applyAlignment="1">
      <alignment horizontal="center" vertical="center"/>
    </xf>
    <xf numFmtId="0" fontId="30" fillId="26" borderId="90" xfId="47" applyFont="1" applyFill="1" applyBorder="1" applyAlignment="1">
      <alignment horizontal="left" vertical="top" wrapText="1"/>
    </xf>
    <xf numFmtId="0" fontId="30" fillId="26" borderId="0" xfId="47" applyFont="1" applyFill="1" applyAlignment="1">
      <alignment horizontal="left" vertical="top" wrapText="1"/>
    </xf>
    <xf numFmtId="0" fontId="30" fillId="26" borderId="91" xfId="47" applyFont="1" applyFill="1" applyBorder="1" applyAlignment="1">
      <alignment horizontal="left" vertical="top" wrapText="1"/>
    </xf>
    <xf numFmtId="0" fontId="30" fillId="26" borderId="93" xfId="47" applyFont="1" applyFill="1" applyBorder="1" applyAlignment="1">
      <alignment horizontal="left" vertical="top" wrapText="1"/>
    </xf>
    <xf numFmtId="0" fontId="30" fillId="26" borderId="94" xfId="47" applyFont="1" applyFill="1" applyBorder="1" applyAlignment="1">
      <alignment horizontal="left" vertical="top" wrapText="1"/>
    </xf>
    <xf numFmtId="0" fontId="30" fillId="26" borderId="95" xfId="47" applyFont="1" applyFill="1" applyBorder="1" applyAlignment="1">
      <alignment horizontal="left" vertical="top" wrapText="1"/>
    </xf>
    <xf numFmtId="166" fontId="2" fillId="26" borderId="97" xfId="47" applyNumberFormat="1" applyFill="1" applyBorder="1" applyAlignment="1">
      <alignment horizontal="center" vertical="center"/>
    </xf>
    <xf numFmtId="166" fontId="2" fillId="26" borderId="151" xfId="0" applyNumberFormat="1" applyFont="1" applyFill="1" applyBorder="1" applyAlignment="1">
      <alignment horizontal="center" vertical="center"/>
    </xf>
    <xf numFmtId="166" fontId="2" fillId="26" borderId="21" xfId="0" applyNumberFormat="1" applyFont="1" applyFill="1" applyBorder="1" applyAlignment="1">
      <alignment horizontal="center" vertical="center"/>
    </xf>
    <xf numFmtId="166" fontId="2" fillId="26" borderId="17" xfId="0" applyNumberFormat="1" applyFont="1" applyFill="1" applyBorder="1" applyAlignment="1">
      <alignment horizontal="left" vertical="top" wrapText="1"/>
    </xf>
    <xf numFmtId="166" fontId="2" fillId="26" borderId="18" xfId="0" applyNumberFormat="1" applyFont="1" applyFill="1" applyBorder="1" applyAlignment="1">
      <alignment horizontal="left" vertical="top" wrapText="1"/>
    </xf>
    <xf numFmtId="166" fontId="2" fillId="26" borderId="16" xfId="0" applyNumberFormat="1" applyFont="1" applyFill="1" applyBorder="1" applyAlignment="1">
      <alignment horizontal="left" vertical="top" wrapText="1"/>
    </xf>
    <xf numFmtId="166" fontId="2" fillId="26" borderId="21" xfId="0" applyNumberFormat="1" applyFont="1" applyFill="1" applyBorder="1" applyAlignment="1">
      <alignment horizontal="left" vertical="top" wrapText="1"/>
    </xf>
    <xf numFmtId="166" fontId="2" fillId="26" borderId="10" xfId="0" applyNumberFormat="1" applyFont="1" applyFill="1" applyBorder="1" applyAlignment="1">
      <alignment horizontal="left" vertical="top" wrapText="1"/>
    </xf>
    <xf numFmtId="166" fontId="2" fillId="26" borderId="17" xfId="0" applyNumberFormat="1" applyFont="1" applyFill="1" applyBorder="1" applyAlignment="1">
      <alignment horizontal="center" vertical="center"/>
    </xf>
    <xf numFmtId="166" fontId="2" fillId="26" borderId="23" xfId="0" applyNumberFormat="1" applyFont="1" applyFill="1" applyBorder="1" applyAlignment="1">
      <alignment horizontal="center" vertical="center"/>
    </xf>
    <xf numFmtId="166" fontId="2" fillId="26" borderId="100" xfId="0" applyNumberFormat="1" applyFont="1" applyFill="1" applyBorder="1" applyAlignment="1">
      <alignment horizontal="left" vertical="top" wrapText="1"/>
    </xf>
    <xf numFmtId="166" fontId="2" fillId="26" borderId="17" xfId="0" applyNumberFormat="1" applyFont="1" applyFill="1" applyBorder="1" applyAlignment="1">
      <alignment horizontal="center"/>
    </xf>
    <xf numFmtId="166" fontId="2" fillId="26" borderId="18" xfId="0" applyNumberFormat="1" applyFont="1" applyFill="1" applyBorder="1" applyAlignment="1">
      <alignment horizontal="center"/>
    </xf>
    <xf numFmtId="166" fontId="2" fillId="26" borderId="16" xfId="0" applyNumberFormat="1" applyFont="1" applyFill="1" applyBorder="1" applyAlignment="1">
      <alignment horizontal="center"/>
    </xf>
    <xf numFmtId="166" fontId="2" fillId="26" borderId="21" xfId="0" applyNumberFormat="1" applyFont="1" applyFill="1" applyBorder="1" applyAlignment="1">
      <alignment horizontal="center"/>
    </xf>
    <xf numFmtId="166" fontId="2" fillId="26" borderId="0" xfId="0" applyNumberFormat="1" applyFont="1" applyFill="1" applyAlignment="1">
      <alignment horizontal="center"/>
    </xf>
    <xf numFmtId="166" fontId="2" fillId="26" borderId="10" xfId="0" applyNumberFormat="1" applyFont="1" applyFill="1" applyBorder="1" applyAlignment="1">
      <alignment horizontal="center"/>
    </xf>
    <xf numFmtId="166" fontId="2" fillId="26" borderId="23" xfId="0" applyNumberFormat="1" applyFont="1" applyFill="1" applyBorder="1" applyAlignment="1">
      <alignment horizontal="center"/>
    </xf>
    <xf numFmtId="166" fontId="2" fillId="26" borderId="22" xfId="0" applyNumberFormat="1" applyFont="1" applyFill="1" applyBorder="1" applyAlignment="1">
      <alignment horizontal="center"/>
    </xf>
    <xf numFmtId="166" fontId="2" fillId="26" borderId="20" xfId="0" applyNumberFormat="1" applyFont="1" applyFill="1" applyBorder="1" applyAlignment="1">
      <alignment horizontal="center"/>
    </xf>
    <xf numFmtId="166" fontId="2" fillId="26" borderId="99" xfId="0" applyNumberFormat="1" applyFont="1" applyFill="1" applyBorder="1" applyAlignment="1">
      <alignment horizontal="center" vertical="center"/>
    </xf>
    <xf numFmtId="166" fontId="2" fillId="26" borderId="92" xfId="0" applyNumberFormat="1" applyFont="1" applyFill="1" applyBorder="1" applyAlignment="1">
      <alignment horizontal="center" vertical="center"/>
    </xf>
    <xf numFmtId="166" fontId="2" fillId="26" borderId="90" xfId="0" applyNumberFormat="1" applyFont="1" applyFill="1" applyBorder="1" applyAlignment="1">
      <alignment horizontal="center" vertical="top" wrapText="1"/>
    </xf>
    <xf numFmtId="166" fontId="2" fillId="26" borderId="0" xfId="0" applyNumberFormat="1" applyFont="1" applyFill="1" applyAlignment="1">
      <alignment horizontal="center" vertical="top" wrapText="1"/>
    </xf>
    <xf numFmtId="166" fontId="2" fillId="26" borderId="10" xfId="0" applyNumberFormat="1" applyFont="1" applyFill="1" applyBorder="1" applyAlignment="1">
      <alignment horizontal="center" vertical="top" wrapText="1"/>
    </xf>
    <xf numFmtId="166" fontId="2" fillId="26" borderId="84" xfId="0" applyNumberFormat="1" applyFont="1" applyFill="1" applyBorder="1" applyAlignment="1">
      <alignment horizontal="center" vertical="center"/>
    </xf>
    <xf numFmtId="166" fontId="2" fillId="26" borderId="85" xfId="0" applyNumberFormat="1" applyFont="1" applyFill="1" applyBorder="1" applyAlignment="1">
      <alignment horizontal="left" vertical="top" wrapText="1"/>
    </xf>
    <xf numFmtId="166" fontId="2" fillId="26" borderId="86" xfId="0" applyNumberFormat="1" applyFont="1" applyFill="1" applyBorder="1" applyAlignment="1">
      <alignment horizontal="left" vertical="top" wrapText="1"/>
    </xf>
    <xf numFmtId="166" fontId="2" fillId="26" borderId="87" xfId="0" applyNumberFormat="1" applyFont="1" applyFill="1" applyBorder="1" applyAlignment="1">
      <alignment horizontal="left" vertical="top" wrapText="1"/>
    </xf>
    <xf numFmtId="166" fontId="30" fillId="28" borderId="33" xfId="47" applyNumberFormat="1" applyFont="1" applyFill="1" applyBorder="1" applyAlignment="1">
      <alignment horizontal="left" vertical="center"/>
    </xf>
    <xf numFmtId="166" fontId="30" fillId="28" borderId="34" xfId="47" applyNumberFormat="1" applyFont="1" applyFill="1" applyBorder="1" applyAlignment="1">
      <alignment horizontal="left" vertical="center"/>
    </xf>
    <xf numFmtId="166" fontId="30" fillId="28" borderId="25" xfId="47" applyNumberFormat="1" applyFont="1" applyFill="1" applyBorder="1" applyAlignment="1">
      <alignment horizontal="left" vertical="center"/>
    </xf>
    <xf numFmtId="166" fontId="30" fillId="26" borderId="90" xfId="0" applyNumberFormat="1" applyFont="1" applyFill="1" applyBorder="1" applyAlignment="1">
      <alignment horizontal="left" vertical="top" wrapText="1"/>
    </xf>
    <xf numFmtId="166" fontId="30" fillId="26" borderId="0" xfId="0" applyNumberFormat="1" applyFont="1" applyFill="1" applyAlignment="1">
      <alignment horizontal="left" vertical="top" wrapText="1"/>
    </xf>
    <xf numFmtId="166" fontId="30" fillId="26" borderId="10" xfId="0" applyNumberFormat="1" applyFont="1" applyFill="1" applyBorder="1" applyAlignment="1">
      <alignment horizontal="left" vertical="top" wrapText="1"/>
    </xf>
    <xf numFmtId="0" fontId="23" fillId="0" borderId="15" xfId="0" applyFont="1" applyBorder="1" applyAlignment="1">
      <alignment horizontal="center" vertical="center" textRotation="90" wrapText="1"/>
    </xf>
    <xf numFmtId="0" fontId="23" fillId="0" borderId="12" xfId="0" applyFont="1" applyBorder="1" applyAlignment="1">
      <alignment horizontal="center" vertical="center" textRotation="90" wrapText="1"/>
    </xf>
    <xf numFmtId="0" fontId="23" fillId="0" borderId="19" xfId="0" applyFont="1" applyBorder="1" applyAlignment="1">
      <alignment horizontal="center" vertical="center" textRotation="90" wrapText="1"/>
    </xf>
    <xf numFmtId="0" fontId="2" fillId="0" borderId="17" xfId="0" applyFont="1" applyBorder="1" applyAlignment="1">
      <alignment horizontal="center" vertical="center"/>
    </xf>
    <xf numFmtId="0" fontId="2" fillId="0" borderId="18" xfId="0" applyFont="1" applyBorder="1" applyAlignment="1">
      <alignment horizontal="center" vertical="center"/>
    </xf>
    <xf numFmtId="0" fontId="2" fillId="0" borderId="16" xfId="0" applyFont="1" applyBorder="1" applyAlignment="1">
      <alignment horizontal="center" vertical="center"/>
    </xf>
    <xf numFmtId="0" fontId="2" fillId="0" borderId="10" xfId="0" applyFont="1" applyBorder="1" applyAlignment="1">
      <alignment horizontal="center" vertical="center"/>
    </xf>
    <xf numFmtId="0" fontId="2" fillId="0" borderId="23" xfId="0" applyFont="1" applyBorder="1" applyAlignment="1">
      <alignment horizontal="center" vertical="center"/>
    </xf>
    <xf numFmtId="0" fontId="2" fillId="0" borderId="20" xfId="0" applyFont="1" applyBorder="1" applyAlignment="1">
      <alignment horizontal="center" vertical="center"/>
    </xf>
    <xf numFmtId="0" fontId="30" fillId="0" borderId="21" xfId="0" applyFont="1" applyBorder="1" applyAlignment="1">
      <alignment horizontal="center" wrapText="1"/>
    </xf>
    <xf numFmtId="0" fontId="30" fillId="0" borderId="0" xfId="0" applyFont="1" applyAlignment="1">
      <alignment horizontal="center" wrapText="1"/>
    </xf>
    <xf numFmtId="0" fontId="30" fillId="0" borderId="10" xfId="0" applyFont="1" applyBorder="1" applyAlignment="1">
      <alignment horizontal="center" wrapText="1"/>
    </xf>
    <xf numFmtId="0" fontId="30" fillId="0" borderId="28" xfId="0" applyFont="1" applyBorder="1" applyAlignment="1">
      <alignment horizontal="center" wrapText="1"/>
    </xf>
    <xf numFmtId="0" fontId="30" fillId="0" borderId="31" xfId="0" applyFont="1" applyBorder="1" applyAlignment="1">
      <alignment horizontal="center" wrapText="1"/>
    </xf>
    <xf numFmtId="0" fontId="30" fillId="0" borderId="29" xfId="0" applyFont="1" applyBorder="1" applyAlignment="1">
      <alignment horizontal="center" wrapText="1"/>
    </xf>
    <xf numFmtId="0" fontId="21" fillId="0" borderId="0" xfId="0" applyFont="1" applyAlignment="1">
      <alignment horizontal="center" wrapText="1"/>
    </xf>
    <xf numFmtId="0" fontId="21" fillId="0" borderId="10" xfId="0" applyFont="1" applyBorder="1" applyAlignment="1">
      <alignment horizontal="center" wrapText="1"/>
    </xf>
    <xf numFmtId="0" fontId="21" fillId="0" borderId="21" xfId="0" applyFont="1" applyBorder="1" applyAlignment="1">
      <alignment horizontal="center" wrapText="1"/>
    </xf>
    <xf numFmtId="0" fontId="21" fillId="0" borderId="28" xfId="0" applyFont="1" applyBorder="1" applyAlignment="1">
      <alignment horizontal="center" wrapText="1"/>
    </xf>
    <xf numFmtId="0" fontId="21" fillId="0" borderId="31" xfId="0" applyFont="1" applyBorder="1" applyAlignment="1">
      <alignment horizontal="center" wrapText="1"/>
    </xf>
    <xf numFmtId="0" fontId="21" fillId="0" borderId="29" xfId="0" applyFont="1" applyBorder="1" applyAlignment="1">
      <alignment horizontal="center" wrapText="1"/>
    </xf>
    <xf numFmtId="0" fontId="2" fillId="0" borderId="21" xfId="0" applyFont="1" applyBorder="1" applyAlignment="1">
      <alignment wrapText="1"/>
    </xf>
    <xf numFmtId="0" fontId="2" fillId="0" borderId="0" xfId="0" applyFont="1" applyAlignment="1">
      <alignment wrapText="1"/>
    </xf>
    <xf numFmtId="0" fontId="2" fillId="0" borderId="10" xfId="0" applyFont="1" applyBorder="1" applyAlignment="1">
      <alignment wrapText="1"/>
    </xf>
    <xf numFmtId="0" fontId="2" fillId="0" borderId="33" xfId="0" applyFont="1" applyBorder="1" applyAlignment="1">
      <alignment horizontal="left" vertical="center" wrapText="1"/>
    </xf>
    <xf numFmtId="0" fontId="2" fillId="0" borderId="34" xfId="0" applyFont="1" applyBorder="1" applyAlignment="1">
      <alignment horizontal="left" vertical="center" wrapText="1"/>
    </xf>
    <xf numFmtId="0" fontId="2" fillId="0" borderId="25" xfId="0" applyFont="1" applyBorder="1" applyAlignment="1">
      <alignment horizontal="left" vertical="center" wrapText="1"/>
    </xf>
    <xf numFmtId="0" fontId="2" fillId="0" borderId="52" xfId="0" applyFont="1" applyBorder="1" applyAlignment="1">
      <alignment horizontal="left" vertical="center" wrapText="1" indent="10"/>
    </xf>
    <xf numFmtId="0" fontId="2" fillId="0" borderId="32" xfId="0" applyFont="1" applyBorder="1" applyAlignment="1">
      <alignment horizontal="left" vertical="center" indent="10"/>
    </xf>
    <xf numFmtId="0" fontId="23" fillId="26" borderId="33" xfId="47" applyFont="1" applyFill="1" applyBorder="1" applyAlignment="1">
      <alignment horizontal="left" vertical="center"/>
    </xf>
    <xf numFmtId="0" fontId="23" fillId="26" borderId="34" xfId="47" applyFont="1" applyFill="1" applyBorder="1" applyAlignment="1">
      <alignment horizontal="left" vertical="center"/>
    </xf>
    <xf numFmtId="0" fontId="23" fillId="26" borderId="25" xfId="47" applyFont="1" applyFill="1" applyBorder="1" applyAlignment="1">
      <alignment horizontal="left" vertical="center"/>
    </xf>
    <xf numFmtId="2" fontId="2" fillId="0" borderId="33" xfId="0" applyNumberFormat="1" applyFont="1" applyBorder="1" applyAlignment="1">
      <alignment horizontal="right" vertical="center" wrapText="1"/>
    </xf>
    <xf numFmtId="2" fontId="2" fillId="0" borderId="34" xfId="0" applyNumberFormat="1" applyFont="1" applyBorder="1" applyAlignment="1">
      <alignment horizontal="right" vertical="center" wrapText="1"/>
    </xf>
    <xf numFmtId="166" fontId="23" fillId="0" borderId="15" xfId="0" applyNumberFormat="1" applyFont="1" applyBorder="1" applyAlignment="1">
      <alignment horizontal="center" vertical="center" wrapText="1"/>
    </xf>
    <xf numFmtId="166" fontId="23" fillId="0" borderId="19" xfId="0" applyNumberFormat="1" applyFont="1" applyBorder="1" applyAlignment="1">
      <alignment horizontal="center" vertical="center" wrapText="1"/>
    </xf>
    <xf numFmtId="2" fontId="23" fillId="0" borderId="15" xfId="0" applyNumberFormat="1" applyFont="1" applyBorder="1" applyAlignment="1">
      <alignment horizontal="center" vertical="center" textRotation="90" wrapText="1"/>
    </xf>
    <xf numFmtId="2" fontId="23" fillId="0" borderId="12" xfId="0" applyNumberFormat="1" applyFont="1" applyBorder="1" applyAlignment="1">
      <alignment horizontal="center" vertical="center" textRotation="90" wrapText="1"/>
    </xf>
    <xf numFmtId="0" fontId="30" fillId="0" borderId="17" xfId="0" applyFont="1" applyBorder="1" applyAlignment="1">
      <alignment horizontal="justify" vertical="top" wrapText="1"/>
    </xf>
    <xf numFmtId="0" fontId="30" fillId="0" borderId="18" xfId="0" applyFont="1" applyBorder="1" applyAlignment="1">
      <alignment horizontal="justify" vertical="top" wrapText="1"/>
    </xf>
    <xf numFmtId="0" fontId="30" fillId="0" borderId="21" xfId="0" applyFont="1" applyBorder="1" applyAlignment="1">
      <alignment horizontal="justify" vertical="top" wrapText="1"/>
    </xf>
    <xf numFmtId="0" fontId="30" fillId="0" borderId="0" xfId="0" applyFont="1" applyAlignment="1">
      <alignment horizontal="justify" vertical="top" wrapText="1"/>
    </xf>
    <xf numFmtId="0" fontId="2" fillId="0" borderId="12" xfId="0" applyFont="1" applyBorder="1" applyAlignment="1">
      <alignment horizontal="left"/>
    </xf>
    <xf numFmtId="0" fontId="2" fillId="0" borderId="21" xfId="0" applyFont="1" applyBorder="1" applyAlignment="1">
      <alignment horizontal="justify" vertical="top" wrapText="1"/>
    </xf>
    <xf numFmtId="0" fontId="2" fillId="0" borderId="10" xfId="0" applyFont="1" applyBorder="1" applyAlignment="1">
      <alignment horizontal="justify" vertical="top" wrapText="1"/>
    </xf>
    <xf numFmtId="166" fontId="23" fillId="0" borderId="17" xfId="0" applyNumberFormat="1" applyFont="1" applyBorder="1" applyAlignment="1">
      <alignment horizontal="center" vertical="center"/>
    </xf>
    <xf numFmtId="166" fontId="23" fillId="0" borderId="16" xfId="0" applyNumberFormat="1" applyFont="1" applyBorder="1" applyAlignment="1">
      <alignment horizontal="center" vertical="center"/>
    </xf>
    <xf numFmtId="166" fontId="23" fillId="0" borderId="23" xfId="0" applyNumberFormat="1" applyFont="1" applyBorder="1" applyAlignment="1">
      <alignment horizontal="center" vertical="center"/>
    </xf>
    <xf numFmtId="166" fontId="23" fillId="0" borderId="20" xfId="0" applyNumberFormat="1" applyFont="1" applyBorder="1" applyAlignment="1">
      <alignment horizontal="center" vertical="center"/>
    </xf>
    <xf numFmtId="2" fontId="23" fillId="0" borderId="33" xfId="0" applyNumberFormat="1" applyFont="1" applyBorder="1" applyAlignment="1">
      <alignment horizontal="left" vertical="center" wrapText="1"/>
    </xf>
    <xf numFmtId="2" fontId="23" fillId="0" borderId="34" xfId="0" applyNumberFormat="1" applyFont="1" applyBorder="1" applyAlignment="1">
      <alignment horizontal="left" vertical="center" wrapText="1"/>
    </xf>
    <xf numFmtId="2" fontId="23" fillId="0" borderId="25" xfId="0" applyNumberFormat="1" applyFont="1" applyBorder="1" applyAlignment="1">
      <alignment horizontal="left" vertical="center" wrapText="1"/>
    </xf>
    <xf numFmtId="0" fontId="23" fillId="0" borderId="33" xfId="38" applyFont="1" applyBorder="1" applyAlignment="1">
      <alignment horizontal="left" vertical="center" wrapText="1"/>
    </xf>
    <xf numFmtId="0" fontId="23" fillId="0" borderId="34" xfId="38" applyFont="1" applyBorder="1" applyAlignment="1">
      <alignment horizontal="left" vertical="center" wrapText="1"/>
    </xf>
    <xf numFmtId="0" fontId="23" fillId="0" borderId="25" xfId="38" applyFont="1" applyBorder="1" applyAlignment="1">
      <alignment horizontal="left" vertical="center" wrapText="1"/>
    </xf>
    <xf numFmtId="2" fontId="2" fillId="0" borderId="24" xfId="0" applyNumberFormat="1" applyFont="1" applyBorder="1" applyAlignment="1">
      <alignment horizontal="right" vertical="center" wrapText="1"/>
    </xf>
    <xf numFmtId="0" fontId="23" fillId="0" borderId="24" xfId="0" applyFont="1" applyBorder="1" applyAlignment="1">
      <alignment horizontal="left" vertical="center" wrapText="1"/>
    </xf>
    <xf numFmtId="0" fontId="23" fillId="0" borderId="33" xfId="0" applyFont="1" applyBorder="1" applyAlignment="1">
      <alignment horizontal="left" vertical="center" wrapText="1"/>
    </xf>
    <xf numFmtId="0" fontId="23" fillId="0" borderId="34" xfId="0" applyFont="1" applyBorder="1" applyAlignment="1">
      <alignment horizontal="left" vertical="center" wrapText="1"/>
    </xf>
    <xf numFmtId="0" fontId="23" fillId="0" borderId="25" xfId="0" applyFont="1" applyBorder="1" applyAlignment="1">
      <alignment horizontal="left" vertical="center" wrapText="1"/>
    </xf>
    <xf numFmtId="166" fontId="52" fillId="27" borderId="0" xfId="47" applyNumberFormat="1" applyFont="1" applyFill="1" applyAlignment="1">
      <alignment horizontal="center"/>
    </xf>
  </cellXfs>
  <cellStyles count="50">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2" xfId="46" xr:uid="{00000000-0005-0000-0000-00001B000000}"/>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 2" xfId="37" xr:uid="{00000000-0005-0000-0000-000026000000}"/>
    <cellStyle name="Normal 2 2" xfId="47" xr:uid="{00000000-0005-0000-0000-000027000000}"/>
    <cellStyle name="Normal_Hies-05.02" xfId="48" xr:uid="{65E67D61-4F2A-2A48-A504-F84BB020769B}"/>
    <cellStyle name="Normal_Hies-2003.01.10_last_Mong08_F3_3B_Mon_Last" xfId="38" xr:uid="{00000000-0005-0000-0000-000029000000}"/>
    <cellStyle name="Normal_Housing-Form" xfId="39" xr:uid="{00000000-0005-0000-0000-00002A000000}"/>
    <cellStyle name="Normal_LSMS2002_mon" xfId="49" xr:uid="{7FB752CD-310A-2A49-AEF1-B6878917C8F2}"/>
    <cellStyle name="Normal_Self" xfId="40" xr:uid="{00000000-0005-0000-0000-00002C000000}"/>
    <cellStyle name="Note" xfId="41" builtinId="10" customBuiltin="1"/>
    <cellStyle name="Output" xfId="42" builtinId="21" customBuiltin="1"/>
    <cellStyle name="Title" xfId="43" builtinId="15" customBuiltin="1"/>
    <cellStyle name="Total" xfId="44" builtinId="25" customBuiltin="1"/>
    <cellStyle name="Warning Text" xfId="4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6.xml"/><Relationship Id="rId21" Type="http://schemas.openxmlformats.org/officeDocument/2006/relationships/externalLink" Target="externalLinks/externalLink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openxmlformats.org/officeDocument/2006/relationships/sharedStrings" Target="sharedStrings.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externalLink" Target="externalLinks/externalLink8.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externalLink" Target="externalLinks/externalLink7.xml"/><Relationship Id="rId30" Type="http://schemas.openxmlformats.org/officeDocument/2006/relationships/theme" Target="theme/theme1.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twoCellAnchor>
    <xdr:from>
      <xdr:col>9</xdr:col>
      <xdr:colOff>61914</xdr:colOff>
      <xdr:row>16</xdr:row>
      <xdr:rowOff>38099</xdr:rowOff>
    </xdr:from>
    <xdr:to>
      <xdr:col>10</xdr:col>
      <xdr:colOff>190503</xdr:colOff>
      <xdr:row>16</xdr:row>
      <xdr:rowOff>104775</xdr:rowOff>
    </xdr:to>
    <xdr:sp macro="" textlink="">
      <xdr:nvSpPr>
        <xdr:cNvPr id="2" name="Left Brace 1">
          <a:extLst>
            <a:ext uri="{FF2B5EF4-FFF2-40B4-BE49-F238E27FC236}">
              <a16:creationId xmlns:a16="http://schemas.microsoft.com/office/drawing/2014/main" id="{00000000-0008-0000-0300-000002000000}"/>
            </a:ext>
          </a:extLst>
        </xdr:cNvPr>
        <xdr:cNvSpPr/>
      </xdr:nvSpPr>
      <xdr:spPr>
        <a:xfrm rot="16200000">
          <a:off x="3707608" y="2345530"/>
          <a:ext cx="66676" cy="2043114"/>
        </a:xfrm>
        <a:prstGeom prst="leftBrace">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40006</xdr:colOff>
      <xdr:row>13</xdr:row>
      <xdr:rowOff>0</xdr:rowOff>
    </xdr:from>
    <xdr:to>
      <xdr:col>9</xdr:col>
      <xdr:colOff>85725</xdr:colOff>
      <xdr:row>22</xdr:row>
      <xdr:rowOff>142875</xdr:rowOff>
    </xdr:to>
    <xdr:sp macro="" textlink="">
      <xdr:nvSpPr>
        <xdr:cNvPr id="2" name="Right Brace 1">
          <a:extLst>
            <a:ext uri="{FF2B5EF4-FFF2-40B4-BE49-F238E27FC236}">
              <a16:creationId xmlns:a16="http://schemas.microsoft.com/office/drawing/2014/main" id="{00000000-0008-0000-0400-000002000000}"/>
            </a:ext>
          </a:extLst>
        </xdr:cNvPr>
        <xdr:cNvSpPr/>
      </xdr:nvSpPr>
      <xdr:spPr>
        <a:xfrm>
          <a:off x="3992881" y="2390775"/>
          <a:ext cx="45719" cy="1771650"/>
        </a:xfrm>
        <a:prstGeom prst="rightBrac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25</xdr:col>
      <xdr:colOff>28575</xdr:colOff>
      <xdr:row>6</xdr:row>
      <xdr:rowOff>95249</xdr:rowOff>
    </xdr:from>
    <xdr:to>
      <xdr:col>25</xdr:col>
      <xdr:colOff>95250</xdr:colOff>
      <xdr:row>22</xdr:row>
      <xdr:rowOff>133349</xdr:rowOff>
    </xdr:to>
    <xdr:sp macro="" textlink="">
      <xdr:nvSpPr>
        <xdr:cNvPr id="3" name="AutoShape 1">
          <a:extLst>
            <a:ext uri="{FF2B5EF4-FFF2-40B4-BE49-F238E27FC236}">
              <a16:creationId xmlns:a16="http://schemas.microsoft.com/office/drawing/2014/main" id="{00000000-0008-0000-0400-000003000000}"/>
            </a:ext>
          </a:extLst>
        </xdr:cNvPr>
        <xdr:cNvSpPr>
          <a:spLocks/>
        </xdr:cNvSpPr>
      </xdr:nvSpPr>
      <xdr:spPr bwMode="auto">
        <a:xfrm>
          <a:off x="11239500" y="1076324"/>
          <a:ext cx="66675" cy="2981325"/>
        </a:xfrm>
        <a:prstGeom prst="rightBrace">
          <a:avLst>
            <a:gd name="adj1" fmla="val 71783"/>
            <a:gd name="adj2" fmla="val 50000"/>
          </a:avLst>
        </a:prstGeom>
        <a:noFill/>
        <a:ln w="9525">
          <a:solidFill>
            <a:srgbClr val="000000"/>
          </a:solidFill>
          <a:round/>
          <a:headEnd/>
          <a:tailEnd/>
        </a:ln>
      </xdr:spPr>
    </xdr:sp>
    <xdr:clientData/>
  </xdr:twoCellAnchor>
  <xdr:twoCellAnchor>
    <xdr:from>
      <xdr:col>29</xdr:col>
      <xdr:colOff>19050</xdr:colOff>
      <xdr:row>7</xdr:row>
      <xdr:rowOff>47624</xdr:rowOff>
    </xdr:from>
    <xdr:to>
      <xdr:col>29</xdr:col>
      <xdr:colOff>104775</xdr:colOff>
      <xdr:row>22</xdr:row>
      <xdr:rowOff>123825</xdr:rowOff>
    </xdr:to>
    <xdr:sp macro="" textlink="">
      <xdr:nvSpPr>
        <xdr:cNvPr id="4" name="AutoShape 1">
          <a:extLst>
            <a:ext uri="{FF2B5EF4-FFF2-40B4-BE49-F238E27FC236}">
              <a16:creationId xmlns:a16="http://schemas.microsoft.com/office/drawing/2014/main" id="{00000000-0008-0000-0400-000004000000}"/>
            </a:ext>
          </a:extLst>
        </xdr:cNvPr>
        <xdr:cNvSpPr>
          <a:spLocks/>
        </xdr:cNvSpPr>
      </xdr:nvSpPr>
      <xdr:spPr bwMode="auto">
        <a:xfrm>
          <a:off x="13211175" y="1190624"/>
          <a:ext cx="85725" cy="2857501"/>
        </a:xfrm>
        <a:prstGeom prst="rightBrace">
          <a:avLst>
            <a:gd name="adj1" fmla="val 71783"/>
            <a:gd name="adj2" fmla="val 50000"/>
          </a:avLst>
        </a:prstGeom>
        <a:noFill/>
        <a:ln w="9525">
          <a:solidFill>
            <a:srgbClr val="000000"/>
          </a:solidFill>
          <a:round/>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23</xdr:col>
      <xdr:colOff>28575</xdr:colOff>
      <xdr:row>6</xdr:row>
      <xdr:rowOff>85725</xdr:rowOff>
    </xdr:from>
    <xdr:to>
      <xdr:col>23</xdr:col>
      <xdr:colOff>123825</xdr:colOff>
      <xdr:row>24</xdr:row>
      <xdr:rowOff>114299</xdr:rowOff>
    </xdr:to>
    <xdr:sp macro="" textlink="">
      <xdr:nvSpPr>
        <xdr:cNvPr id="2" name="AutoShape 1">
          <a:extLst>
            <a:ext uri="{FF2B5EF4-FFF2-40B4-BE49-F238E27FC236}">
              <a16:creationId xmlns:a16="http://schemas.microsoft.com/office/drawing/2014/main" id="{00000000-0008-0000-0500-000002000000}"/>
            </a:ext>
          </a:extLst>
        </xdr:cNvPr>
        <xdr:cNvSpPr>
          <a:spLocks/>
        </xdr:cNvSpPr>
      </xdr:nvSpPr>
      <xdr:spPr bwMode="auto">
        <a:xfrm>
          <a:off x="13439775" y="1057275"/>
          <a:ext cx="95250" cy="2943224"/>
        </a:xfrm>
        <a:prstGeom prst="rightBrace">
          <a:avLst>
            <a:gd name="adj1" fmla="val 71783"/>
            <a:gd name="adj2" fmla="val 50000"/>
          </a:avLst>
        </a:prstGeom>
        <a:noFill/>
        <a:ln w="9525">
          <a:solidFill>
            <a:srgbClr val="000000"/>
          </a:solidFill>
          <a:round/>
          <a:headEnd/>
          <a:tailEnd/>
        </a:ln>
      </xdr:spPr>
    </xdr:sp>
    <xdr:clientData/>
  </xdr:twoCellAnchor>
  <xdr:twoCellAnchor>
    <xdr:from>
      <xdr:col>8</xdr:col>
      <xdr:colOff>276225</xdr:colOff>
      <xdr:row>15</xdr:row>
      <xdr:rowOff>9524</xdr:rowOff>
    </xdr:from>
    <xdr:to>
      <xdr:col>9</xdr:col>
      <xdr:colOff>38100</xdr:colOff>
      <xdr:row>24</xdr:row>
      <xdr:rowOff>161923</xdr:rowOff>
    </xdr:to>
    <xdr:sp macro="" textlink="">
      <xdr:nvSpPr>
        <xdr:cNvPr id="4" name="AutoShape 1">
          <a:extLst>
            <a:ext uri="{FF2B5EF4-FFF2-40B4-BE49-F238E27FC236}">
              <a16:creationId xmlns:a16="http://schemas.microsoft.com/office/drawing/2014/main" id="{00000000-0008-0000-0500-000004000000}"/>
            </a:ext>
          </a:extLst>
        </xdr:cNvPr>
        <xdr:cNvSpPr>
          <a:spLocks/>
        </xdr:cNvSpPr>
      </xdr:nvSpPr>
      <xdr:spPr bwMode="auto">
        <a:xfrm>
          <a:off x="4257675" y="2524124"/>
          <a:ext cx="66675" cy="1695449"/>
        </a:xfrm>
        <a:prstGeom prst="rightBrace">
          <a:avLst>
            <a:gd name="adj1" fmla="val 71783"/>
            <a:gd name="adj2" fmla="val 50000"/>
          </a:avLst>
        </a:prstGeom>
        <a:noFill/>
        <a:ln w="9525">
          <a:solidFill>
            <a:srgbClr val="000000"/>
          </a:solidFill>
          <a:round/>
          <a:headEnd/>
          <a:tailEnd/>
        </a:ln>
      </xdr:spPr>
    </xdr:sp>
    <xdr:clientData/>
  </xdr:twoCellAnchor>
</xdr:wsDr>
</file>

<file path=xl/drawings/drawing4.xml><?xml version="1.0" encoding="utf-8"?>
<xdr:wsDr xmlns:xdr="http://schemas.openxmlformats.org/drawingml/2006/spreadsheetDrawing" xmlns:a="http://schemas.openxmlformats.org/drawingml/2006/main">
  <xdr:oneCellAnchor>
    <xdr:from>
      <xdr:col>13</xdr:col>
      <xdr:colOff>0</xdr:colOff>
      <xdr:row>0</xdr:row>
      <xdr:rowOff>0</xdr:rowOff>
    </xdr:from>
    <xdr:ext cx="76200" cy="38100"/>
    <xdr:sp macro="" textlink="">
      <xdr:nvSpPr>
        <xdr:cNvPr id="2" name="Text Box 215">
          <a:extLst>
            <a:ext uri="{FF2B5EF4-FFF2-40B4-BE49-F238E27FC236}">
              <a16:creationId xmlns:a16="http://schemas.microsoft.com/office/drawing/2014/main" id="{00000000-0008-0000-0700-000002000000}"/>
            </a:ext>
          </a:extLst>
        </xdr:cNvPr>
        <xdr:cNvSpPr txBox="1">
          <a:spLocks noChangeArrowheads="1"/>
        </xdr:cNvSpPr>
      </xdr:nvSpPr>
      <xdr:spPr bwMode="auto">
        <a:xfrm>
          <a:off x="7924800" y="0"/>
          <a:ext cx="76200" cy="38100"/>
        </a:xfrm>
        <a:prstGeom prst="rect">
          <a:avLst/>
        </a:prstGeom>
        <a:noFill/>
        <a:ln w="9525">
          <a:noFill/>
          <a:miter lim="800000"/>
          <a:headEnd/>
          <a:tailEnd/>
        </a:ln>
      </xdr:spPr>
    </xdr:sp>
    <xdr:clientData/>
  </xdr:oneCellAnchor>
  <xdr:oneCellAnchor>
    <xdr:from>
      <xdr:col>13</xdr:col>
      <xdr:colOff>0</xdr:colOff>
      <xdr:row>0</xdr:row>
      <xdr:rowOff>0</xdr:rowOff>
    </xdr:from>
    <xdr:ext cx="76200" cy="38100"/>
    <xdr:sp macro="" textlink="">
      <xdr:nvSpPr>
        <xdr:cNvPr id="3" name="Text Box 432">
          <a:extLst>
            <a:ext uri="{FF2B5EF4-FFF2-40B4-BE49-F238E27FC236}">
              <a16:creationId xmlns:a16="http://schemas.microsoft.com/office/drawing/2014/main" id="{00000000-0008-0000-0700-000003000000}"/>
            </a:ext>
          </a:extLst>
        </xdr:cNvPr>
        <xdr:cNvSpPr txBox="1">
          <a:spLocks noChangeArrowheads="1"/>
        </xdr:cNvSpPr>
      </xdr:nvSpPr>
      <xdr:spPr bwMode="auto">
        <a:xfrm>
          <a:off x="7924800" y="0"/>
          <a:ext cx="76200" cy="38100"/>
        </a:xfrm>
        <a:prstGeom prst="rect">
          <a:avLst/>
        </a:prstGeom>
        <a:noFill/>
        <a:ln w="9525">
          <a:noFill/>
          <a:miter lim="800000"/>
          <a:headEnd/>
          <a:tailEnd/>
        </a:ln>
      </xdr:spPr>
    </xdr:sp>
    <xdr:clientData/>
  </xdr:oneCellAnchor>
  <xdr:oneCellAnchor>
    <xdr:from>
      <xdr:col>13</xdr:col>
      <xdr:colOff>0</xdr:colOff>
      <xdr:row>21</xdr:row>
      <xdr:rowOff>190500</xdr:rowOff>
    </xdr:from>
    <xdr:ext cx="76200" cy="28575"/>
    <xdr:sp macro="" textlink="">
      <xdr:nvSpPr>
        <xdr:cNvPr id="4" name="Text Box 639">
          <a:extLst>
            <a:ext uri="{FF2B5EF4-FFF2-40B4-BE49-F238E27FC236}">
              <a16:creationId xmlns:a16="http://schemas.microsoft.com/office/drawing/2014/main" id="{00000000-0008-0000-0700-000004000000}"/>
            </a:ext>
          </a:extLst>
        </xdr:cNvPr>
        <xdr:cNvSpPr txBox="1">
          <a:spLocks noChangeArrowheads="1"/>
        </xdr:cNvSpPr>
      </xdr:nvSpPr>
      <xdr:spPr bwMode="auto">
        <a:xfrm>
          <a:off x="7924800" y="3724275"/>
          <a:ext cx="76200" cy="28575"/>
        </a:xfrm>
        <a:prstGeom prst="rect">
          <a:avLst/>
        </a:prstGeom>
        <a:noFill/>
        <a:ln w="9525">
          <a:noFill/>
          <a:miter lim="800000"/>
          <a:headEnd/>
          <a:tailEnd/>
        </a:ln>
      </xdr:spPr>
    </xdr:sp>
    <xdr:clientData/>
  </xdr:oneCellAnchor>
  <xdr:oneCellAnchor>
    <xdr:from>
      <xdr:col>11</xdr:col>
      <xdr:colOff>0</xdr:colOff>
      <xdr:row>0</xdr:row>
      <xdr:rowOff>0</xdr:rowOff>
    </xdr:from>
    <xdr:ext cx="76200" cy="38100"/>
    <xdr:sp macro="" textlink="">
      <xdr:nvSpPr>
        <xdr:cNvPr id="5" name="Text Box 215">
          <a:extLst>
            <a:ext uri="{FF2B5EF4-FFF2-40B4-BE49-F238E27FC236}">
              <a16:creationId xmlns:a16="http://schemas.microsoft.com/office/drawing/2014/main" id="{00000000-0008-0000-0700-000005000000}"/>
            </a:ext>
          </a:extLst>
        </xdr:cNvPr>
        <xdr:cNvSpPr txBox="1">
          <a:spLocks noChangeArrowheads="1"/>
        </xdr:cNvSpPr>
      </xdr:nvSpPr>
      <xdr:spPr bwMode="auto">
        <a:xfrm>
          <a:off x="6705600" y="0"/>
          <a:ext cx="76200" cy="38100"/>
        </a:xfrm>
        <a:prstGeom prst="rect">
          <a:avLst/>
        </a:prstGeom>
        <a:noFill/>
        <a:ln w="9525">
          <a:noFill/>
          <a:miter lim="800000"/>
          <a:headEnd/>
          <a:tailEnd/>
        </a:ln>
      </xdr:spPr>
    </xdr:sp>
    <xdr:clientData/>
  </xdr:oneCellAnchor>
  <xdr:oneCellAnchor>
    <xdr:from>
      <xdr:col>11</xdr:col>
      <xdr:colOff>0</xdr:colOff>
      <xdr:row>0</xdr:row>
      <xdr:rowOff>0</xdr:rowOff>
    </xdr:from>
    <xdr:ext cx="76200" cy="38100"/>
    <xdr:sp macro="" textlink="">
      <xdr:nvSpPr>
        <xdr:cNvPr id="6" name="Text Box 432">
          <a:extLst>
            <a:ext uri="{FF2B5EF4-FFF2-40B4-BE49-F238E27FC236}">
              <a16:creationId xmlns:a16="http://schemas.microsoft.com/office/drawing/2014/main" id="{00000000-0008-0000-0700-000006000000}"/>
            </a:ext>
          </a:extLst>
        </xdr:cNvPr>
        <xdr:cNvSpPr txBox="1">
          <a:spLocks noChangeArrowheads="1"/>
        </xdr:cNvSpPr>
      </xdr:nvSpPr>
      <xdr:spPr bwMode="auto">
        <a:xfrm>
          <a:off x="6705600" y="0"/>
          <a:ext cx="76200" cy="38100"/>
        </a:xfrm>
        <a:prstGeom prst="rect">
          <a:avLst/>
        </a:prstGeom>
        <a:noFill/>
        <a:ln w="9525">
          <a:noFill/>
          <a:miter lim="800000"/>
          <a:headEnd/>
          <a:tailEnd/>
        </a:ln>
      </xdr:spPr>
    </xdr:sp>
    <xdr:clientData/>
  </xdr:oneCellAnchor>
  <xdr:oneCellAnchor>
    <xdr:from>
      <xdr:col>11</xdr:col>
      <xdr:colOff>0</xdr:colOff>
      <xdr:row>21</xdr:row>
      <xdr:rowOff>190500</xdr:rowOff>
    </xdr:from>
    <xdr:ext cx="76200" cy="28575"/>
    <xdr:sp macro="" textlink="">
      <xdr:nvSpPr>
        <xdr:cNvPr id="7" name="Text Box 639">
          <a:extLst>
            <a:ext uri="{FF2B5EF4-FFF2-40B4-BE49-F238E27FC236}">
              <a16:creationId xmlns:a16="http://schemas.microsoft.com/office/drawing/2014/main" id="{00000000-0008-0000-0700-000007000000}"/>
            </a:ext>
          </a:extLst>
        </xdr:cNvPr>
        <xdr:cNvSpPr txBox="1">
          <a:spLocks noChangeArrowheads="1"/>
        </xdr:cNvSpPr>
      </xdr:nvSpPr>
      <xdr:spPr bwMode="auto">
        <a:xfrm>
          <a:off x="6705600" y="3724275"/>
          <a:ext cx="76200" cy="28575"/>
        </a:xfrm>
        <a:prstGeom prst="rect">
          <a:avLst/>
        </a:prstGeom>
        <a:noFill/>
        <a:ln w="9525">
          <a:noFill/>
          <a:miter lim="800000"/>
          <a:headEnd/>
          <a:tailEnd/>
        </a:ln>
      </xdr:spPr>
    </xdr:sp>
    <xdr:clientData/>
  </xdr:oneCellAnchor>
  <xdr:oneCellAnchor>
    <xdr:from>
      <xdr:col>23</xdr:col>
      <xdr:colOff>466725</xdr:colOff>
      <xdr:row>0</xdr:row>
      <xdr:rowOff>9525</xdr:rowOff>
    </xdr:from>
    <xdr:ext cx="76200" cy="38100"/>
    <xdr:sp macro="" textlink="">
      <xdr:nvSpPr>
        <xdr:cNvPr id="8" name="Text Box 432">
          <a:extLst>
            <a:ext uri="{FF2B5EF4-FFF2-40B4-BE49-F238E27FC236}">
              <a16:creationId xmlns:a16="http://schemas.microsoft.com/office/drawing/2014/main" id="{00000000-0008-0000-0700-000008000000}"/>
            </a:ext>
          </a:extLst>
        </xdr:cNvPr>
        <xdr:cNvSpPr txBox="1">
          <a:spLocks noChangeArrowheads="1"/>
        </xdr:cNvSpPr>
      </xdr:nvSpPr>
      <xdr:spPr bwMode="auto">
        <a:xfrm>
          <a:off x="15097125" y="9525"/>
          <a:ext cx="76200" cy="38100"/>
        </a:xfrm>
        <a:prstGeom prst="rect">
          <a:avLst/>
        </a:prstGeom>
        <a:noFill/>
        <a:ln w="9525">
          <a:noFill/>
          <a:miter lim="800000"/>
          <a:headEnd/>
          <a:tailEnd/>
        </a:ln>
      </xdr:spPr>
    </xdr:sp>
    <xdr:clientData/>
  </xdr:oneCellAnchor>
  <xdr:twoCellAnchor>
    <xdr:from>
      <xdr:col>37</xdr:col>
      <xdr:colOff>28575</xdr:colOff>
      <xdr:row>10</xdr:row>
      <xdr:rowOff>28576</xdr:rowOff>
    </xdr:from>
    <xdr:to>
      <xdr:col>37</xdr:col>
      <xdr:colOff>123825</xdr:colOff>
      <xdr:row>27</xdr:row>
      <xdr:rowOff>133350</xdr:rowOff>
    </xdr:to>
    <xdr:sp macro="" textlink="">
      <xdr:nvSpPr>
        <xdr:cNvPr id="9" name="AutoShape 1">
          <a:extLst>
            <a:ext uri="{FF2B5EF4-FFF2-40B4-BE49-F238E27FC236}">
              <a16:creationId xmlns:a16="http://schemas.microsoft.com/office/drawing/2014/main" id="{00000000-0008-0000-0700-000009000000}"/>
            </a:ext>
          </a:extLst>
        </xdr:cNvPr>
        <xdr:cNvSpPr>
          <a:spLocks/>
        </xdr:cNvSpPr>
      </xdr:nvSpPr>
      <xdr:spPr bwMode="auto">
        <a:xfrm>
          <a:off x="19173825" y="1790701"/>
          <a:ext cx="95250" cy="3019424"/>
        </a:xfrm>
        <a:prstGeom prst="rightBrace">
          <a:avLst>
            <a:gd name="adj1" fmla="val 71783"/>
            <a:gd name="adj2" fmla="val 50000"/>
          </a:avLst>
        </a:prstGeom>
        <a:noFill/>
        <a:ln w="9525">
          <a:solidFill>
            <a:srgbClr val="000000"/>
          </a:solidFill>
          <a:round/>
          <a:headEnd/>
          <a:tailEnd/>
        </a:ln>
      </xdr:spPr>
    </xdr:sp>
    <xdr:clientData/>
  </xdr:twoCellAnchor>
  <xdr:twoCellAnchor>
    <xdr:from>
      <xdr:col>29</xdr:col>
      <xdr:colOff>9526</xdr:colOff>
      <xdr:row>18</xdr:row>
      <xdr:rowOff>57150</xdr:rowOff>
    </xdr:from>
    <xdr:to>
      <xdr:col>29</xdr:col>
      <xdr:colOff>66675</xdr:colOff>
      <xdr:row>21</xdr:row>
      <xdr:rowOff>161925</xdr:rowOff>
    </xdr:to>
    <xdr:sp macro="" textlink="">
      <xdr:nvSpPr>
        <xdr:cNvPr id="10" name="AutoShape 1">
          <a:extLst>
            <a:ext uri="{FF2B5EF4-FFF2-40B4-BE49-F238E27FC236}">
              <a16:creationId xmlns:a16="http://schemas.microsoft.com/office/drawing/2014/main" id="{00000000-0008-0000-0700-00000A000000}"/>
            </a:ext>
          </a:extLst>
        </xdr:cNvPr>
        <xdr:cNvSpPr>
          <a:spLocks/>
        </xdr:cNvSpPr>
      </xdr:nvSpPr>
      <xdr:spPr bwMode="auto">
        <a:xfrm>
          <a:off x="14478001" y="3181350"/>
          <a:ext cx="57149" cy="619125"/>
        </a:xfrm>
        <a:prstGeom prst="rightBrace">
          <a:avLst>
            <a:gd name="adj1" fmla="val 71783"/>
            <a:gd name="adj2" fmla="val 50000"/>
          </a:avLst>
        </a:prstGeom>
        <a:noFill/>
        <a:ln w="9525">
          <a:solidFill>
            <a:srgbClr val="000000"/>
          </a:solidFill>
          <a:round/>
          <a:headEnd/>
          <a:tailEnd/>
        </a:ln>
      </xdr:spPr>
    </xdr:sp>
    <xdr:clientData/>
  </xdr:twoCellAnchor>
  <xdr:oneCellAnchor>
    <xdr:from>
      <xdr:col>63</xdr:col>
      <xdr:colOff>0</xdr:colOff>
      <xdr:row>0</xdr:row>
      <xdr:rowOff>0</xdr:rowOff>
    </xdr:from>
    <xdr:ext cx="76200" cy="38100"/>
    <xdr:sp macro="" textlink="">
      <xdr:nvSpPr>
        <xdr:cNvPr id="11" name="Text Box 215">
          <a:extLst>
            <a:ext uri="{FF2B5EF4-FFF2-40B4-BE49-F238E27FC236}">
              <a16:creationId xmlns:a16="http://schemas.microsoft.com/office/drawing/2014/main" id="{00000000-0008-0000-0700-00000B000000}"/>
            </a:ext>
          </a:extLst>
        </xdr:cNvPr>
        <xdr:cNvSpPr txBox="1">
          <a:spLocks noChangeArrowheads="1"/>
        </xdr:cNvSpPr>
      </xdr:nvSpPr>
      <xdr:spPr bwMode="auto">
        <a:xfrm>
          <a:off x="41452800" y="0"/>
          <a:ext cx="76200" cy="38100"/>
        </a:xfrm>
        <a:prstGeom prst="rect">
          <a:avLst/>
        </a:prstGeom>
        <a:noFill/>
        <a:ln w="9525">
          <a:noFill/>
          <a:miter lim="800000"/>
          <a:headEnd/>
          <a:tailEnd/>
        </a:ln>
      </xdr:spPr>
    </xdr:sp>
    <xdr:clientData/>
  </xdr:oneCellAnchor>
  <xdr:oneCellAnchor>
    <xdr:from>
      <xdr:col>63</xdr:col>
      <xdr:colOff>0</xdr:colOff>
      <xdr:row>0</xdr:row>
      <xdr:rowOff>0</xdr:rowOff>
    </xdr:from>
    <xdr:ext cx="76200" cy="38100"/>
    <xdr:sp macro="" textlink="">
      <xdr:nvSpPr>
        <xdr:cNvPr id="12" name="Text Box 432">
          <a:extLst>
            <a:ext uri="{FF2B5EF4-FFF2-40B4-BE49-F238E27FC236}">
              <a16:creationId xmlns:a16="http://schemas.microsoft.com/office/drawing/2014/main" id="{00000000-0008-0000-0700-00000C000000}"/>
            </a:ext>
          </a:extLst>
        </xdr:cNvPr>
        <xdr:cNvSpPr txBox="1">
          <a:spLocks noChangeArrowheads="1"/>
        </xdr:cNvSpPr>
      </xdr:nvSpPr>
      <xdr:spPr bwMode="auto">
        <a:xfrm>
          <a:off x="41452800" y="0"/>
          <a:ext cx="76200" cy="38100"/>
        </a:xfrm>
        <a:prstGeom prst="rect">
          <a:avLst/>
        </a:prstGeom>
        <a:noFill/>
        <a:ln w="9525">
          <a:noFill/>
          <a:miter lim="800000"/>
          <a:headEnd/>
          <a:tailEnd/>
        </a:ln>
      </xdr:spPr>
    </xdr:sp>
    <xdr:clientData/>
  </xdr:oneCellAnchor>
  <xdr:oneCellAnchor>
    <xdr:from>
      <xdr:col>63</xdr:col>
      <xdr:colOff>0</xdr:colOff>
      <xdr:row>21</xdr:row>
      <xdr:rowOff>190500</xdr:rowOff>
    </xdr:from>
    <xdr:ext cx="76200" cy="28575"/>
    <xdr:sp macro="" textlink="">
      <xdr:nvSpPr>
        <xdr:cNvPr id="13" name="Text Box 639">
          <a:extLst>
            <a:ext uri="{FF2B5EF4-FFF2-40B4-BE49-F238E27FC236}">
              <a16:creationId xmlns:a16="http://schemas.microsoft.com/office/drawing/2014/main" id="{00000000-0008-0000-0700-00000D000000}"/>
            </a:ext>
          </a:extLst>
        </xdr:cNvPr>
        <xdr:cNvSpPr txBox="1">
          <a:spLocks noChangeArrowheads="1"/>
        </xdr:cNvSpPr>
      </xdr:nvSpPr>
      <xdr:spPr bwMode="auto">
        <a:xfrm>
          <a:off x="41452800" y="3724275"/>
          <a:ext cx="76200" cy="28575"/>
        </a:xfrm>
        <a:prstGeom prst="rect">
          <a:avLst/>
        </a:prstGeom>
        <a:noFill/>
        <a:ln w="9525">
          <a:noFill/>
          <a:miter lim="800000"/>
          <a:headEnd/>
          <a:tailEnd/>
        </a:ln>
      </xdr:spPr>
    </xdr:sp>
    <xdr:clientData/>
  </xdr:oneCellAnchor>
  <xdr:twoCellAnchor>
    <xdr:from>
      <xdr:col>60</xdr:col>
      <xdr:colOff>28576</xdr:colOff>
      <xdr:row>15</xdr:row>
      <xdr:rowOff>9525</xdr:rowOff>
    </xdr:from>
    <xdr:to>
      <xdr:col>60</xdr:col>
      <xdr:colOff>74295</xdr:colOff>
      <xdr:row>27</xdr:row>
      <xdr:rowOff>123825</xdr:rowOff>
    </xdr:to>
    <xdr:sp macro="" textlink="">
      <xdr:nvSpPr>
        <xdr:cNvPr id="16" name="AutoShape 1">
          <a:extLst>
            <a:ext uri="{FF2B5EF4-FFF2-40B4-BE49-F238E27FC236}">
              <a16:creationId xmlns:a16="http://schemas.microsoft.com/office/drawing/2014/main" id="{00000000-0008-0000-0700-000010000000}"/>
            </a:ext>
          </a:extLst>
        </xdr:cNvPr>
        <xdr:cNvSpPr>
          <a:spLocks/>
        </xdr:cNvSpPr>
      </xdr:nvSpPr>
      <xdr:spPr bwMode="auto">
        <a:xfrm>
          <a:off x="36414076" y="2628900"/>
          <a:ext cx="45719" cy="2171700"/>
        </a:xfrm>
        <a:prstGeom prst="rightBrace">
          <a:avLst>
            <a:gd name="adj1" fmla="val 71783"/>
            <a:gd name="adj2" fmla="val 50000"/>
          </a:avLst>
        </a:prstGeom>
        <a:noFill/>
        <a:ln w="9525">
          <a:solidFill>
            <a:srgbClr val="000000"/>
          </a:solidFill>
          <a:round/>
          <a:headEnd/>
          <a:tailEnd/>
        </a:ln>
      </xdr:spPr>
    </xdr:sp>
    <xdr:clientData/>
  </xdr:twoCellAnchor>
  <xdr:twoCellAnchor>
    <xdr:from>
      <xdr:col>79</xdr:col>
      <xdr:colOff>28577</xdr:colOff>
      <xdr:row>15</xdr:row>
      <xdr:rowOff>9525</xdr:rowOff>
    </xdr:from>
    <xdr:to>
      <xdr:col>79</xdr:col>
      <xdr:colOff>76201</xdr:colOff>
      <xdr:row>27</xdr:row>
      <xdr:rowOff>123825</xdr:rowOff>
    </xdr:to>
    <xdr:sp macro="" textlink="">
      <xdr:nvSpPr>
        <xdr:cNvPr id="20" name="AutoShape 1">
          <a:extLst>
            <a:ext uri="{FF2B5EF4-FFF2-40B4-BE49-F238E27FC236}">
              <a16:creationId xmlns:a16="http://schemas.microsoft.com/office/drawing/2014/main" id="{00000000-0008-0000-0700-000014000000}"/>
            </a:ext>
          </a:extLst>
        </xdr:cNvPr>
        <xdr:cNvSpPr>
          <a:spLocks/>
        </xdr:cNvSpPr>
      </xdr:nvSpPr>
      <xdr:spPr bwMode="auto">
        <a:xfrm>
          <a:off x="51692177" y="2628900"/>
          <a:ext cx="47624" cy="2171700"/>
        </a:xfrm>
        <a:prstGeom prst="rightBrace">
          <a:avLst>
            <a:gd name="adj1" fmla="val 71783"/>
            <a:gd name="adj2" fmla="val 50000"/>
          </a:avLst>
        </a:prstGeom>
        <a:noFill/>
        <a:ln w="9525">
          <a:solidFill>
            <a:srgbClr val="000000"/>
          </a:solidFill>
          <a:round/>
          <a:headEnd/>
          <a:tailEnd/>
        </a:ln>
      </xdr:spPr>
    </xdr:sp>
    <xdr:clientData/>
  </xdr:twoCellAnchor>
  <xdr:twoCellAnchor>
    <xdr:from>
      <xdr:col>106</xdr:col>
      <xdr:colOff>28577</xdr:colOff>
      <xdr:row>15</xdr:row>
      <xdr:rowOff>38100</xdr:rowOff>
    </xdr:from>
    <xdr:to>
      <xdr:col>106</xdr:col>
      <xdr:colOff>76201</xdr:colOff>
      <xdr:row>27</xdr:row>
      <xdr:rowOff>123825</xdr:rowOff>
    </xdr:to>
    <xdr:sp macro="" textlink="">
      <xdr:nvSpPr>
        <xdr:cNvPr id="21" name="AutoShape 1">
          <a:extLst>
            <a:ext uri="{FF2B5EF4-FFF2-40B4-BE49-F238E27FC236}">
              <a16:creationId xmlns:a16="http://schemas.microsoft.com/office/drawing/2014/main" id="{00000000-0008-0000-0700-000015000000}"/>
            </a:ext>
          </a:extLst>
        </xdr:cNvPr>
        <xdr:cNvSpPr>
          <a:spLocks/>
        </xdr:cNvSpPr>
      </xdr:nvSpPr>
      <xdr:spPr bwMode="auto">
        <a:xfrm>
          <a:off x="73599677" y="2657475"/>
          <a:ext cx="47624" cy="2143125"/>
        </a:xfrm>
        <a:prstGeom prst="rightBrace">
          <a:avLst>
            <a:gd name="adj1" fmla="val 71783"/>
            <a:gd name="adj2" fmla="val 50000"/>
          </a:avLst>
        </a:prstGeom>
        <a:noFill/>
        <a:ln w="9525">
          <a:solidFill>
            <a:srgbClr val="000000"/>
          </a:solidFill>
          <a:round/>
          <a:headEnd/>
          <a:tailEnd/>
        </a:ln>
      </xdr:spPr>
    </xdr:sp>
    <xdr:clientData/>
  </xdr:twoCellAnchor>
</xdr:wsDr>
</file>

<file path=xl/drawings/drawing5.xml><?xml version="1.0" encoding="utf-8"?>
<xdr:wsDr xmlns:xdr="http://schemas.openxmlformats.org/drawingml/2006/spreadsheetDrawing" xmlns:a="http://schemas.openxmlformats.org/drawingml/2006/main">
  <xdr:twoCellAnchor>
    <xdr:from>
      <xdr:col>9</xdr:col>
      <xdr:colOff>19051</xdr:colOff>
      <xdr:row>7</xdr:row>
      <xdr:rowOff>19050</xdr:rowOff>
    </xdr:from>
    <xdr:to>
      <xdr:col>9</xdr:col>
      <xdr:colOff>64770</xdr:colOff>
      <xdr:row>18</xdr:row>
      <xdr:rowOff>152400</xdr:rowOff>
    </xdr:to>
    <xdr:sp macro="" textlink="">
      <xdr:nvSpPr>
        <xdr:cNvPr id="3" name="AutoShape 1">
          <a:extLst>
            <a:ext uri="{FF2B5EF4-FFF2-40B4-BE49-F238E27FC236}">
              <a16:creationId xmlns:a16="http://schemas.microsoft.com/office/drawing/2014/main" id="{00000000-0008-0000-0800-000003000000}"/>
            </a:ext>
          </a:extLst>
        </xdr:cNvPr>
        <xdr:cNvSpPr>
          <a:spLocks/>
        </xdr:cNvSpPr>
      </xdr:nvSpPr>
      <xdr:spPr bwMode="auto">
        <a:xfrm>
          <a:off x="3981451" y="1400175"/>
          <a:ext cx="45719" cy="2228850"/>
        </a:xfrm>
        <a:prstGeom prst="rightBrace">
          <a:avLst>
            <a:gd name="adj1" fmla="val 71783"/>
            <a:gd name="adj2" fmla="val 50000"/>
          </a:avLst>
        </a:prstGeom>
        <a:noFill/>
        <a:ln w="9525">
          <a:solidFill>
            <a:schemeClr val="tx1"/>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Amartuvshin/ganzaya/Folder2/Juan/Mongolia/Mong4/QUESTIONNAIRE.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exchange_server/4.&#1061;&#1199;&#1085;%20&#1072;&#1084;%20%20&#1085;&#1080;&#1081;&#1075;&#1084;&#1080;&#1081;&#1085;%20&#1089;&#1090;&#1072;&#1090;&#1080;&#1089;&#1090;&#1080;&#1082;&#1080;&#1081;&#1085;%20&#1075;&#1072;&#1079;&#1072;&#1088;/ses1/reform/bat/Documents%20and%20Settings/user1/Local%20Settings/Temp/Temporary%20Directory%201%20for%20Final%20English%20and%20Albanian%20HH%20Quest.zip/FINAL%20AP12%20ALBANIAN.xls?BD063568" TargetMode="External"/><Relationship Id="rId1" Type="http://schemas.openxmlformats.org/officeDocument/2006/relationships/externalLinkPath" Target="file:///\\BD063568\FINAL%20AP12%20ALBANIAN.xls" TargetMode="External"/></Relationships>
</file>

<file path=xl/externalLinks/_rels/externalLink3.xml.rels><?xml version="1.0" encoding="UTF-8" standalone="yes"?>
<Relationships xmlns="http://schemas.openxmlformats.org/package/2006/relationships"><Relationship Id="rId2" Type="http://schemas.microsoft.com/office/2019/04/relationships/externalLinkLongPath" Target="/exchange_server/4.&#1061;&#1199;&#1085;%20&#1072;&#1084;%20%20&#1085;&#1080;&#1081;&#1075;&#1084;&#1080;&#1081;&#1085;%20&#1089;&#1090;&#1072;&#1090;&#1080;&#1089;&#1090;&#1080;&#1082;&#1080;&#1081;&#1085;%20&#1075;&#1072;&#1079;&#1072;&#1088;/NSO/Documents%20and%20Settings/user1/Local%20Settings/Temp/Temporary%20Directory%201%20for%20Final%20English%20and%20Albanian%20HH%20Quest.zip/FINAL%20AP12%20ALBANIAN.xls?67A74934" TargetMode="External"/><Relationship Id="rId1" Type="http://schemas.openxmlformats.org/officeDocument/2006/relationships/externalLinkPath" Target="file:///\\67A74934\FINAL%20AP12%20ALBANIAN.xls" TargetMode="External"/></Relationships>
</file>

<file path=xl/externalLinks/_rels/externalLink4.xml.rels><?xml version="1.0" encoding="UTF-8" standalone="yes"?>
<Relationships xmlns="http://schemas.openxmlformats.org/package/2006/relationships"><Relationship Id="rId2" Type="http://schemas.microsoft.com/office/2019/04/relationships/externalLinkLongPath" Target="/exchange_server/4.&#1061;&#1199;&#1085;%20&#1072;&#1084;%20%20&#1085;&#1080;&#1081;&#1075;&#1084;&#1080;&#1081;&#1085;%20&#1089;&#1090;&#1072;&#1090;&#1080;&#1089;&#1090;&#1080;&#1082;&#1080;&#1081;&#1085;%20&#1075;&#1072;&#1079;&#1072;&#1088;/HSES/mayagt/2007Ques/Documents%20and%20Settings/user1/Local%20Settings/Temp/Temporary%20Directory%201%20for%20Final%20English%20and%20Albanian%20HH%20Quest.zip/FINAL%20AP12%20ALBANIAN.xls?D9E77B82" TargetMode="External"/><Relationship Id="rId1" Type="http://schemas.openxmlformats.org/officeDocument/2006/relationships/externalLinkPath" Target="file:///\\D9E77B82\FINAL%20AP12%20ALBANIAN.xls" TargetMode="External"/></Relationships>
</file>

<file path=xl/externalLinks/_rels/externalLink5.xml.rels><?xml version="1.0" encoding="UTF-8" standalone="yes"?>
<Relationships xmlns="http://schemas.openxmlformats.org/package/2006/relationships"><Relationship Id="rId2" Type="http://schemas.microsoft.com/office/2019/04/relationships/externalLinkLongPath" Target="/exchange_server/4.&#1061;&#1199;&#1085;%20&#1072;&#1084;%20%20&#1085;&#1080;&#1081;&#1075;&#1084;&#1080;&#1081;&#1085;%20&#1089;&#1090;&#1072;&#1090;&#1080;&#1089;&#1090;&#1080;&#1082;&#1080;&#1081;&#1085;%20&#1075;&#1072;&#1079;&#1072;&#1088;/share/Documents%20and%20Settings/user1/Local%20Settings/Temp/Temporary%20Directory%201%20for%20Final%20English%20and%20Albanian%20HH%20Quest.zip/FINAL%20AP12%20ALBANIAN.xls?BD65956C" TargetMode="External"/><Relationship Id="rId1" Type="http://schemas.openxmlformats.org/officeDocument/2006/relationships/externalLinkPath" Target="file:///\\BD65956C\FINAL%20AP12%20ALBANIAN.xls" TargetMode="External"/></Relationships>
</file>

<file path=xl/externalLinks/_rels/externalLink6.xml.rels><?xml version="1.0" encoding="UTF-8" standalone="yes"?>
<Relationships xmlns="http://schemas.openxmlformats.org/package/2006/relationships"><Relationship Id="rId2" Type="http://schemas.microsoft.com/office/2019/04/relationships/externalLinkLongPath" Target="/exchange_server/4.&#1061;&#1199;&#1085;%20&#1072;&#1084;%20%20&#1085;&#1080;&#1081;&#1075;&#1084;&#1080;&#1081;&#1085;%20&#1089;&#1090;&#1072;&#1090;&#1080;&#1089;&#1090;&#1080;&#1082;&#1080;&#1081;&#1085;%20&#1075;&#1072;&#1079;&#1072;&#1088;/ses1/reform/bat/share/Documents%20and%20Settings/user1/Local%20Settings/Temp/Temporary%20Directory%201%20for%20Final%20English%20and%20Albanian%20HH%20Quest.zip/FINAL%20AP12%20ALBANIAN.xls?D2FD30B2" TargetMode="External"/><Relationship Id="rId1" Type="http://schemas.openxmlformats.org/officeDocument/2006/relationships/externalLinkPath" Target="file:///\\D2FD30B2\FINAL%20AP12%20ALBANIAN.xls" TargetMode="External"/></Relationships>
</file>

<file path=xl/externalLinks/_rels/externalLink7.xml.rels><?xml version="1.0" encoding="UTF-8" standalone="yes"?>
<Relationships xmlns="http://schemas.openxmlformats.org/package/2006/relationships"><Relationship Id="rId2" Type="http://schemas.microsoft.com/office/2019/04/relationships/externalLinkLongPath" Target="file:///\\exchange_server\4.&#1061;&#1199;&#1085;%20&#1072;&#1084;%20%20&#1085;&#1080;&#1081;&#1075;&#1084;&#1080;&#1081;&#1085;%20&#1089;&#1090;&#1072;&#1090;&#1080;&#1089;&#1090;&#1080;&#1082;&#1080;&#1081;&#1085;%20&#1075;&#1072;&#1079;&#1072;&#1088;\HSES\mayagt\2007Ques\share\Documents%20and%20Settings\user1\Local%20Settings\Temp\Temporary%20Directory%201%20for%20Final%20English%20and%20Albanian%20HH%20Quest.zip\FINAL%20AP12%20ALBANIAN.xls?7CAEFAEA" TargetMode="External"/><Relationship Id="rId1" Type="http://schemas.openxmlformats.org/officeDocument/2006/relationships/externalLinkPath" Target="file:///\\7CAEFAEA\FINAL%20AP12%20ALBANIAN.xls" TargetMode="External"/></Relationships>
</file>

<file path=xl/externalLinks/_rels/externalLink8.xml.rels><?xml version="1.0" encoding="UTF-8" standalone="yes"?>
<Relationships xmlns="http://schemas.openxmlformats.org/package/2006/relationships"><Relationship Id="rId2" Type="http://schemas.microsoft.com/office/2019/04/relationships/externalLinkLongPath" Target="file:///\\exchange_server\4.&#1061;&#1199;&#1085;%20&#1072;&#1084;%20%20&#1085;&#1080;&#1081;&#1075;&#1084;&#1080;&#1081;&#1085;%20&#1089;&#1090;&#1072;&#1090;&#1080;&#1089;&#1090;&#1080;&#1082;&#1080;&#1081;&#1085;%20&#1075;&#1072;&#1079;&#1072;&#1088;\ses1\reform\bat\from\share\share\Documents%20and%20Settings\user1\Local%20Settings\Temp\Temporary%20Directory%201%20for%20Final%20English%20and%20Albanian%20HH%20Quest.zip\FINAL%20AP12%20ALBANIAN.xls?203F1863" TargetMode="External"/><Relationship Id="rId1" Type="http://schemas.openxmlformats.org/officeDocument/2006/relationships/externalLinkPath" Target="file:///\\203F1863\FINAL%20AP12%20ALBANIAN.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atabase_server/hansg/share/Documents%20and%20Settings/user1/Local%20Settings/Temp/Temporary%20Directory%201%20for%20Final%20English%20and%20Albanian%20HH%20Quest.zip/FINAL%20AP12%20ALBANIA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c"/>
      <sheetName val="01"/>
      <sheetName val="02"/>
      <sheetName val="housing"/>
      <sheetName val="ENG1"/>
      <sheetName val="ENG"/>
      <sheetName val="Part A "/>
      <sheetName val="Part B-MAIN7 "/>
      <sheetName val="Part C-SEC7"/>
      <sheetName val="Part D-MAIN 12"/>
      <sheetName val="Part E-SEC 12"/>
      <sheetName val="H-E-1"/>
      <sheetName val="HE"/>
      <sheetName val="H-E-2"/>
      <sheetName val="Beh-E"/>
      <sheetName val="St-B,tobacco&amp; alcoh"/>
      <sheetName val="Birth-E"/>
      <sheetName val="Birth-2-E"/>
      <sheetName val="RH-E"/>
      <sheetName val="Cont-E"/>
      <sheetName val="Time use -E"/>
      <sheetName val="Agr1"/>
      <sheetName val="Agr2"/>
      <sheetName val="livestock"/>
      <sheetName val="livestock-2"/>
      <sheetName val="nonfram1"/>
      <sheetName val="non farm"/>
      <sheetName val="income1"/>
      <sheetName val="income2"/>
      <sheetName val="rem exp"/>
      <sheetName val="saving"/>
      <sheetName val="credit"/>
      <sheetName val="pension"/>
      <sheetName val="price"/>
      <sheetName val="soc-eng"/>
      <sheetName val="food"/>
      <sheetName val="Sheet4"/>
      <sheetName val="nonfood"/>
      <sheetName val="durable"/>
      <sheetName val="03"/>
      <sheetName val="0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
      <sheetName val="upper HHROSTERINFO"/>
      <sheetName val="TABLE OF CONTENTS"/>
      <sheetName val="(1) HOUSEHOLD ROSTER"/>
      <sheetName val="(2) MIGRATION"/>
      <sheetName val="(3) DWELLING - A"/>
      <sheetName val="(3) DWELLING... - B"/>
      <sheetName val="(3) DWELLING... - C"/>
      <sheetName val="(4) EDUCATION - A "/>
      <sheetName val="(4) EDUCATION - B "/>
      <sheetName val="(5) HEALTH - A"/>
      <sheetName val="(5) HEALTH - B"/>
      <sheetName val="(6) FERTILITY - A "/>
      <sheetName val="(6) FERTILITY -  B "/>
      <sheetName val="(7) LABOUR - A"/>
      <sheetName val="(7) LABOUR - B"/>
      <sheetName val="(7) LABOUR -  C"/>
      <sheetName val="LABOUR-D"/>
      <sheetName val="(8) TRANSFERS... - A , B "/>
      <sheetName val="(8) TRANSFERS... - C"/>
      <sheetName val="(9) SUBJECTIVE POVERTY"/>
      <sheetName val="ROSTER INFORMATION"/>
      <sheetName val="(11) NONFOOD - A "/>
      <sheetName val="(11) NONFOOD - B"/>
      <sheetName val="(11) NONFOOD - C"/>
      <sheetName val="(12) AGRICULTURE - A1 to A3"/>
      <sheetName val="(12) AGRICULTURE -B"/>
      <sheetName val="(12) AGRICULTURE - C"/>
      <sheetName val="(12) AGRICULTURE - D"/>
      <sheetName val="(12) AGRICULTURE - E&amp;F"/>
      <sheetName val="(13) NONFARM - A "/>
      <sheetName val="(13) NONFARM- B&amp;c"/>
      <sheetName val="(13) NONFARM - D"/>
      <sheetName val="(13) NONFARM - E "/>
      <sheetName val="(14) OTHER INCOME"/>
      <sheetName val="(15) ANTHROPOM-A"/>
      <sheetName val="(15) ANTHROPOM-B"/>
      <sheetName val="FLAP OF HH MEMBERS"/>
    </sheetNames>
    <sheetDataSet>
      <sheetData sheetId="0" refreshError="1"/>
      <sheetData sheetId="1" refreshError="1"/>
      <sheetData sheetId="2" refreshError="1"/>
      <sheetData sheetId="3">
        <row r="1">
          <cell r="B1" t="str">
            <v>MODULE 1: PERBERJA FAMILJARE</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
      <sheetName val="upper HHROSTERINFO"/>
      <sheetName val="TABLE OF CONTENTS"/>
      <sheetName val="(1) HOUSEHOLD ROSTER"/>
      <sheetName val="(2) MIGRATION"/>
      <sheetName val="(3) DWELLING - A"/>
      <sheetName val="(3) DWELLING... - B"/>
      <sheetName val="(3) DWELLING... - C"/>
      <sheetName val="(4) EDUCATION - A "/>
      <sheetName val="(4) EDUCATION - B "/>
      <sheetName val="(5) HEALTH - A"/>
      <sheetName val="(5) HEALTH - B"/>
      <sheetName val="(6) FERTILITY - A "/>
      <sheetName val="(6) FERTILITY -  B "/>
      <sheetName val="(7) LABOUR - A"/>
      <sheetName val="(7) LABOUR - B"/>
      <sheetName val="(7) LABOUR -  C"/>
      <sheetName val="LABOUR-D"/>
      <sheetName val="(8) TRANSFERS... - A , B "/>
      <sheetName val="(8) TRANSFERS... - C"/>
      <sheetName val="(9) SUBJECTIVE POVERTY"/>
      <sheetName val="ROSTER INFORMATION"/>
      <sheetName val="(11) NONFOOD - A "/>
      <sheetName val="(11) NONFOOD - B"/>
      <sheetName val="(11) NONFOOD - C"/>
      <sheetName val="(12) AGRICULTURE - A1 to A3"/>
      <sheetName val="(12) AGRICULTURE -B"/>
      <sheetName val="(12) AGRICULTURE - C"/>
      <sheetName val="(12) AGRICULTURE - D"/>
      <sheetName val="(12) AGRICULTURE - E&amp;F"/>
      <sheetName val="(13) NONFARM - A "/>
      <sheetName val="(13) NONFARM- B&amp;c"/>
      <sheetName val="(13) NONFARM - D"/>
      <sheetName val="(13) NONFARM - E "/>
      <sheetName val="(14) OTHER INCOME"/>
      <sheetName val="(15) ANTHROPOM-A"/>
      <sheetName val="(15) ANTHROPOM-B"/>
      <sheetName val="FLAP OF HH MEMBERS"/>
    </sheetNames>
    <sheetDataSet>
      <sheetData sheetId="0" refreshError="1"/>
      <sheetData sheetId="1" refreshError="1"/>
      <sheetData sheetId="2" refreshError="1"/>
      <sheetData sheetId="3">
        <row r="1">
          <cell r="B1" t="str">
            <v>MODULE 1: PERBERJA FAMILJARE</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
      <sheetName val="upper HHROSTERINFO"/>
      <sheetName val="TABLE OF CONTENTS"/>
      <sheetName val="(1) HOUSEHOLD ROSTER"/>
      <sheetName val="(2) MIGRATION"/>
      <sheetName val="(3) DWELLING - A"/>
      <sheetName val="(3) DWELLING... - B"/>
      <sheetName val="(3) DWELLING... - C"/>
      <sheetName val="(4) EDUCATION - A "/>
      <sheetName val="(4) EDUCATION - B "/>
      <sheetName val="(5) HEALTH - A"/>
      <sheetName val="(5) HEALTH - B"/>
      <sheetName val="(6) FERTILITY - A "/>
      <sheetName val="(6) FERTILITY -  B "/>
      <sheetName val="(7) LABOUR - A"/>
      <sheetName val="(7) LABOUR - B"/>
      <sheetName val="(7) LABOUR -  C"/>
      <sheetName val="LABOUR-D"/>
      <sheetName val="(8) TRANSFERS... - A , B "/>
      <sheetName val="(8) TRANSFERS... - C"/>
      <sheetName val="(9) SUBJECTIVE POVERTY"/>
      <sheetName val="ROSTER INFORMATION"/>
      <sheetName val="(11) NONFOOD - A "/>
      <sheetName val="(11) NONFOOD - B"/>
      <sheetName val="(11) NONFOOD - C"/>
      <sheetName val="(12) AGRICULTURE - A1 to A3"/>
      <sheetName val="(12) AGRICULTURE -B"/>
      <sheetName val="(12) AGRICULTURE - C"/>
      <sheetName val="(12) AGRICULTURE - D"/>
      <sheetName val="(12) AGRICULTURE - E&amp;F"/>
      <sheetName val="(13) NONFARM - A "/>
      <sheetName val="(13) NONFARM- B&amp;c"/>
      <sheetName val="(13) NONFARM - D"/>
      <sheetName val="(13) NONFARM - E "/>
      <sheetName val="(14) OTHER INCOME"/>
      <sheetName val="(15) ANTHROPOM-A"/>
      <sheetName val="(15) ANTHROPOM-B"/>
      <sheetName val="FLAP OF HH MEMBERS"/>
    </sheetNames>
    <sheetDataSet>
      <sheetData sheetId="0" refreshError="1"/>
      <sheetData sheetId="1" refreshError="1"/>
      <sheetData sheetId="2" refreshError="1"/>
      <sheetData sheetId="3">
        <row r="1">
          <cell r="B1" t="str">
            <v>MODULE 1: PERBERJA FAMILJARE</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
      <sheetName val="upper HHROSTERINFO"/>
      <sheetName val="TABLE OF CONTENTS"/>
      <sheetName val="(1) HOUSEHOLD ROSTER"/>
      <sheetName val="(2) MIGRATION"/>
      <sheetName val="(3) DWELLING - A"/>
      <sheetName val="(3) DWELLING... - B"/>
      <sheetName val="(3) DWELLING... - C"/>
      <sheetName val="(4) EDUCATION - A "/>
      <sheetName val="(4) EDUCATION - B "/>
      <sheetName val="(5) HEALTH - A"/>
      <sheetName val="(5) HEALTH - B"/>
      <sheetName val="(6) FERTILITY - A "/>
      <sheetName val="(6) FERTILITY -  B "/>
      <sheetName val="(7) LABOUR - A"/>
      <sheetName val="(7) LABOUR - B"/>
      <sheetName val="(7) LABOUR -  C"/>
      <sheetName val="LABOUR-D"/>
      <sheetName val="(8) TRANSFERS... - A , B "/>
      <sheetName val="(8) TRANSFERS... - C"/>
      <sheetName val="(9) SUBJECTIVE POVERTY"/>
      <sheetName val="ROSTER INFORMATION"/>
      <sheetName val="(11) NONFOOD - A "/>
      <sheetName val="(11) NONFOOD - B"/>
      <sheetName val="(11) NONFOOD - C"/>
      <sheetName val="(12) AGRICULTURE - A1 to A3"/>
      <sheetName val="(12) AGRICULTURE -B"/>
      <sheetName val="(12) AGRICULTURE - C"/>
      <sheetName val="(12) AGRICULTURE - D"/>
      <sheetName val="(12) AGRICULTURE - E&amp;F"/>
      <sheetName val="(13) NONFARM - A "/>
      <sheetName val="(13) NONFARM- B&amp;c"/>
      <sheetName val="(13) NONFARM - D"/>
      <sheetName val="(13) NONFARM - E "/>
      <sheetName val="(14) OTHER INCOME"/>
      <sheetName val="(15) ANTHROPOM-A"/>
      <sheetName val="(15) ANTHROPOM-B"/>
      <sheetName val="FLAP OF HH MEMBERS"/>
    </sheetNames>
    <sheetDataSet>
      <sheetData sheetId="0" refreshError="1"/>
      <sheetData sheetId="1" refreshError="1"/>
      <sheetData sheetId="2" refreshError="1"/>
      <sheetData sheetId="3">
        <row r="1">
          <cell r="B1" t="str">
            <v>MODULE 1: PERBERJA FAMILJARE</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
      <sheetName val="upper HHROSTERINFO"/>
      <sheetName val="TABLE OF CONTENTS"/>
      <sheetName val="(1) HOUSEHOLD ROSTER"/>
      <sheetName val="(2) MIGRATION"/>
      <sheetName val="(3) DWELLING - A"/>
      <sheetName val="(3) DWELLING... - B"/>
      <sheetName val="(3) DWELLING... - C"/>
      <sheetName val="(4) EDUCATION - A "/>
      <sheetName val="(4) EDUCATION - B "/>
      <sheetName val="(5) HEALTH - A"/>
      <sheetName val="(5) HEALTH - B"/>
      <sheetName val="(6) FERTILITY - A "/>
      <sheetName val="(6) FERTILITY -  B "/>
      <sheetName val="(7) LABOUR - A"/>
      <sheetName val="(7) LABOUR - B"/>
      <sheetName val="(7) LABOUR -  C"/>
      <sheetName val="LABOUR-D"/>
      <sheetName val="(8) TRANSFERS... - A , B "/>
      <sheetName val="(8) TRANSFERS... - C"/>
      <sheetName val="(9) SUBJECTIVE POVERTY"/>
      <sheetName val="ROSTER INFORMATION"/>
      <sheetName val="(11) NONFOOD - A "/>
      <sheetName val="(11) NONFOOD - B"/>
      <sheetName val="(11) NONFOOD - C"/>
      <sheetName val="(12) AGRICULTURE - A1 to A3"/>
      <sheetName val="(12) AGRICULTURE -B"/>
      <sheetName val="(12) AGRICULTURE - C"/>
      <sheetName val="(12) AGRICULTURE - D"/>
      <sheetName val="(12) AGRICULTURE - E&amp;F"/>
      <sheetName val="(13) NONFARM - A "/>
      <sheetName val="(13) NONFARM- B&amp;c"/>
      <sheetName val="(13) NONFARM - D"/>
      <sheetName val="(13) NONFARM - E "/>
      <sheetName val="(14) OTHER INCOME"/>
      <sheetName val="(15) ANTHROPOM-A"/>
      <sheetName val="(15) ANTHROPOM-B"/>
      <sheetName val="FLAP OF HH MEMBERS"/>
    </sheetNames>
    <sheetDataSet>
      <sheetData sheetId="0" refreshError="1"/>
      <sheetData sheetId="1" refreshError="1"/>
      <sheetData sheetId="2" refreshError="1"/>
      <sheetData sheetId="3">
        <row r="1">
          <cell r="B1" t="str">
            <v>MODULE 1: PERBERJA FAMILJARE</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
      <sheetName val="upper HHROSTERINFO"/>
      <sheetName val="TABLE OF CONTENTS"/>
      <sheetName val="(1) HOUSEHOLD ROSTER"/>
      <sheetName val="(2) MIGRATION"/>
      <sheetName val="(3) DWELLING - A"/>
      <sheetName val="(3) DWELLING... - B"/>
      <sheetName val="(3) DWELLING... - C"/>
      <sheetName val="(4) EDUCATION - A "/>
      <sheetName val="(4) EDUCATION - B "/>
      <sheetName val="(5) HEALTH - A"/>
      <sheetName val="(5) HEALTH - B"/>
      <sheetName val="(6) FERTILITY - A "/>
      <sheetName val="(6) FERTILITY -  B "/>
      <sheetName val="(7) LABOUR - A"/>
      <sheetName val="(7) LABOUR - B"/>
      <sheetName val="(7) LABOUR -  C"/>
      <sheetName val="LABOUR-D"/>
      <sheetName val="(8) TRANSFERS... - A , B "/>
      <sheetName val="(8) TRANSFERS... - C"/>
      <sheetName val="(9) SUBJECTIVE POVERTY"/>
      <sheetName val="ROSTER INFORMATION"/>
      <sheetName val="(11) NONFOOD - A "/>
      <sheetName val="(11) NONFOOD - B"/>
      <sheetName val="(11) NONFOOD - C"/>
      <sheetName val="(12) AGRICULTURE - A1 to A3"/>
      <sheetName val="(12) AGRICULTURE -B"/>
      <sheetName val="(12) AGRICULTURE - C"/>
      <sheetName val="(12) AGRICULTURE - D"/>
      <sheetName val="(12) AGRICULTURE - E&amp;F"/>
      <sheetName val="(13) NONFARM - A "/>
      <sheetName val="(13) NONFARM- B&amp;c"/>
      <sheetName val="(13) NONFARM - D"/>
      <sheetName val="(13) NONFARM - E "/>
      <sheetName val="(14) OTHER INCOME"/>
      <sheetName val="(15) ANTHROPOM-A"/>
      <sheetName val="(15) ANTHROPOM-B"/>
      <sheetName val="FLAP OF HH MEMBERS"/>
    </sheetNames>
    <sheetDataSet>
      <sheetData sheetId="0" refreshError="1"/>
      <sheetData sheetId="1" refreshError="1"/>
      <sheetData sheetId="2" refreshError="1"/>
      <sheetData sheetId="3">
        <row r="1">
          <cell r="B1" t="str">
            <v>MODULE 1: PERBERJA FAMILJARE</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
      <sheetName val="upper HHROSTERINFO"/>
      <sheetName val="TABLE OF CONTENTS"/>
      <sheetName val="(1) HOUSEHOLD ROSTER"/>
      <sheetName val="(2) MIGRATION"/>
      <sheetName val="(3) DWELLING - A"/>
      <sheetName val="(3) DWELLING... - B"/>
      <sheetName val="(3) DWELLING... - C"/>
      <sheetName val="(4) EDUCATION - A "/>
      <sheetName val="(4) EDUCATION - B "/>
      <sheetName val="(5) HEALTH - A"/>
      <sheetName val="(5) HEALTH - B"/>
      <sheetName val="(6) FERTILITY - A "/>
      <sheetName val="(6) FERTILITY -  B "/>
      <sheetName val="(7) LABOUR - A"/>
      <sheetName val="(7) LABOUR - B"/>
      <sheetName val="(7) LABOUR -  C"/>
      <sheetName val="LABOUR-D"/>
      <sheetName val="(8) TRANSFERS... - A , B "/>
      <sheetName val="(8) TRANSFERS... - C"/>
      <sheetName val="(9) SUBJECTIVE POVERTY"/>
      <sheetName val="ROSTER INFORMATION"/>
      <sheetName val="(11) NONFOOD - A "/>
      <sheetName val="(11) NONFOOD - B"/>
      <sheetName val="(11) NONFOOD - C"/>
      <sheetName val="(12) AGRICULTURE - A1 to A3"/>
      <sheetName val="(12) AGRICULTURE -B"/>
      <sheetName val="(12) AGRICULTURE - C"/>
      <sheetName val="(12) AGRICULTURE - D"/>
      <sheetName val="(12) AGRICULTURE - E&amp;F"/>
      <sheetName val="(13) NONFARM - A "/>
      <sheetName val="(13) NONFARM- B&amp;c"/>
      <sheetName val="(13) NONFARM - D"/>
      <sheetName val="(13) NONFARM - E "/>
      <sheetName val="(14) OTHER INCOME"/>
      <sheetName val="(15) ANTHROPOM-A"/>
      <sheetName val="(15) ANTHROPOM-B"/>
      <sheetName val="FLAP OF HH MEMBERS"/>
    </sheetNames>
    <sheetDataSet>
      <sheetData sheetId="0" refreshError="1"/>
      <sheetData sheetId="1" refreshError="1"/>
      <sheetData sheetId="2" refreshError="1"/>
      <sheetData sheetId="3">
        <row r="1">
          <cell r="B1" t="str">
            <v>MODULE 1: PERBERJA FAMILJARE</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
      <sheetName val="upper HHROSTERINFO"/>
      <sheetName val="TABLE OF CONTENTS"/>
      <sheetName val="(1) HOUSEHOLD ROSTER"/>
      <sheetName val="(2) MIGRATION"/>
      <sheetName val="(3) DWELLING - A"/>
      <sheetName val="(3) DWELLING... - B"/>
      <sheetName val="(3) DWELLING... - C"/>
      <sheetName val="(4) EDUCATION - A "/>
      <sheetName val="(4) EDUCATION - B "/>
      <sheetName val="(5) HEALTH - A"/>
      <sheetName val="(5) HEALTH - B"/>
      <sheetName val="(6) FERTILITY - A "/>
      <sheetName val="(6) FERTILITY -  B "/>
      <sheetName val="(7) LABOUR - A"/>
      <sheetName val="(7) LABOUR - B"/>
      <sheetName val="(7) LABOUR -  C"/>
      <sheetName val="LABOUR-D"/>
      <sheetName val="(8) TRANSFERS... - A , B "/>
      <sheetName val="(8) TRANSFERS... - C"/>
      <sheetName val="(9) SUBJECTIVE POVERTY"/>
      <sheetName val="ROSTER INFORMATION"/>
      <sheetName val="(11) NONFOOD - A "/>
      <sheetName val="(11) NONFOOD - B"/>
      <sheetName val="(11) NONFOOD - C"/>
      <sheetName val="(12) AGRICULTURE - A1 to A3"/>
      <sheetName val="(12) AGRICULTURE -B"/>
      <sheetName val="(12) AGRICULTURE - C"/>
      <sheetName val="(12) AGRICULTURE - D"/>
      <sheetName val="(12) AGRICULTURE - E&amp;F"/>
      <sheetName val="(13) NONFARM - A "/>
      <sheetName val="(13) NONFARM- B&amp;c"/>
      <sheetName val="(13) NONFARM - D"/>
      <sheetName val="(13) NONFARM - E "/>
      <sheetName val="(14) OTHER INCOME"/>
      <sheetName val="(15) ANTHROPOM-A"/>
      <sheetName val="(15) ANTHROPOM-B"/>
      <sheetName val="FLAP OF HH MEMBERS"/>
    </sheetNames>
    <sheetDataSet>
      <sheetData sheetId="0" refreshError="1"/>
      <sheetData sheetId="1" refreshError="1"/>
      <sheetData sheetId="2" refreshError="1"/>
      <sheetData sheetId="3">
        <row r="1">
          <cell r="B1" t="str">
            <v>MODULE 1: PERBERJA FAMILJARE</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persons/person.xml><?xml version="1.0" encoding="utf-8"?>
<personList xmlns="http://schemas.microsoft.com/office/spreadsheetml/2018/threadedcomments" xmlns:x="http://schemas.openxmlformats.org/spreadsheetml/2006/main">
  <person displayName="Ундрал Лхагва" id="{66A07443-56AF-4F04-9854-01AC57D03BA4}" userId="S::undral@nso.mn::fa678bce-c022-4a4d-8dea-831874768b42" providerId="AD"/>
  <person displayName="Мягмарханд Эрдэнэ-Очир" id="{6FF60242-00A2-40AA-AB81-5F49DBEF4F90}" userId="S::myagmarkhand@nso.mn::f2694b7e-aac6-431f-99bb-3d127f952813" providerId="AD"/>
  <person displayName="Цэрэнханд Жагир" id="{4EB62F37-4303-4C68-96B8-1EADF008FC6C}" userId="S::tserenkhand_j@nso.mn::826e25ae-1bd6-4004-b367-bc67a204b743"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X4" dT="2023-12-17T05:55:21.81" personId="{66A07443-56AF-4F04-9854-01AC57D03BA4}" id="{BE42714E-B24D-40AE-9C89-02DFB8FD0A38}">
    <text>I'm wondering if we need this question. People may have different ideas of what entails "migration", especially in the countryside. If the HH did not live in the soum since birth, then we could assume that they have migrated -- so we could use question 1.15</text>
  </threadedComment>
</ThreadedComments>
</file>

<file path=xl/threadedComments/threadedComment2.xml><?xml version="1.0" encoding="utf-8"?>
<ThreadedComments xmlns="http://schemas.microsoft.com/office/spreadsheetml/2018/threadedcomments" xmlns:x="http://schemas.openxmlformats.org/spreadsheetml/2006/main">
  <threadedComment ref="AH33" dT="2023-12-22T09:59:22.61" personId="{6FF60242-00A2-40AA-AB81-5F49DBEF4F90}" id="{52ECCADE-A52F-4D96-B96B-ECA8D92250CD}">
    <text>Мян.төг</text>
  </threadedComment>
</ThreadedComments>
</file>

<file path=xl/threadedComments/threadedComment3.xml><?xml version="1.0" encoding="utf-8"?>
<ThreadedComments xmlns="http://schemas.microsoft.com/office/spreadsheetml/2018/threadedcomments" xmlns:x="http://schemas.openxmlformats.org/spreadsheetml/2006/main">
  <threadedComment ref="AN173" dT="2023-12-17T10:39:31.53" personId="{66A07443-56AF-4F04-9854-01AC57D03BA4}" id="{B178ABAE-5ED6-4B80-BE04-9999C773233B}">
    <text>Lydia,  "no formal method" is sensitive option, so I replaced it "Other"</text>
  </threadedComment>
</ThreadedComments>
</file>

<file path=xl/threadedComments/threadedComment4.xml><?xml version="1.0" encoding="utf-8"?>
<ThreadedComments xmlns="http://schemas.microsoft.com/office/spreadsheetml/2018/threadedcomments" xmlns:x="http://schemas.openxmlformats.org/spreadsheetml/2006/main">
  <threadedComment ref="B40" dT="2023-12-22T10:10:55.09" personId="{6FF60242-00A2-40AA-AB81-5F49DBEF4F90}" id="{C3EE271C-A235-4EE4-AC76-7F8000DC094A}">
    <text>Энд 20литрийн баллонтой ус орох уу? Зөөврийн ус гэж оруулж болох уу. Гэр хорооллын зөөврийн усны ахуйн зориулалтаар ашигласан хэсэг энд орох уу?</text>
  </threadedComment>
</ThreadedComments>
</file>

<file path=xl/threadedComments/threadedComment5.xml><?xml version="1.0" encoding="utf-8"?>
<ThreadedComments xmlns="http://schemas.microsoft.com/office/spreadsheetml/2018/threadedcomments" xmlns:x="http://schemas.openxmlformats.org/spreadsheetml/2006/main">
  <threadedComment ref="B220" dT="2023-12-25T05:41:52.75" personId="{4EB62F37-4303-4C68-96B8-1EADF008FC6C}" id="{9093AC57-7FB2-4615-8F0C-ACE26DB1402A}">
    <text>Одоо үүнийг хэрэглэдэг айл өрх байхгүй сүүлийн үеийн бүтээгдэхүүнээр солих</text>
  </threadedComment>
  <threadedComment ref="B223" dT="2023-12-25T05:42:59.42" personId="{4EB62F37-4303-4C68-96B8-1EADF008FC6C}" id="{7528A3AE-4584-4C46-9086-E4B9636B4639}">
    <text>Магнитофон, систем хөгжим хасаад сүүлийн үеийн бүтээгдэхүүнээр солих</text>
  </threadedComment>
  <threadedComment ref="B225" dT="2023-12-25T05:43:27.70" personId="{4EB62F37-4303-4C68-96B8-1EADF008FC6C}" id="{F46AAFB5-861A-4560-B6A5-2878ADD25243}">
    <text>Үүнийг хэрэглэдэг өрх одоо байхгүй дээ</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7.bin"/><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10.bin"/><Relationship Id="rId4" Type="http://schemas.openxmlformats.org/officeDocument/2006/relationships/comments" Target="../comments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1.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2.bin"/><Relationship Id="rId4" Type="http://schemas.microsoft.com/office/2017/10/relationships/threadedComment" Target="../threadedComments/threadedComment2.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0.bin"/><Relationship Id="rId4" Type="http://schemas.microsoft.com/office/2017/10/relationships/threadedComment" Target="../threadedComments/threadedComment3.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 Id="rId5" Type="http://schemas.microsoft.com/office/2017/10/relationships/threadedComment" Target="../threadedComments/threadedComment4.xml"/><Relationship Id="rId4" Type="http://schemas.openxmlformats.org/officeDocument/2006/relationships/comments" Target="../comments5.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25.bin"/><Relationship Id="rId1" Type="http://schemas.openxmlformats.org/officeDocument/2006/relationships/printerSettings" Target="../printerSettings/printerSettings24.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26.bin"/><Relationship Id="rId4" Type="http://schemas.microsoft.com/office/2017/10/relationships/threadedComment" Target="../threadedComments/threadedComment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94F97-228A-754A-8394-B970B6BC0AFE}">
  <dimension ref="A1:AM58"/>
  <sheetViews>
    <sheetView view="pageBreakPreview" zoomScaleSheetLayoutView="100" workbookViewId="0">
      <selection activeCell="D28" sqref="D28"/>
    </sheetView>
  </sheetViews>
  <sheetFormatPr defaultColWidth="4.28515625" defaultRowHeight="12.75" customHeight="1"/>
  <cols>
    <col min="1" max="1" width="3.28515625" style="1154" customWidth="1"/>
    <col min="2" max="17" width="4.28515625" style="1154" customWidth="1"/>
    <col min="18" max="19" width="4.42578125" style="1154" customWidth="1"/>
    <col min="20" max="35" width="4.28515625" style="1154" customWidth="1"/>
    <col min="36" max="36" width="3.42578125" style="1154" customWidth="1"/>
    <col min="37" max="16384" width="4.28515625" style="1154"/>
  </cols>
  <sheetData>
    <row r="1" spans="1:39">
      <c r="A1" s="1355"/>
      <c r="B1" s="1356"/>
      <c r="C1" s="1356"/>
      <c r="D1" s="1356"/>
      <c r="E1" s="1356"/>
      <c r="F1" s="1356"/>
      <c r="G1" s="1356"/>
      <c r="H1" s="1356"/>
      <c r="I1" s="1356"/>
      <c r="J1" s="1356"/>
      <c r="K1" s="1356"/>
      <c r="L1" s="1356"/>
      <c r="M1" s="1356"/>
      <c r="N1" s="1356"/>
      <c r="O1" s="1356"/>
      <c r="P1" s="1356"/>
      <c r="Q1" s="1356"/>
      <c r="R1" s="1356"/>
      <c r="S1" s="1356"/>
      <c r="T1" s="1356"/>
      <c r="U1" s="1356"/>
      <c r="V1" s="1356"/>
      <c r="W1" s="1356"/>
      <c r="X1" s="1356"/>
      <c r="Y1" s="1356"/>
      <c r="Z1" s="1356"/>
      <c r="AA1" s="1356"/>
      <c r="AB1" s="1356"/>
      <c r="AC1" s="1356"/>
      <c r="AD1" s="1356"/>
      <c r="AE1" s="1356"/>
      <c r="AF1" s="1356"/>
      <c r="AG1" s="1356"/>
      <c r="AH1" s="1356"/>
      <c r="AI1" s="1356"/>
      <c r="AJ1" s="1357"/>
    </row>
    <row r="2" spans="1:39" ht="15.75">
      <c r="A2" s="1358"/>
      <c r="B2" s="571" t="s">
        <v>0</v>
      </c>
      <c r="C2" s="571"/>
      <c r="D2" s="571"/>
      <c r="P2" s="100"/>
      <c r="Q2" s="100"/>
      <c r="R2" s="100"/>
      <c r="S2" s="1154" t="s">
        <v>1678</v>
      </c>
      <c r="U2" s="100"/>
      <c r="W2" s="100"/>
      <c r="X2" s="100"/>
      <c r="Y2" s="100"/>
      <c r="AC2" s="100"/>
      <c r="AI2" s="1620" t="s">
        <v>1</v>
      </c>
      <c r="AJ2" s="1359"/>
    </row>
    <row r="3" spans="1:39">
      <c r="A3" s="1360"/>
      <c r="B3" s="1621" t="s">
        <v>2</v>
      </c>
      <c r="C3" s="1621"/>
      <c r="D3" s="1621"/>
      <c r="P3" s="1622"/>
      <c r="Q3" s="1622"/>
      <c r="R3" s="1622"/>
      <c r="S3" s="1154" t="s">
        <v>1679</v>
      </c>
      <c r="U3" s="1622"/>
      <c r="W3" s="1622"/>
      <c r="X3" s="1622"/>
      <c r="Y3" s="1622"/>
      <c r="AC3" s="1622"/>
      <c r="AF3" s="1623"/>
      <c r="AG3" s="1624"/>
      <c r="AH3" s="1624"/>
      <c r="AJ3" s="1359"/>
    </row>
    <row r="4" spans="1:39">
      <c r="A4" s="1360"/>
      <c r="E4" s="1625"/>
      <c r="T4" s="1622"/>
      <c r="U4" s="1622"/>
      <c r="W4" s="1622"/>
      <c r="X4" s="1622"/>
      <c r="Y4" s="1622"/>
      <c r="AC4" s="1622"/>
      <c r="AE4" s="1622"/>
      <c r="AF4" s="1622"/>
      <c r="AG4" s="1622"/>
      <c r="AH4" s="1622"/>
      <c r="AJ4" s="1359"/>
      <c r="AM4" s="1155"/>
    </row>
    <row r="5" spans="1:39" ht="18">
      <c r="A5" s="1360"/>
      <c r="B5" s="1908" t="s">
        <v>3</v>
      </c>
      <c r="C5" s="1908"/>
      <c r="D5" s="1908"/>
      <c r="E5" s="1908"/>
      <c r="F5" s="1908"/>
      <c r="G5" s="1908"/>
      <c r="H5" s="1908"/>
      <c r="I5" s="1908"/>
      <c r="J5" s="1908"/>
      <c r="K5" s="1908"/>
      <c r="L5" s="1908"/>
      <c r="M5" s="1908"/>
      <c r="N5" s="1908"/>
      <c r="O5" s="1908"/>
      <c r="P5" s="1908"/>
      <c r="Q5" s="1908"/>
      <c r="R5" s="1908"/>
      <c r="S5" s="1908"/>
      <c r="T5" s="1908"/>
      <c r="U5" s="1908"/>
      <c r="V5" s="1908"/>
      <c r="W5" s="1908"/>
      <c r="X5" s="1908"/>
      <c r="Y5" s="1908"/>
      <c r="Z5" s="1908"/>
      <c r="AA5" s="1908"/>
      <c r="AB5" s="1908"/>
      <c r="AC5" s="1908"/>
      <c r="AD5" s="1908"/>
      <c r="AE5" s="1908"/>
      <c r="AF5" s="1908"/>
      <c r="AG5" s="1908"/>
      <c r="AH5" s="1908"/>
      <c r="AI5" s="1908"/>
      <c r="AJ5" s="1359"/>
    </row>
    <row r="6" spans="1:39" ht="15.75">
      <c r="A6" s="1360"/>
      <c r="B6" s="1909" t="s">
        <v>4</v>
      </c>
      <c r="C6" s="1909"/>
      <c r="D6" s="1909"/>
      <c r="E6" s="1909"/>
      <c r="F6" s="1909"/>
      <c r="G6" s="1909"/>
      <c r="H6" s="1909"/>
      <c r="I6" s="1909"/>
      <c r="J6" s="1909"/>
      <c r="K6" s="1909"/>
      <c r="L6" s="1909"/>
      <c r="M6" s="1909"/>
      <c r="N6" s="1909"/>
      <c r="O6" s="1909"/>
      <c r="P6" s="1909"/>
      <c r="Q6" s="1909"/>
      <c r="R6" s="1909"/>
      <c r="S6" s="1909"/>
      <c r="T6" s="1909"/>
      <c r="U6" s="1909"/>
      <c r="V6" s="1909"/>
      <c r="W6" s="1909"/>
      <c r="X6" s="1909"/>
      <c r="Y6" s="1909"/>
      <c r="Z6" s="1909"/>
      <c r="AA6" s="1909"/>
      <c r="AB6" s="1909"/>
      <c r="AC6" s="1909"/>
      <c r="AD6" s="1909"/>
      <c r="AE6" s="1909"/>
      <c r="AF6" s="1909"/>
      <c r="AG6" s="1909"/>
      <c r="AH6" s="1909"/>
      <c r="AI6" s="1909"/>
      <c r="AJ6" s="1359"/>
    </row>
    <row r="7" spans="1:39">
      <c r="A7" s="1360"/>
      <c r="B7" s="1626"/>
      <c r="C7" s="1626"/>
      <c r="D7" s="1626"/>
      <c r="E7" s="1626"/>
      <c r="F7" s="1626"/>
      <c r="G7" s="1626"/>
      <c r="H7" s="1626"/>
      <c r="I7" s="1626"/>
      <c r="J7" s="1626"/>
      <c r="K7" s="1626"/>
      <c r="L7" s="1626"/>
      <c r="M7" s="1626"/>
      <c r="N7" s="1626"/>
      <c r="O7" s="1626"/>
      <c r="P7" s="1626"/>
      <c r="Q7" s="1626"/>
      <c r="R7" s="1626"/>
      <c r="S7" s="1626"/>
      <c r="T7" s="1626"/>
      <c r="U7" s="1626"/>
      <c r="V7" s="1626"/>
      <c r="W7" s="1626"/>
      <c r="X7" s="1626"/>
      <c r="Y7" s="1626"/>
      <c r="Z7" s="1626"/>
      <c r="AA7" s="1626"/>
      <c r="AB7" s="1626"/>
      <c r="AC7" s="1626"/>
      <c r="AD7" s="1626"/>
      <c r="AE7" s="1626"/>
      <c r="AF7" s="1626"/>
      <c r="AG7" s="1627"/>
      <c r="AH7" s="1627"/>
      <c r="AI7" s="1627"/>
      <c r="AJ7" s="1359"/>
    </row>
    <row r="8" spans="1:39" ht="12.75" customHeight="1">
      <c r="A8" s="1360"/>
      <c r="B8" s="1910" t="s">
        <v>5</v>
      </c>
      <c r="C8" s="1910"/>
      <c r="D8" s="1910"/>
      <c r="E8" s="1910"/>
      <c r="F8" s="1910"/>
      <c r="G8" s="1910"/>
      <c r="H8" s="1910"/>
      <c r="I8" s="1910"/>
      <c r="J8" s="1910"/>
      <c r="K8" s="1910"/>
      <c r="L8" s="1910"/>
      <c r="M8" s="1910"/>
      <c r="N8" s="1910"/>
      <c r="O8" s="1910"/>
      <c r="P8" s="1910"/>
      <c r="Q8" s="1628"/>
      <c r="R8" s="1628"/>
      <c r="S8" s="1628"/>
      <c r="U8" s="1629"/>
      <c r="AJ8" s="1359"/>
    </row>
    <row r="9" spans="1:39">
      <c r="A9" s="1360"/>
      <c r="B9" s="1154" t="s">
        <v>6</v>
      </c>
      <c r="T9" s="1629"/>
      <c r="U9" s="1629"/>
      <c r="AJ9" s="1359"/>
    </row>
    <row r="10" spans="1:39" ht="12.75" customHeight="1">
      <c r="A10" s="1360"/>
      <c r="E10" s="1156"/>
      <c r="F10" s="1156"/>
      <c r="G10" s="1156"/>
      <c r="H10" s="1156"/>
      <c r="I10" s="1156"/>
      <c r="J10" s="1156"/>
      <c r="K10" s="1156"/>
      <c r="L10" s="1156"/>
      <c r="M10" s="1156"/>
      <c r="N10" s="1156"/>
      <c r="O10" s="1156"/>
      <c r="P10" s="1156"/>
      <c r="Q10" s="1156"/>
      <c r="T10" s="1915" t="s">
        <v>7</v>
      </c>
      <c r="U10" s="1915"/>
      <c r="V10" s="1915"/>
      <c r="W10" s="1915"/>
      <c r="X10" s="1915"/>
      <c r="Y10" s="1915"/>
      <c r="Z10" s="1915"/>
      <c r="AA10" s="1915"/>
      <c r="AB10" s="1915"/>
      <c r="AC10" s="1915"/>
      <c r="AD10" s="1915"/>
      <c r="AE10" s="1915"/>
      <c r="AF10" s="1915"/>
      <c r="AG10" s="1915"/>
      <c r="AH10" s="1915"/>
      <c r="AI10" s="1915"/>
      <c r="AJ10" s="1359"/>
    </row>
    <row r="11" spans="1:39" ht="12.75" customHeight="1">
      <c r="A11" s="1360"/>
      <c r="B11" s="1154" t="s">
        <v>8</v>
      </c>
      <c r="P11" s="1910" t="s">
        <v>9</v>
      </c>
      <c r="Q11" s="1910"/>
      <c r="R11" s="1628"/>
      <c r="S11" s="1628"/>
      <c r="T11" s="1915"/>
      <c r="U11" s="1915"/>
      <c r="V11" s="1915"/>
      <c r="W11" s="1915"/>
      <c r="X11" s="1915"/>
      <c r="Y11" s="1915"/>
      <c r="Z11" s="1915"/>
      <c r="AA11" s="1915"/>
      <c r="AB11" s="1915"/>
      <c r="AC11" s="1915"/>
      <c r="AD11" s="1915"/>
      <c r="AE11" s="1915"/>
      <c r="AF11" s="1915"/>
      <c r="AG11" s="1915"/>
      <c r="AH11" s="1915"/>
      <c r="AI11" s="1915"/>
      <c r="AJ11" s="1359"/>
    </row>
    <row r="12" spans="1:39">
      <c r="A12" s="1360"/>
      <c r="P12" s="1156"/>
      <c r="Q12" s="1156"/>
      <c r="T12" s="1915"/>
      <c r="U12" s="1915"/>
      <c r="V12" s="1915"/>
      <c r="W12" s="1915"/>
      <c r="X12" s="1915"/>
      <c r="Y12" s="1915"/>
      <c r="Z12" s="1915"/>
      <c r="AA12" s="1915"/>
      <c r="AB12" s="1915"/>
      <c r="AC12" s="1915"/>
      <c r="AD12" s="1915"/>
      <c r="AE12" s="1915"/>
      <c r="AF12" s="1915"/>
      <c r="AG12" s="1915"/>
      <c r="AH12" s="1915"/>
      <c r="AI12" s="1915"/>
      <c r="AJ12" s="1359"/>
    </row>
    <row r="13" spans="1:39" ht="12.75" customHeight="1">
      <c r="A13" s="1360"/>
      <c r="B13" s="1154" t="s">
        <v>10</v>
      </c>
      <c r="T13" s="1915" t="s">
        <v>11</v>
      </c>
      <c r="U13" s="1915"/>
      <c r="V13" s="1915"/>
      <c r="W13" s="1915"/>
      <c r="X13" s="1915"/>
      <c r="Y13" s="1915"/>
      <c r="Z13" s="1915"/>
      <c r="AA13" s="1915"/>
      <c r="AB13" s="1915"/>
      <c r="AC13" s="1915"/>
      <c r="AD13" s="1915"/>
      <c r="AE13" s="1915"/>
      <c r="AF13" s="1915"/>
      <c r="AG13" s="1915"/>
      <c r="AH13" s="1915"/>
      <c r="AI13" s="1915"/>
      <c r="AJ13" s="1359"/>
    </row>
    <row r="14" spans="1:39">
      <c r="A14" s="1360"/>
      <c r="P14" s="1156"/>
      <c r="Q14" s="1156"/>
      <c r="T14" s="1915"/>
      <c r="U14" s="1915"/>
      <c r="V14" s="1915"/>
      <c r="W14" s="1915"/>
      <c r="X14" s="1915"/>
      <c r="Y14" s="1915"/>
      <c r="Z14" s="1915"/>
      <c r="AA14" s="1915"/>
      <c r="AB14" s="1915"/>
      <c r="AC14" s="1915"/>
      <c r="AD14" s="1915"/>
      <c r="AE14" s="1915"/>
      <c r="AF14" s="1915"/>
      <c r="AG14" s="1915"/>
      <c r="AH14" s="1915"/>
      <c r="AI14" s="1915"/>
      <c r="AJ14" s="1359"/>
    </row>
    <row r="15" spans="1:39">
      <c r="A15" s="1360"/>
      <c r="B15" s="1154" t="s">
        <v>12</v>
      </c>
      <c r="T15" s="1915"/>
      <c r="U15" s="1915"/>
      <c r="V15" s="1915"/>
      <c r="W15" s="1915"/>
      <c r="X15" s="1915"/>
      <c r="Y15" s="1915"/>
      <c r="Z15" s="1915"/>
      <c r="AA15" s="1915"/>
      <c r="AB15" s="1915"/>
      <c r="AC15" s="1915"/>
      <c r="AD15" s="1915"/>
      <c r="AE15" s="1915"/>
      <c r="AF15" s="1915"/>
      <c r="AG15" s="1915"/>
      <c r="AH15" s="1915"/>
      <c r="AI15" s="1915"/>
      <c r="AJ15" s="1359"/>
    </row>
    <row r="16" spans="1:39">
      <c r="A16" s="1360"/>
      <c r="P16" s="1156"/>
      <c r="Q16" s="1156"/>
      <c r="AJ16" s="1359"/>
      <c r="AM16" s="1161"/>
    </row>
    <row r="17" spans="1:39">
      <c r="A17" s="1360"/>
      <c r="B17" s="1154" t="s">
        <v>13</v>
      </c>
      <c r="T17" s="1154" t="s">
        <v>14</v>
      </c>
      <c r="AI17" s="1156"/>
      <c r="AJ17" s="1359"/>
      <c r="AM17" s="1161"/>
    </row>
    <row r="18" spans="1:39">
      <c r="A18" s="1360"/>
      <c r="D18" s="1154" t="s">
        <v>15</v>
      </c>
      <c r="P18" s="1630">
        <v>1</v>
      </c>
      <c r="Q18" s="1162"/>
      <c r="S18" s="1630"/>
      <c r="AJ18" s="1359"/>
      <c r="AM18" s="1161"/>
    </row>
    <row r="19" spans="1:39">
      <c r="A19" s="1360"/>
      <c r="D19" s="1154" t="s">
        <v>16</v>
      </c>
      <c r="P19" s="1630">
        <v>2</v>
      </c>
      <c r="Q19" s="1162"/>
      <c r="S19" s="1630"/>
      <c r="T19" s="1154" t="s">
        <v>17</v>
      </c>
      <c r="AF19" s="1156"/>
      <c r="AG19" s="1156"/>
      <c r="AH19" s="1156"/>
      <c r="AI19" s="1156"/>
      <c r="AJ19" s="1359"/>
      <c r="AM19" s="1161"/>
    </row>
    <row r="20" spans="1:39">
      <c r="A20" s="1360"/>
      <c r="D20" s="1154" t="s">
        <v>18</v>
      </c>
      <c r="P20" s="1630">
        <v>3</v>
      </c>
      <c r="Q20" s="1162"/>
      <c r="S20" s="1630"/>
      <c r="AJ20" s="1361"/>
      <c r="AM20" s="1161"/>
    </row>
    <row r="21" spans="1:39">
      <c r="A21" s="1360"/>
      <c r="D21" s="1154" t="s">
        <v>19</v>
      </c>
      <c r="P21" s="1630">
        <v>4</v>
      </c>
      <c r="Q21" s="1162"/>
      <c r="S21" s="1630"/>
      <c r="T21" s="1154" t="s">
        <v>20</v>
      </c>
      <c r="AG21" s="1157"/>
      <c r="AH21" s="1156"/>
      <c r="AI21" s="1156"/>
      <c r="AJ21" s="1359"/>
    </row>
    <row r="22" spans="1:39">
      <c r="A22" s="1360"/>
      <c r="P22" s="1630"/>
      <c r="Q22" s="1630"/>
      <c r="R22" s="1630"/>
      <c r="S22" s="1630"/>
      <c r="AH22" s="1628" t="s">
        <v>9</v>
      </c>
      <c r="AI22" s="1628"/>
      <c r="AJ22" s="1359"/>
    </row>
    <row r="23" spans="1:39">
      <c r="A23" s="1360"/>
      <c r="B23" s="1154" t="s">
        <v>21</v>
      </c>
      <c r="T23" s="1625" t="s">
        <v>22</v>
      </c>
      <c r="X23" s="1158"/>
      <c r="Y23" s="1158"/>
      <c r="Z23" s="1158"/>
      <c r="AA23" s="1158"/>
      <c r="AB23" s="1158"/>
      <c r="AC23" s="1159"/>
      <c r="AD23" s="1158"/>
      <c r="AE23" s="1158"/>
      <c r="AF23" s="1158"/>
      <c r="AG23" s="1160"/>
      <c r="AH23" s="1156"/>
      <c r="AI23" s="1156"/>
      <c r="AJ23" s="1359"/>
    </row>
    <row r="24" spans="1:39">
      <c r="A24" s="1360"/>
      <c r="D24" s="1166"/>
      <c r="E24" s="1166"/>
      <c r="F24" s="1166"/>
      <c r="G24" s="1166"/>
      <c r="H24" s="1166"/>
      <c r="I24" s="1166"/>
      <c r="J24" s="1166"/>
      <c r="K24" s="1166"/>
      <c r="L24" s="1166"/>
      <c r="M24" s="1166"/>
      <c r="N24" s="1166"/>
      <c r="O24" s="1166"/>
      <c r="P24" s="1166"/>
      <c r="Q24" s="1166"/>
      <c r="AJ24" s="1359"/>
    </row>
    <row r="25" spans="1:39">
      <c r="A25" s="1360"/>
      <c r="T25" s="1625" t="s">
        <v>23</v>
      </c>
      <c r="AA25" s="1158"/>
      <c r="AB25" s="1158"/>
      <c r="AC25" s="1159"/>
      <c r="AD25" s="1159"/>
      <c r="AE25" s="1159"/>
      <c r="AF25" s="1156"/>
      <c r="AG25" s="1156"/>
      <c r="AH25" s="1156"/>
      <c r="AI25" s="1156"/>
      <c r="AJ25" s="1359"/>
    </row>
    <row r="26" spans="1:39">
      <c r="A26" s="1360"/>
      <c r="B26" s="1631" t="s">
        <v>24</v>
      </c>
      <c r="C26" s="1631"/>
      <c r="D26" s="1631"/>
      <c r="E26" s="1155"/>
      <c r="F26" s="1155"/>
      <c r="G26" s="1155"/>
      <c r="AJ26" s="1359"/>
    </row>
    <row r="27" spans="1:39" ht="14.25">
      <c r="A27" s="1360"/>
      <c r="B27" s="1155"/>
      <c r="C27" s="1155"/>
      <c r="D27" s="1155"/>
      <c r="E27" s="1155"/>
      <c r="F27" s="1155"/>
      <c r="H27" s="1632" t="s">
        <v>25</v>
      </c>
      <c r="I27" s="1167" t="s">
        <v>26</v>
      </c>
      <c r="J27" s="1167" t="s">
        <v>26</v>
      </c>
      <c r="K27" s="1354" t="s">
        <v>27</v>
      </c>
      <c r="L27" s="1167" t="s">
        <v>26</v>
      </c>
      <c r="M27" s="1167" t="s">
        <v>26</v>
      </c>
      <c r="N27" s="1168" t="s">
        <v>28</v>
      </c>
      <c r="O27" s="1167" t="s">
        <v>26</v>
      </c>
      <c r="P27" s="1167" t="s">
        <v>26</v>
      </c>
      <c r="Q27" s="1167" t="s">
        <v>26</v>
      </c>
      <c r="R27" s="1619"/>
      <c r="S27" s="1619"/>
      <c r="T27" s="1155" t="s">
        <v>29</v>
      </c>
      <c r="W27" s="1633"/>
      <c r="Y27" s="1634"/>
      <c r="Z27" s="1634"/>
      <c r="AA27" s="1634"/>
      <c r="AB27" s="1634"/>
      <c r="AD27" s="1634"/>
      <c r="AE27" s="1619"/>
      <c r="AF27" s="1916" t="s">
        <v>30</v>
      </c>
      <c r="AG27" s="1916"/>
      <c r="AH27" s="1916" t="s">
        <v>31</v>
      </c>
      <c r="AI27" s="1916"/>
      <c r="AJ27" s="1359"/>
    </row>
    <row r="28" spans="1:39">
      <c r="A28" s="1360"/>
      <c r="B28" s="1155"/>
      <c r="C28" s="1155"/>
      <c r="D28" s="1155"/>
      <c r="E28" s="1155"/>
      <c r="F28" s="1155"/>
      <c r="H28" s="1632"/>
      <c r="Y28" s="1634"/>
      <c r="Z28" s="1634"/>
      <c r="AA28" s="1634"/>
      <c r="AB28" s="1634"/>
      <c r="AD28" s="1619"/>
      <c r="AE28" s="1163" t="s">
        <v>32</v>
      </c>
      <c r="AF28" s="1164"/>
      <c r="AG28" s="1165"/>
      <c r="AH28" s="1164"/>
      <c r="AI28" s="1165"/>
      <c r="AJ28" s="1359"/>
    </row>
    <row r="29" spans="1:39" ht="14.25">
      <c r="A29" s="1360"/>
      <c r="B29" s="1155"/>
      <c r="C29" s="1155"/>
      <c r="D29" s="1155"/>
      <c r="E29" s="1155"/>
      <c r="F29" s="1155"/>
      <c r="H29" s="1632" t="s">
        <v>33</v>
      </c>
      <c r="I29" s="1167" t="s">
        <v>26</v>
      </c>
      <c r="J29" s="1167" t="s">
        <v>26</v>
      </c>
      <c r="K29" s="1354" t="s">
        <v>27</v>
      </c>
      <c r="L29" s="1167" t="s">
        <v>26</v>
      </c>
      <c r="M29" s="1167" t="s">
        <v>26</v>
      </c>
      <c r="N29" s="1168" t="s">
        <v>28</v>
      </c>
      <c r="O29" s="1167" t="s">
        <v>26</v>
      </c>
      <c r="P29" s="1167" t="s">
        <v>26</v>
      </c>
      <c r="Q29" s="1167" t="s">
        <v>26</v>
      </c>
      <c r="R29" s="1619"/>
      <c r="S29" s="1619"/>
      <c r="W29" s="1633"/>
      <c r="Y29" s="1634"/>
      <c r="Z29" s="1634"/>
      <c r="AA29" s="1634"/>
      <c r="AB29" s="1634"/>
      <c r="AD29" s="1352"/>
      <c r="AE29" s="1634"/>
      <c r="AF29" s="1634"/>
      <c r="AG29" s="1634"/>
      <c r="AH29" s="1634"/>
      <c r="AI29" s="1634"/>
      <c r="AJ29" s="1359"/>
    </row>
    <row r="30" spans="1:39">
      <c r="A30" s="1360"/>
      <c r="W30" s="1633"/>
      <c r="X30" s="1634"/>
      <c r="Y30" s="1634"/>
      <c r="Z30" s="1634"/>
      <c r="AA30" s="1634"/>
      <c r="AB30" s="1634"/>
      <c r="AD30" s="1634"/>
      <c r="AE30" s="1619"/>
      <c r="AF30" s="1619" t="s">
        <v>30</v>
      </c>
      <c r="AG30" s="1619"/>
      <c r="AH30" s="1619" t="s">
        <v>31</v>
      </c>
      <c r="AI30" s="1619"/>
      <c r="AJ30" s="1359"/>
    </row>
    <row r="31" spans="1:39">
      <c r="A31" s="1360"/>
      <c r="B31" s="1154" t="s">
        <v>34</v>
      </c>
      <c r="I31" s="1157"/>
      <c r="J31" s="1156"/>
      <c r="K31" s="1156"/>
      <c r="L31" s="1156"/>
      <c r="M31" s="1156"/>
      <c r="N31" s="1156"/>
      <c r="O31" s="1156"/>
      <c r="P31" s="1156"/>
      <c r="Q31" s="1156"/>
      <c r="W31" s="1633"/>
      <c r="X31" s="1634"/>
      <c r="Y31" s="1634"/>
      <c r="Z31" s="1634"/>
      <c r="AA31" s="1634"/>
      <c r="AB31" s="1634"/>
      <c r="AD31" s="1619"/>
      <c r="AE31" s="1163" t="s">
        <v>35</v>
      </c>
      <c r="AF31" s="1164"/>
      <c r="AG31" s="1165"/>
      <c r="AH31" s="1164"/>
      <c r="AI31" s="1165"/>
      <c r="AJ31" s="1359"/>
    </row>
    <row r="32" spans="1:39">
      <c r="A32" s="1360"/>
      <c r="AJ32" s="1359"/>
    </row>
    <row r="33" spans="1:36">
      <c r="A33" s="1360"/>
      <c r="B33" s="1155" t="s">
        <v>36</v>
      </c>
      <c r="J33" s="1156"/>
      <c r="K33" s="1156"/>
      <c r="L33" s="1156"/>
      <c r="M33" s="1156"/>
      <c r="N33" s="1156"/>
      <c r="O33" s="1156"/>
      <c r="P33" s="1156"/>
      <c r="Q33" s="1156"/>
      <c r="T33" s="1154" t="s">
        <v>37</v>
      </c>
      <c r="AJ33" s="1359"/>
    </row>
    <row r="34" spans="1:36" ht="12.75" customHeight="1">
      <c r="A34" s="1360"/>
      <c r="T34" s="1917" t="s">
        <v>38</v>
      </c>
      <c r="U34" s="1918"/>
      <c r="V34" s="1927" t="s">
        <v>39</v>
      </c>
      <c r="W34" s="1928"/>
      <c r="X34" s="1928"/>
      <c r="Y34" s="1928"/>
      <c r="Z34" s="1928"/>
      <c r="AA34" s="1928"/>
      <c r="AB34" s="1928"/>
      <c r="AC34" s="1929"/>
      <c r="AD34" s="1911" t="s">
        <v>40</v>
      </c>
      <c r="AE34" s="1912"/>
      <c r="AJ34" s="1359"/>
    </row>
    <row r="35" spans="1:36">
      <c r="A35" s="1360"/>
      <c r="B35" s="1154" t="s">
        <v>41</v>
      </c>
      <c r="K35" s="1158"/>
      <c r="L35" s="1158"/>
      <c r="M35" s="1158"/>
      <c r="N35" s="1158"/>
      <c r="O35" s="1158"/>
      <c r="P35" s="1158"/>
      <c r="Q35" s="1158"/>
      <c r="T35" s="1919"/>
      <c r="U35" s="1920"/>
      <c r="V35" s="1930" t="s">
        <v>42</v>
      </c>
      <c r="W35" s="1931"/>
      <c r="X35" s="1931"/>
      <c r="Y35" s="1932"/>
      <c r="Z35" s="1933" t="s">
        <v>43</v>
      </c>
      <c r="AA35" s="1932"/>
      <c r="AB35" s="1934" t="s">
        <v>44</v>
      </c>
      <c r="AC35" s="1935"/>
      <c r="AD35" s="1913"/>
      <c r="AE35" s="1914"/>
      <c r="AJ35" s="1359"/>
    </row>
    <row r="36" spans="1:36">
      <c r="A36" s="1360"/>
      <c r="T36" s="1921">
        <v>1</v>
      </c>
      <c r="U36" s="1922"/>
      <c r="V36" s="1169"/>
      <c r="W36" s="1170"/>
      <c r="X36" s="1171"/>
      <c r="Y36" s="1172"/>
      <c r="Z36" s="1173"/>
      <c r="AA36" s="1174"/>
      <c r="AB36" s="1175"/>
      <c r="AC36" s="1172"/>
      <c r="AD36" s="1342"/>
      <c r="AE36" s="1343"/>
      <c r="AJ36" s="1359"/>
    </row>
    <row r="37" spans="1:36">
      <c r="A37" s="1360"/>
      <c r="B37" s="1154" t="s">
        <v>45</v>
      </c>
      <c r="P37" s="1156"/>
      <c r="Q37" s="1156"/>
      <c r="T37" s="1923">
        <v>2</v>
      </c>
      <c r="U37" s="1924"/>
      <c r="V37" s="1169"/>
      <c r="W37" s="1170"/>
      <c r="X37" s="1171"/>
      <c r="Y37" s="1172"/>
      <c r="Z37" s="1173"/>
      <c r="AA37" s="1174"/>
      <c r="AB37" s="1175"/>
      <c r="AC37" s="1172"/>
      <c r="AD37" s="1342"/>
      <c r="AE37" s="1343"/>
      <c r="AJ37" s="1359"/>
    </row>
    <row r="38" spans="1:36">
      <c r="A38" s="1360"/>
      <c r="R38" s="1628"/>
      <c r="T38" s="1925">
        <v>3</v>
      </c>
      <c r="U38" s="1926"/>
      <c r="V38" s="1335"/>
      <c r="W38" s="1336"/>
      <c r="X38" s="1337"/>
      <c r="Y38" s="1338"/>
      <c r="Z38" s="1339"/>
      <c r="AA38" s="1340"/>
      <c r="AB38" s="1341"/>
      <c r="AC38" s="1338"/>
      <c r="AD38" s="1342"/>
      <c r="AE38" s="1343"/>
      <c r="AJ38" s="1359"/>
    </row>
    <row r="39" spans="1:36">
      <c r="A39" s="1360"/>
      <c r="B39" s="1910" t="s">
        <v>46</v>
      </c>
      <c r="C39" s="1910"/>
      <c r="D39" s="1910"/>
      <c r="E39" s="1910"/>
      <c r="F39" s="1910"/>
      <c r="G39" s="1910"/>
      <c r="H39" s="1910"/>
      <c r="I39" s="1910"/>
      <c r="J39" s="1910"/>
      <c r="K39" s="1910"/>
      <c r="L39" s="1910"/>
      <c r="M39" s="1910"/>
      <c r="N39" s="1910"/>
      <c r="O39" s="1910"/>
      <c r="P39" s="1910"/>
      <c r="Q39" s="1910"/>
      <c r="S39" s="1628"/>
      <c r="AJ39" s="1359"/>
    </row>
    <row r="40" spans="1:36">
      <c r="A40" s="1360"/>
      <c r="B40" s="1625" t="s">
        <v>47</v>
      </c>
      <c r="C40" s="1625"/>
      <c r="D40" s="1625"/>
      <c r="T40" s="1154" t="s">
        <v>48</v>
      </c>
      <c r="AD40" s="1352"/>
      <c r="AJ40" s="1359"/>
    </row>
    <row r="41" spans="1:36">
      <c r="A41" s="1360"/>
      <c r="D41" s="1154" t="s">
        <v>49</v>
      </c>
      <c r="P41" s="1630">
        <v>1</v>
      </c>
      <c r="Q41" s="1162"/>
      <c r="T41" s="1154" t="s">
        <v>50</v>
      </c>
      <c r="U41" s="1176"/>
      <c r="V41" s="1176"/>
      <c r="W41" s="1176"/>
      <c r="X41" s="1176"/>
      <c r="Y41" s="1176"/>
      <c r="Z41" s="1176"/>
      <c r="AA41" s="1176">
        <v>1</v>
      </c>
      <c r="AJ41" s="1359"/>
    </row>
    <row r="42" spans="1:36">
      <c r="A42" s="1360"/>
      <c r="D42" s="1154" t="s">
        <v>51</v>
      </c>
      <c r="P42" s="1630">
        <v>2</v>
      </c>
      <c r="Q42" s="1162"/>
      <c r="T42" s="1166" t="s">
        <v>52</v>
      </c>
      <c r="U42" s="1166"/>
      <c r="V42" s="1166"/>
      <c r="W42" s="1166"/>
      <c r="X42" s="1166"/>
      <c r="Y42" s="1166"/>
      <c r="Z42" s="1166"/>
      <c r="AA42" s="1166">
        <v>2</v>
      </c>
      <c r="AC42" s="1166" t="s">
        <v>53</v>
      </c>
      <c r="AD42" s="1166"/>
      <c r="AE42" s="1166"/>
      <c r="AF42" s="1166"/>
      <c r="AG42" s="1166"/>
      <c r="AH42" s="1166"/>
      <c r="AI42" s="1166">
        <v>5</v>
      </c>
      <c r="AJ42" s="1359"/>
    </row>
    <row r="43" spans="1:36">
      <c r="A43" s="1360"/>
      <c r="B43" s="1630"/>
      <c r="C43" s="1630"/>
      <c r="D43" s="1154" t="s">
        <v>54</v>
      </c>
      <c r="P43" s="1630">
        <v>3</v>
      </c>
      <c r="Q43" s="1162"/>
      <c r="T43" s="1166" t="s">
        <v>55</v>
      </c>
      <c r="U43" s="1166"/>
      <c r="V43" s="1166"/>
      <c r="W43" s="1166"/>
      <c r="X43" s="1166"/>
      <c r="Y43" s="1166"/>
      <c r="Z43" s="1166"/>
      <c r="AA43" s="1166">
        <v>3</v>
      </c>
      <c r="AC43" s="1166" t="s">
        <v>56</v>
      </c>
      <c r="AD43" s="1166"/>
      <c r="AE43" s="1166"/>
      <c r="AF43" s="1166"/>
      <c r="AG43" s="1166"/>
      <c r="AH43" s="1166"/>
      <c r="AI43" s="1166">
        <v>6</v>
      </c>
      <c r="AJ43" s="1359"/>
    </row>
    <row r="44" spans="1:36">
      <c r="A44" s="1360"/>
      <c r="D44" s="1154" t="s">
        <v>57</v>
      </c>
      <c r="P44" s="1630">
        <v>4</v>
      </c>
      <c r="Q44" s="1162"/>
      <c r="T44" s="1166" t="s">
        <v>58</v>
      </c>
      <c r="U44" s="1166"/>
      <c r="V44" s="1166"/>
      <c r="W44" s="1166"/>
      <c r="X44" s="1166"/>
      <c r="Y44" s="1166"/>
      <c r="Z44" s="1166"/>
      <c r="AA44" s="1166">
        <v>4</v>
      </c>
      <c r="AC44" s="1166" t="s">
        <v>59</v>
      </c>
      <c r="AD44" s="1166"/>
      <c r="AE44" s="1166"/>
      <c r="AF44" s="1166"/>
      <c r="AG44" s="1166"/>
      <c r="AH44" s="1166"/>
      <c r="AI44" s="1166">
        <v>7</v>
      </c>
      <c r="AJ44" s="1359"/>
    </row>
    <row r="45" spans="1:36" ht="13.5" thickBot="1">
      <c r="A45" s="1362"/>
      <c r="B45" s="1363"/>
      <c r="C45" s="1363"/>
      <c r="D45" s="1363"/>
      <c r="E45" s="1363"/>
      <c r="F45" s="1363"/>
      <c r="G45" s="1363"/>
      <c r="H45" s="1363"/>
      <c r="I45" s="1363"/>
      <c r="J45" s="1363"/>
      <c r="K45" s="1363"/>
      <c r="L45" s="1363"/>
      <c r="M45" s="1363"/>
      <c r="N45" s="1363"/>
      <c r="O45" s="1363"/>
      <c r="P45" s="1363"/>
      <c r="Q45" s="1363"/>
      <c r="R45" s="1363"/>
      <c r="S45" s="1363"/>
      <c r="T45" s="1363"/>
      <c r="U45" s="1363"/>
      <c r="V45" s="1363"/>
      <c r="W45" s="1363"/>
      <c r="X45" s="1363"/>
      <c r="Y45" s="1363"/>
      <c r="Z45" s="1363"/>
      <c r="AA45" s="1363"/>
      <c r="AB45" s="1363"/>
      <c r="AC45" s="1364"/>
      <c r="AD45" s="1363"/>
      <c r="AE45" s="1363"/>
      <c r="AF45" s="1363"/>
      <c r="AG45" s="1363"/>
      <c r="AH45" s="1363"/>
      <c r="AI45" s="1363"/>
      <c r="AJ45" s="1365"/>
    </row>
    <row r="46" spans="1:36">
      <c r="F46" s="1353"/>
      <c r="G46" s="1353"/>
      <c r="H46" s="1353"/>
      <c r="I46" s="1353"/>
      <c r="J46" s="1353"/>
      <c r="K46" s="1353"/>
      <c r="L46" s="1353"/>
      <c r="M46" s="1353"/>
      <c r="N46" s="1353"/>
      <c r="O46" s="1353"/>
      <c r="P46" s="1353"/>
      <c r="Q46" s="1353"/>
      <c r="T46" s="1353"/>
      <c r="U46" s="1353"/>
      <c r="V46" s="1353"/>
      <c r="W46" s="1353"/>
      <c r="X46" s="1353"/>
      <c r="Y46" s="1353"/>
      <c r="Z46" s="1353"/>
      <c r="AA46" s="1353"/>
      <c r="AB46" s="1353"/>
      <c r="AC46" s="1353"/>
      <c r="AD46" s="1353"/>
      <c r="AE46" s="1353"/>
      <c r="AF46" s="1353"/>
      <c r="AG46" s="1353"/>
      <c r="AH46" s="1353"/>
      <c r="AI46" s="1353"/>
      <c r="AJ46" s="1353"/>
    </row>
    <row r="47" spans="1:36">
      <c r="A47" s="1352"/>
      <c r="AI47" s="1176"/>
      <c r="AJ47" s="1353"/>
    </row>
    <row r="48" spans="1:36">
      <c r="A48" s="1352"/>
      <c r="AJ48" s="1352"/>
    </row>
    <row r="49" spans="1:35">
      <c r="A49" s="1352"/>
      <c r="R49" s="1353"/>
      <c r="S49" s="1353"/>
      <c r="AI49" s="1176"/>
    </row>
    <row r="50" spans="1:35">
      <c r="A50" s="1352"/>
      <c r="E50" s="1353"/>
      <c r="F50" s="1353"/>
      <c r="G50" s="1353"/>
      <c r="H50" s="1353"/>
      <c r="I50" s="1353"/>
      <c r="J50" s="1353"/>
      <c r="K50" s="1353"/>
      <c r="L50" s="1353"/>
      <c r="M50" s="1353"/>
      <c r="N50" s="1353"/>
      <c r="O50" s="1353"/>
      <c r="P50" s="1353"/>
      <c r="Q50" s="1353"/>
    </row>
    <row r="51" spans="1:35" ht="12.75" customHeight="1">
      <c r="AI51" s="1176"/>
    </row>
    <row r="52" spans="1:35">
      <c r="AI52" s="1176"/>
    </row>
    <row r="53" spans="1:35" ht="12.75" customHeight="1">
      <c r="Y53" s="1176"/>
      <c r="Z53" s="1176"/>
      <c r="AA53" s="1176"/>
      <c r="AB53" s="1176"/>
      <c r="AC53" s="1176"/>
      <c r="AD53" s="1176"/>
      <c r="AE53" s="1176"/>
      <c r="AF53" s="1176"/>
      <c r="AG53" s="1176"/>
      <c r="AH53" s="1176"/>
      <c r="AI53" s="1176"/>
    </row>
    <row r="54" spans="1:35" ht="6.75" customHeight="1"/>
    <row r="55" spans="1:35">
      <c r="E55" s="1177"/>
      <c r="F55" s="1177"/>
      <c r="G55" s="1177"/>
      <c r="H55" s="1177"/>
      <c r="I55" s="1177"/>
      <c r="J55" s="1177"/>
      <c r="K55" s="1177"/>
      <c r="L55" s="1177"/>
      <c r="M55" s="1177"/>
      <c r="N55" s="1177"/>
      <c r="AI55" s="1176"/>
    </row>
    <row r="56" spans="1:35"/>
    <row r="58" spans="1:35"/>
  </sheetData>
  <mergeCells count="18">
    <mergeCell ref="B39:Q39"/>
    <mergeCell ref="P11:Q11"/>
    <mergeCell ref="AF27:AG27"/>
    <mergeCell ref="AH27:AI27"/>
    <mergeCell ref="T34:U35"/>
    <mergeCell ref="T36:U36"/>
    <mergeCell ref="T37:U37"/>
    <mergeCell ref="T38:U38"/>
    <mergeCell ref="V34:AC34"/>
    <mergeCell ref="V35:Y35"/>
    <mergeCell ref="Z35:AA35"/>
    <mergeCell ref="AB35:AC35"/>
    <mergeCell ref="B5:AI5"/>
    <mergeCell ref="B6:AI6"/>
    <mergeCell ref="B8:P8"/>
    <mergeCell ref="AD34:AE35"/>
    <mergeCell ref="T10:AI12"/>
    <mergeCell ref="T13:AI15"/>
  </mergeCells>
  <printOptions horizontalCentered="1"/>
  <pageMargins left="0.45" right="0.45" top="0.5" bottom="0.5" header="0.3" footer="0.3"/>
  <pageSetup paperSize="9" scale="9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rgb="FFFF0000"/>
  </sheetPr>
  <dimension ref="A1:AV40"/>
  <sheetViews>
    <sheetView showGridLines="0" view="pageBreakPreview" zoomScaleNormal="115" zoomScaleSheetLayoutView="100" workbookViewId="0">
      <selection activeCell="X15" sqref="X15:X22"/>
    </sheetView>
  </sheetViews>
  <sheetFormatPr defaultColWidth="9.140625" defaultRowHeight="11.25"/>
  <cols>
    <col min="1" max="1" width="3.42578125" style="2" customWidth="1"/>
    <col min="2" max="2" width="17.7109375" style="2" customWidth="1"/>
    <col min="3" max="3" width="21.140625" style="2" customWidth="1"/>
    <col min="4" max="4" width="3.28515625" style="2" customWidth="1"/>
    <col min="5" max="5" width="8.140625" style="2" customWidth="1"/>
    <col min="6" max="6" width="2.42578125" style="2" customWidth="1"/>
    <col min="7" max="18" width="3.5703125" style="2" customWidth="1"/>
    <col min="19" max="19" width="15.28515625" style="2" customWidth="1"/>
    <col min="20" max="21" width="2.42578125" style="2" customWidth="1"/>
    <col min="22" max="22" width="5.5703125" style="2" customWidth="1"/>
    <col min="23" max="23" width="9.140625" style="2" customWidth="1"/>
    <col min="24" max="24" width="10.28515625" style="2" customWidth="1"/>
    <col min="25" max="25" width="13.42578125" style="2" customWidth="1"/>
    <col min="26" max="26" width="2.7109375" style="2" customWidth="1"/>
    <col min="27" max="27" width="10.42578125" style="2" customWidth="1"/>
    <col min="28" max="28" width="16.140625" style="2" customWidth="1"/>
    <col min="29" max="29" width="2.5703125" style="2" customWidth="1"/>
    <col min="30" max="31" width="10" style="2" customWidth="1"/>
    <col min="32" max="32" width="5.7109375" style="2" customWidth="1"/>
    <col min="33" max="33" width="4.5703125" style="2" customWidth="1"/>
    <col min="34" max="34" width="3.85546875" style="2" customWidth="1"/>
    <col min="35" max="16384" width="9.140625" style="2"/>
  </cols>
  <sheetData>
    <row r="1" spans="1:48" ht="20.100000000000001" customHeight="1">
      <c r="A1" s="3" t="s">
        <v>60</v>
      </c>
      <c r="AH1" s="233" t="s">
        <v>61</v>
      </c>
    </row>
    <row r="2" spans="1:48" ht="16.899999999999999" customHeight="1">
      <c r="A2" s="3"/>
      <c r="B2" s="1584" t="s">
        <v>62</v>
      </c>
      <c r="AE2" s="1584"/>
      <c r="AH2" s="1585" t="s">
        <v>63</v>
      </c>
    </row>
    <row r="3" spans="1:48" ht="16.899999999999999" customHeight="1">
      <c r="A3" s="1961" t="s">
        <v>64</v>
      </c>
      <c r="B3" s="1616">
        <v>-1.01</v>
      </c>
      <c r="C3" s="1952">
        <f>B3-0.01</f>
        <v>-1.02</v>
      </c>
      <c r="D3" s="1953"/>
      <c r="E3" s="1952">
        <f>C3-0.01</f>
        <v>-1.03</v>
      </c>
      <c r="F3" s="1953"/>
      <c r="G3" s="1952">
        <f>E3-0.01</f>
        <v>-1.04</v>
      </c>
      <c r="H3" s="1954"/>
      <c r="I3" s="1954"/>
      <c r="J3" s="1954"/>
      <c r="K3" s="1954"/>
      <c r="L3" s="1954"/>
      <c r="M3" s="1954"/>
      <c r="N3" s="1954"/>
      <c r="O3" s="1952">
        <f>G3-0.01</f>
        <v>-1.05</v>
      </c>
      <c r="P3" s="1954"/>
      <c r="Q3" s="1954"/>
      <c r="R3" s="1953"/>
      <c r="S3" s="1998" t="s">
        <v>65</v>
      </c>
      <c r="T3" s="1999"/>
      <c r="U3" s="1999"/>
      <c r="V3" s="1999"/>
      <c r="W3" s="2000"/>
      <c r="X3" s="1729">
        <f>+W5-0.01</f>
        <v>-1.08</v>
      </c>
      <c r="Y3" s="1939">
        <f>+X3-0.01</f>
        <v>-1.0900000000000001</v>
      </c>
      <c r="Z3" s="1940"/>
      <c r="AA3" s="1729">
        <f>+Y3-0.01</f>
        <v>-1.1000000000000001</v>
      </c>
      <c r="AB3" s="1939">
        <f>+AA3-0.01</f>
        <v>-1.1100000000000001</v>
      </c>
      <c r="AC3" s="1940"/>
      <c r="AD3" s="1962">
        <f>+AB3-0.01</f>
        <v>-1.1200000000000001</v>
      </c>
      <c r="AE3" s="1963"/>
      <c r="AF3" s="1958">
        <f>AD3-0.01</f>
        <v>-1.1300000000000001</v>
      </c>
      <c r="AG3" s="1959"/>
      <c r="AH3" s="1960"/>
      <c r="AI3" s="280"/>
      <c r="AJ3" s="280"/>
      <c r="AK3" s="280"/>
      <c r="AL3" s="280"/>
      <c r="AM3" s="280"/>
      <c r="AN3" s="280"/>
      <c r="AO3" s="280"/>
      <c r="AP3" s="280"/>
      <c r="AQ3" s="280"/>
      <c r="AR3" s="280"/>
      <c r="AS3" s="280"/>
      <c r="AT3" s="280"/>
      <c r="AU3" s="280"/>
      <c r="AV3" s="280"/>
    </row>
    <row r="4" spans="1:48" ht="16.899999999999999" customHeight="1">
      <c r="A4" s="1961"/>
      <c r="B4" s="1975" t="s">
        <v>66</v>
      </c>
      <c r="C4" s="1955" t="s">
        <v>67</v>
      </c>
      <c r="D4" s="1957"/>
      <c r="E4" s="1955" t="s">
        <v>68</v>
      </c>
      <c r="F4" s="1957"/>
      <c r="G4" s="1955" t="s">
        <v>69</v>
      </c>
      <c r="H4" s="1956"/>
      <c r="I4" s="1956"/>
      <c r="J4" s="1956"/>
      <c r="K4" s="1956"/>
      <c r="L4" s="1956"/>
      <c r="M4" s="1956"/>
      <c r="N4" s="1956"/>
      <c r="O4" s="1955" t="s">
        <v>70</v>
      </c>
      <c r="P4" s="1956"/>
      <c r="Q4" s="1956"/>
      <c r="R4" s="1957"/>
      <c r="S4" s="2001"/>
      <c r="T4" s="2002"/>
      <c r="U4" s="2002"/>
      <c r="V4" s="2002"/>
      <c r="W4" s="2003"/>
      <c r="X4" s="1938" t="s">
        <v>71</v>
      </c>
      <c r="Y4" s="1941" t="s">
        <v>72</v>
      </c>
      <c r="Z4" s="1942"/>
      <c r="AA4" s="1938" t="s">
        <v>73</v>
      </c>
      <c r="AB4" s="1941" t="s">
        <v>74</v>
      </c>
      <c r="AC4" s="1942"/>
      <c r="AD4" s="1966" t="s">
        <v>75</v>
      </c>
      <c r="AE4" s="1966" t="s">
        <v>76</v>
      </c>
      <c r="AF4" s="1984" t="s">
        <v>77</v>
      </c>
      <c r="AG4" s="1985"/>
      <c r="AH4" s="1986"/>
    </row>
    <row r="5" spans="1:48" ht="16.899999999999999" customHeight="1">
      <c r="A5" s="1961"/>
      <c r="B5" s="1975"/>
      <c r="C5" s="1955"/>
      <c r="D5" s="1957"/>
      <c r="E5" s="1955"/>
      <c r="F5" s="1957"/>
      <c r="G5" s="1955"/>
      <c r="H5" s="1956"/>
      <c r="I5" s="1956"/>
      <c r="J5" s="1956"/>
      <c r="K5" s="1956"/>
      <c r="L5" s="1956"/>
      <c r="M5" s="1956"/>
      <c r="N5" s="1956"/>
      <c r="O5" s="1955"/>
      <c r="P5" s="1956"/>
      <c r="Q5" s="1956"/>
      <c r="R5" s="1957"/>
      <c r="S5" s="1994">
        <f>O3-0.01</f>
        <v>-1.06</v>
      </c>
      <c r="T5" s="1995"/>
      <c r="U5" s="1995"/>
      <c r="V5" s="1996"/>
      <c r="W5" s="697">
        <f>S5-0.01</f>
        <v>-1.07</v>
      </c>
      <c r="X5" s="1938"/>
      <c r="Y5" s="1941"/>
      <c r="Z5" s="1942"/>
      <c r="AA5" s="1938"/>
      <c r="AB5" s="1941"/>
      <c r="AC5" s="1942"/>
      <c r="AD5" s="1967"/>
      <c r="AE5" s="1967"/>
      <c r="AF5" s="1984"/>
      <c r="AG5" s="1985"/>
      <c r="AH5" s="1986"/>
    </row>
    <row r="6" spans="1:48" ht="16.899999999999999" customHeight="1">
      <c r="A6" s="1961"/>
      <c r="B6" s="1975"/>
      <c r="C6" s="1955"/>
      <c r="D6" s="1957"/>
      <c r="E6" s="1955"/>
      <c r="F6" s="1957"/>
      <c r="G6" s="1955"/>
      <c r="H6" s="1956"/>
      <c r="I6" s="1956"/>
      <c r="J6" s="1956"/>
      <c r="K6" s="1956"/>
      <c r="L6" s="1956"/>
      <c r="M6" s="1956"/>
      <c r="N6" s="1956"/>
      <c r="O6" s="1955"/>
      <c r="P6" s="1956"/>
      <c r="Q6" s="1956"/>
      <c r="R6" s="1957"/>
      <c r="S6" s="1955" t="s">
        <v>78</v>
      </c>
      <c r="T6" s="1956"/>
      <c r="U6" s="1956"/>
      <c r="V6" s="1957"/>
      <c r="W6" s="2006" t="s">
        <v>79</v>
      </c>
      <c r="X6" s="1938"/>
      <c r="Y6" s="1941"/>
      <c r="Z6" s="1942"/>
      <c r="AA6" s="1938"/>
      <c r="AB6" s="1941"/>
      <c r="AC6" s="1942"/>
      <c r="AD6" s="1967"/>
      <c r="AE6" s="1967"/>
      <c r="AF6" s="1984"/>
      <c r="AG6" s="1985"/>
      <c r="AH6" s="1986"/>
    </row>
    <row r="7" spans="1:48" ht="16.899999999999999" customHeight="1">
      <c r="A7" s="1961"/>
      <c r="B7" s="1975"/>
      <c r="C7" s="1955"/>
      <c r="D7" s="1957"/>
      <c r="E7" s="1955"/>
      <c r="F7" s="1957"/>
      <c r="G7" s="1955"/>
      <c r="H7" s="1956"/>
      <c r="I7" s="1956"/>
      <c r="J7" s="1956"/>
      <c r="K7" s="1956"/>
      <c r="L7" s="1956"/>
      <c r="M7" s="1956"/>
      <c r="N7" s="1956"/>
      <c r="O7" s="1614"/>
      <c r="P7" s="1617"/>
      <c r="Q7" s="1617"/>
      <c r="R7" s="1615"/>
      <c r="S7" s="1955"/>
      <c r="T7" s="1956"/>
      <c r="U7" s="1956"/>
      <c r="V7" s="1957"/>
      <c r="W7" s="2006"/>
      <c r="X7" s="1938"/>
      <c r="Y7" s="1941"/>
      <c r="Z7" s="1942"/>
      <c r="AA7" s="1938"/>
      <c r="AB7" s="1941"/>
      <c r="AC7" s="1942"/>
      <c r="AD7" s="1967"/>
      <c r="AE7" s="1967"/>
      <c r="AF7" s="1984"/>
      <c r="AG7" s="1985"/>
      <c r="AH7" s="1986"/>
    </row>
    <row r="8" spans="1:48" ht="16.899999999999999" customHeight="1">
      <c r="A8" s="1961"/>
      <c r="B8" s="1975"/>
      <c r="C8" s="6"/>
      <c r="D8" s="5"/>
      <c r="E8" s="1955"/>
      <c r="F8" s="1957"/>
      <c r="G8" s="1955"/>
      <c r="H8" s="1956"/>
      <c r="I8" s="1956"/>
      <c r="J8" s="1956"/>
      <c r="K8" s="1956"/>
      <c r="L8" s="1956"/>
      <c r="M8" s="1956"/>
      <c r="N8" s="1956"/>
      <c r="O8" s="267"/>
      <c r="P8" s="1637"/>
      <c r="Q8" s="1637"/>
      <c r="R8" s="699"/>
      <c r="S8" s="1955"/>
      <c r="T8" s="1956"/>
      <c r="U8" s="1956"/>
      <c r="V8" s="1957"/>
      <c r="W8" s="2006"/>
      <c r="X8" s="1938"/>
      <c r="Y8" s="1941"/>
      <c r="Z8" s="1942"/>
      <c r="AA8" s="1938"/>
      <c r="AB8" s="1941"/>
      <c r="AC8" s="1942"/>
      <c r="AD8" s="1967"/>
      <c r="AE8" s="1967"/>
      <c r="AF8" s="1984"/>
      <c r="AG8" s="1985"/>
      <c r="AH8" s="1986"/>
    </row>
    <row r="9" spans="1:48" ht="16.899999999999999" customHeight="1">
      <c r="A9" s="1961"/>
      <c r="B9" s="1975"/>
      <c r="C9" s="6"/>
      <c r="D9" s="5"/>
      <c r="E9" s="1614"/>
      <c r="F9" s="1615"/>
      <c r="G9" s="1955"/>
      <c r="H9" s="1956"/>
      <c r="I9" s="1956"/>
      <c r="J9" s="1956"/>
      <c r="K9" s="1956"/>
      <c r="L9" s="1956"/>
      <c r="M9" s="1956"/>
      <c r="N9" s="1956"/>
      <c r="O9" s="267"/>
      <c r="P9" s="1637"/>
      <c r="Q9" s="1637"/>
      <c r="R9" s="699"/>
      <c r="S9" s="1614"/>
      <c r="T9" s="1617"/>
      <c r="U9" s="1617"/>
      <c r="V9" s="1615"/>
      <c r="W9" s="2006"/>
      <c r="X9" s="1938"/>
      <c r="Y9" s="1941"/>
      <c r="Z9" s="1942"/>
      <c r="AA9" s="1938"/>
      <c r="AB9" s="1941"/>
      <c r="AC9" s="1942"/>
      <c r="AD9" s="1967"/>
      <c r="AE9" s="1967"/>
      <c r="AF9" s="1984"/>
      <c r="AG9" s="1985"/>
      <c r="AH9" s="1986"/>
    </row>
    <row r="10" spans="1:48" ht="16.899999999999999" customHeight="1">
      <c r="A10" s="1961"/>
      <c r="B10" s="1975"/>
      <c r="C10" s="6"/>
      <c r="D10" s="5"/>
      <c r="E10" s="1614"/>
      <c r="F10" s="1615"/>
      <c r="G10" s="1955"/>
      <c r="H10" s="1956"/>
      <c r="I10" s="1956"/>
      <c r="J10" s="1956"/>
      <c r="K10" s="1956"/>
      <c r="L10" s="1956"/>
      <c r="M10" s="1956"/>
      <c r="N10" s="1956"/>
      <c r="O10" s="267"/>
      <c r="P10" s="1637"/>
      <c r="Q10" s="1637"/>
      <c r="R10" s="699"/>
      <c r="S10" s="1614"/>
      <c r="T10" s="1617"/>
      <c r="U10" s="1617"/>
      <c r="V10" s="1615"/>
      <c r="W10" s="2006"/>
      <c r="X10" s="1938"/>
      <c r="Y10" s="1941"/>
      <c r="Z10" s="1942"/>
      <c r="AA10" s="1938"/>
      <c r="AB10" s="1941"/>
      <c r="AC10" s="1942"/>
      <c r="AD10" s="1967"/>
      <c r="AE10" s="1967"/>
      <c r="AF10" s="1984" t="s">
        <v>80</v>
      </c>
      <c r="AG10" s="1985"/>
      <c r="AH10" s="1986"/>
    </row>
    <row r="11" spans="1:48" ht="16.899999999999999" customHeight="1">
      <c r="A11" s="1961"/>
      <c r="B11" s="1975"/>
      <c r="C11" s="6"/>
      <c r="D11" s="5"/>
      <c r="E11" s="1614"/>
      <c r="F11" s="1615"/>
      <c r="G11" s="1955"/>
      <c r="H11" s="1956"/>
      <c r="I11" s="1956"/>
      <c r="J11" s="1956"/>
      <c r="K11" s="1956"/>
      <c r="L11" s="1956"/>
      <c r="M11" s="1956"/>
      <c r="N11" s="1956"/>
      <c r="O11" s="267"/>
      <c r="P11" s="1637"/>
      <c r="Q11" s="1637"/>
      <c r="R11" s="699"/>
      <c r="S11" s="1614"/>
      <c r="T11" s="1617"/>
      <c r="U11" s="1617"/>
      <c r="V11" s="1615"/>
      <c r="W11" s="2006"/>
      <c r="X11" s="1938"/>
      <c r="Y11" s="1941"/>
      <c r="Z11" s="1942"/>
      <c r="AA11" s="1938"/>
      <c r="AB11" s="1941"/>
      <c r="AC11" s="1942"/>
      <c r="AD11" s="1967"/>
      <c r="AE11" s="1967"/>
      <c r="AF11" s="1984"/>
      <c r="AG11" s="1985"/>
      <c r="AH11" s="1986"/>
    </row>
    <row r="12" spans="1:48" ht="16.899999999999999" customHeight="1">
      <c r="A12" s="1961"/>
      <c r="B12" s="1975"/>
      <c r="C12" s="6"/>
      <c r="D12" s="5"/>
      <c r="E12" s="1614"/>
      <c r="F12" s="1615"/>
      <c r="G12" s="1955"/>
      <c r="H12" s="1956"/>
      <c r="I12" s="1956"/>
      <c r="J12" s="1956"/>
      <c r="K12" s="1956"/>
      <c r="L12" s="1956"/>
      <c r="M12" s="1956"/>
      <c r="N12" s="1956"/>
      <c r="O12" s="267"/>
      <c r="P12" s="1637"/>
      <c r="Q12" s="1637"/>
      <c r="R12" s="699"/>
      <c r="S12" s="1614"/>
      <c r="T12" s="1617"/>
      <c r="U12" s="1617"/>
      <c r="V12" s="1615"/>
      <c r="W12" s="2006"/>
      <c r="X12" s="1938"/>
      <c r="Y12" s="1941"/>
      <c r="Z12" s="1942"/>
      <c r="AA12" s="1938"/>
      <c r="AB12" s="1941"/>
      <c r="AC12" s="1942"/>
      <c r="AD12" s="1967"/>
      <c r="AE12" s="1967"/>
      <c r="AF12" s="1984"/>
      <c r="AG12" s="1985"/>
      <c r="AH12" s="1986"/>
    </row>
    <row r="13" spans="1:48" ht="16.899999999999999" customHeight="1">
      <c r="A13" s="1961"/>
      <c r="B13" s="1975"/>
      <c r="C13" s="621" t="s">
        <v>81</v>
      </c>
      <c r="D13" s="622">
        <v>1</v>
      </c>
      <c r="E13" s="6"/>
      <c r="F13" s="5"/>
      <c r="G13" s="1955"/>
      <c r="H13" s="1956"/>
      <c r="I13" s="1956"/>
      <c r="J13" s="1956"/>
      <c r="K13" s="1956"/>
      <c r="L13" s="1956"/>
      <c r="M13" s="1956"/>
      <c r="N13" s="1956"/>
      <c r="O13" s="284"/>
      <c r="P13" s="149"/>
      <c r="Q13" s="149"/>
      <c r="R13" s="700"/>
      <c r="S13" s="6"/>
      <c r="V13" s="5"/>
      <c r="W13" s="2006"/>
      <c r="X13" s="1938"/>
      <c r="Y13" s="1941"/>
      <c r="Z13" s="1942"/>
      <c r="AA13" s="1938"/>
      <c r="AB13" s="1941"/>
      <c r="AC13" s="1942"/>
      <c r="AD13" s="1967"/>
      <c r="AE13" s="1967"/>
      <c r="AF13" s="1984"/>
      <c r="AG13" s="1985"/>
      <c r="AH13" s="1986"/>
    </row>
    <row r="14" spans="1:48" ht="16.899999999999999" customHeight="1">
      <c r="A14" s="1961"/>
      <c r="B14" s="1973" t="s">
        <v>82</v>
      </c>
      <c r="C14" s="621" t="s">
        <v>83</v>
      </c>
      <c r="D14" s="622">
        <v>2</v>
      </c>
      <c r="E14" s="6"/>
      <c r="F14" s="5"/>
      <c r="G14" s="173"/>
      <c r="H14" s="1638"/>
      <c r="I14" s="1638"/>
      <c r="J14" s="1638"/>
      <c r="K14" s="1638"/>
      <c r="L14" s="1638"/>
      <c r="M14" s="1638"/>
      <c r="N14" s="1638"/>
      <c r="O14" s="284"/>
      <c r="P14" s="149"/>
      <c r="Q14" s="149"/>
      <c r="R14" s="700"/>
      <c r="S14" s="2005"/>
      <c r="T14" s="2004"/>
      <c r="U14" s="2004"/>
      <c r="V14" s="1997"/>
      <c r="W14" s="2006"/>
      <c r="X14" s="1730"/>
      <c r="Y14" s="1731"/>
      <c r="Z14" s="1732"/>
      <c r="AA14" s="1730"/>
      <c r="AB14" s="1731"/>
      <c r="AC14" s="1732"/>
      <c r="AD14" s="1967"/>
      <c r="AE14" s="1967"/>
      <c r="AF14" s="1984"/>
      <c r="AG14" s="1985"/>
      <c r="AH14" s="1986"/>
    </row>
    <row r="15" spans="1:48" ht="16.899999999999999" customHeight="1">
      <c r="A15" s="1961"/>
      <c r="B15" s="1973"/>
      <c r="C15" s="621" t="s">
        <v>84</v>
      </c>
      <c r="D15" s="622">
        <v>3</v>
      </c>
      <c r="E15" s="6"/>
      <c r="F15" s="5"/>
      <c r="G15" s="6"/>
      <c r="O15" s="6"/>
      <c r="P15" s="1637"/>
      <c r="Q15" s="1637"/>
      <c r="R15" s="699"/>
      <c r="S15" s="2005"/>
      <c r="T15" s="2004"/>
      <c r="U15" s="2004"/>
      <c r="V15" s="1997"/>
      <c r="W15" s="2007"/>
      <c r="X15" s="1936" t="s">
        <v>85</v>
      </c>
      <c r="Y15" s="1731"/>
      <c r="Z15" s="1732"/>
      <c r="AA15" s="1936" t="s">
        <v>86</v>
      </c>
      <c r="AB15" s="1731"/>
      <c r="AC15" s="1732"/>
      <c r="AD15" s="1967"/>
      <c r="AE15" s="1967"/>
      <c r="AF15" s="1984"/>
      <c r="AG15" s="1985"/>
      <c r="AH15" s="1986"/>
    </row>
    <row r="16" spans="1:48" ht="16.899999999999999" customHeight="1">
      <c r="A16" s="1961"/>
      <c r="B16" s="1973"/>
      <c r="C16" s="621" t="s">
        <v>87</v>
      </c>
      <c r="D16" s="622">
        <v>4</v>
      </c>
      <c r="G16" s="6"/>
      <c r="O16" s="267"/>
      <c r="P16" s="1637"/>
      <c r="Q16" s="1637"/>
      <c r="R16" s="699"/>
      <c r="S16" s="6"/>
      <c r="V16" s="5"/>
      <c r="W16" s="5"/>
      <c r="X16" s="1936"/>
      <c r="Y16" s="1731"/>
      <c r="Z16" s="1732"/>
      <c r="AA16" s="1936"/>
      <c r="AB16" s="1731"/>
      <c r="AC16" s="1732"/>
      <c r="AD16" s="1967"/>
      <c r="AE16" s="1967"/>
      <c r="AF16" s="1984"/>
      <c r="AG16" s="1985"/>
      <c r="AH16" s="1986"/>
    </row>
    <row r="17" spans="1:34" ht="16.899999999999999" customHeight="1">
      <c r="A17" s="1961"/>
      <c r="B17" s="1973"/>
      <c r="C17" s="621" t="s">
        <v>88</v>
      </c>
      <c r="D17" s="622">
        <v>5</v>
      </c>
      <c r="G17" s="6"/>
      <c r="O17" s="1964" t="s">
        <v>89</v>
      </c>
      <c r="P17" s="1965"/>
      <c r="Q17" s="1965"/>
      <c r="R17" s="1965"/>
      <c r="S17" s="623" t="s">
        <v>90</v>
      </c>
      <c r="T17" s="625">
        <v>1</v>
      </c>
      <c r="U17" s="289" t="s">
        <v>91</v>
      </c>
      <c r="V17" s="290">
        <f>X3</f>
        <v>-1.08</v>
      </c>
      <c r="W17" s="1968" t="s">
        <v>92</v>
      </c>
      <c r="X17" s="1936"/>
      <c r="Y17" s="1733" t="s">
        <v>96</v>
      </c>
      <c r="Z17" s="1734">
        <v>1</v>
      </c>
      <c r="AA17" s="1936"/>
      <c r="AB17" s="1733" t="s">
        <v>96</v>
      </c>
      <c r="AC17" s="1734">
        <v>1</v>
      </c>
      <c r="AD17" s="1969" t="s">
        <v>93</v>
      </c>
      <c r="AE17" s="1969" t="s">
        <v>93</v>
      </c>
      <c r="AF17" s="1984"/>
      <c r="AG17" s="1985"/>
      <c r="AH17" s="1986"/>
    </row>
    <row r="18" spans="1:34" ht="16.899999999999999" customHeight="1">
      <c r="A18" s="1961"/>
      <c r="B18" s="1973"/>
      <c r="C18" s="623" t="s">
        <v>94</v>
      </c>
      <c r="D18" s="622">
        <v>6</v>
      </c>
      <c r="G18" s="6"/>
      <c r="O18" s="1964"/>
      <c r="P18" s="1965"/>
      <c r="Q18" s="1965"/>
      <c r="R18" s="1965"/>
      <c r="S18" s="621" t="s">
        <v>95</v>
      </c>
      <c r="T18" s="561"/>
      <c r="U18" s="291"/>
      <c r="V18" s="292"/>
      <c r="W18" s="1968"/>
      <c r="X18" s="1936"/>
      <c r="Y18" s="47" t="s">
        <v>1697</v>
      </c>
      <c r="AA18" s="1936"/>
      <c r="AB18" s="47" t="s">
        <v>1697</v>
      </c>
      <c r="AD18" s="1969"/>
      <c r="AE18" s="1969"/>
      <c r="AF18" s="1984"/>
      <c r="AG18" s="1985"/>
      <c r="AH18" s="1986"/>
    </row>
    <row r="19" spans="1:34" ht="16.899999999999999" customHeight="1">
      <c r="A19" s="1961"/>
      <c r="B19" s="1973"/>
      <c r="C19" s="623" t="s">
        <v>97</v>
      </c>
      <c r="D19" s="622">
        <v>7</v>
      </c>
      <c r="G19" s="6"/>
      <c r="O19" s="1964"/>
      <c r="P19" s="1965"/>
      <c r="Q19" s="1965"/>
      <c r="R19" s="1965"/>
      <c r="S19" s="698" t="s">
        <v>98</v>
      </c>
      <c r="T19" s="561">
        <v>2</v>
      </c>
      <c r="U19" s="1639"/>
      <c r="V19" s="293"/>
      <c r="W19" s="1968"/>
      <c r="X19" s="1936"/>
      <c r="Y19" s="1943" t="s">
        <v>1698</v>
      </c>
      <c r="Z19" s="1945">
        <v>2</v>
      </c>
      <c r="AA19" s="1936"/>
      <c r="AB19" s="1943" t="s">
        <v>1698</v>
      </c>
      <c r="AC19" s="1945">
        <v>2</v>
      </c>
      <c r="AD19" s="1969"/>
      <c r="AE19" s="1969"/>
      <c r="AF19" s="1984"/>
      <c r="AG19" s="1985"/>
      <c r="AH19" s="1986"/>
    </row>
    <row r="20" spans="1:34" ht="16.899999999999999" customHeight="1">
      <c r="A20" s="1961"/>
      <c r="B20" s="1973"/>
      <c r="C20" s="621" t="s">
        <v>99</v>
      </c>
      <c r="D20" s="622">
        <v>8</v>
      </c>
      <c r="G20" s="6"/>
      <c r="O20" s="1964"/>
      <c r="P20" s="1965"/>
      <c r="Q20" s="1965"/>
      <c r="R20" s="1965"/>
      <c r="S20" s="698" t="s">
        <v>100</v>
      </c>
      <c r="T20" s="561">
        <v>3</v>
      </c>
      <c r="U20" s="294"/>
      <c r="V20" s="295"/>
      <c r="W20" s="1968"/>
      <c r="X20" s="1936"/>
      <c r="Y20" s="1944"/>
      <c r="Z20" s="1946"/>
      <c r="AA20" s="1936"/>
      <c r="AB20" s="1944"/>
      <c r="AC20" s="1946"/>
      <c r="AD20" s="1969"/>
      <c r="AE20" s="1969"/>
      <c r="AF20" s="1987"/>
      <c r="AG20" s="1988"/>
      <c r="AH20" s="1989"/>
    </row>
    <row r="21" spans="1:34" ht="16.899999999999999" customHeight="1">
      <c r="A21" s="1961"/>
      <c r="B21" s="1973"/>
      <c r="C21" s="621" t="s">
        <v>101</v>
      </c>
      <c r="D21" s="622">
        <v>9</v>
      </c>
      <c r="E21" s="266"/>
      <c r="F21" s="281"/>
      <c r="G21" s="6"/>
      <c r="O21" s="1978" t="s">
        <v>102</v>
      </c>
      <c r="P21" s="1979"/>
      <c r="Q21" s="1979"/>
      <c r="R21" s="1980"/>
      <c r="S21" s="621" t="s">
        <v>103</v>
      </c>
      <c r="T21" s="561">
        <v>4</v>
      </c>
      <c r="U21" s="289" t="s">
        <v>91</v>
      </c>
      <c r="V21" s="628">
        <f>X3</f>
        <v>-1.08</v>
      </c>
      <c r="W21" s="1968"/>
      <c r="X21" s="1936"/>
      <c r="Y21" s="1947" t="s">
        <v>676</v>
      </c>
      <c r="Z21" s="1949">
        <v>3</v>
      </c>
      <c r="AA21" s="1936"/>
      <c r="AB21" s="1947" t="s">
        <v>676</v>
      </c>
      <c r="AC21" s="1949">
        <v>3</v>
      </c>
      <c r="AD21" s="1969"/>
      <c r="AE21" s="1969"/>
      <c r="AF21" s="1735" t="s">
        <v>104</v>
      </c>
      <c r="AG21" s="1736">
        <v>1</v>
      </c>
      <c r="AH21" s="1737"/>
    </row>
    <row r="22" spans="1:34" ht="16.899999999999999" customHeight="1">
      <c r="A22" s="1961"/>
      <c r="B22" s="1973"/>
      <c r="C22" s="621" t="s">
        <v>105</v>
      </c>
      <c r="D22" s="622">
        <v>10</v>
      </c>
      <c r="E22" s="706" t="s">
        <v>106</v>
      </c>
      <c r="F22" s="640">
        <v>1</v>
      </c>
      <c r="G22" s="6"/>
      <c r="O22" s="1978"/>
      <c r="P22" s="1979"/>
      <c r="Q22" s="1979"/>
      <c r="R22" s="1980"/>
      <c r="S22" s="621" t="s">
        <v>107</v>
      </c>
      <c r="T22" s="561">
        <v>5</v>
      </c>
      <c r="U22" s="289" t="s">
        <v>91</v>
      </c>
      <c r="V22" s="628">
        <f>X3</f>
        <v>-1.08</v>
      </c>
      <c r="W22" s="1968"/>
      <c r="X22" s="1937"/>
      <c r="Y22" s="1948"/>
      <c r="Z22" s="1945"/>
      <c r="AA22" s="1937"/>
      <c r="AB22" s="1948"/>
      <c r="AC22" s="1945"/>
      <c r="AD22" s="1969"/>
      <c r="AE22" s="1969"/>
      <c r="AF22" s="1738" t="s">
        <v>108</v>
      </c>
      <c r="AG22" s="1739">
        <v>2</v>
      </c>
      <c r="AH22" s="1740" t="s">
        <v>91</v>
      </c>
    </row>
    <row r="23" spans="1:34" ht="16.899999999999999" customHeight="1">
      <c r="A23" s="1961"/>
      <c r="B23" s="1973"/>
      <c r="C23" s="621" t="s">
        <v>109</v>
      </c>
      <c r="D23" s="622">
        <v>11</v>
      </c>
      <c r="E23" s="624" t="s">
        <v>110</v>
      </c>
      <c r="F23" s="641">
        <v>2</v>
      </c>
      <c r="G23" s="7"/>
      <c r="H23" s="21"/>
      <c r="I23" s="21"/>
      <c r="J23" s="21"/>
      <c r="K23" s="21"/>
      <c r="L23" s="21"/>
      <c r="M23" s="21"/>
      <c r="N23" s="21"/>
      <c r="O23" s="1981"/>
      <c r="P23" s="1982"/>
      <c r="Q23" s="1982"/>
      <c r="R23" s="1983"/>
      <c r="S23" s="621" t="s">
        <v>111</v>
      </c>
      <c r="T23" s="561">
        <v>6</v>
      </c>
      <c r="U23" s="296" t="s">
        <v>91</v>
      </c>
      <c r="V23" s="629">
        <f>X3</f>
        <v>-1.08</v>
      </c>
      <c r="W23" s="1968"/>
      <c r="X23" s="1950" t="s">
        <v>64</v>
      </c>
      <c r="Y23" s="1733" t="s">
        <v>112</v>
      </c>
      <c r="Z23" s="1741">
        <v>4</v>
      </c>
      <c r="AA23" s="1950" t="s">
        <v>64</v>
      </c>
      <c r="AB23" s="1733" t="s">
        <v>112</v>
      </c>
      <c r="AC23" s="1741">
        <v>4</v>
      </c>
      <c r="AD23" s="1969"/>
      <c r="AE23" s="1969"/>
      <c r="AF23" s="1990" t="s">
        <v>113</v>
      </c>
      <c r="AG23" s="1991"/>
      <c r="AH23" s="1992"/>
    </row>
    <row r="24" spans="1:34" ht="16.899999999999999" customHeight="1">
      <c r="A24" s="1961"/>
      <c r="B24" s="1974"/>
      <c r="C24" s="1635"/>
      <c r="D24" s="1636"/>
      <c r="G24" s="1970" t="s">
        <v>42</v>
      </c>
      <c r="H24" s="1971"/>
      <c r="I24" s="1971"/>
      <c r="J24" s="1972"/>
      <c r="K24" s="1970" t="s">
        <v>43</v>
      </c>
      <c r="L24" s="1972"/>
      <c r="M24" s="1970" t="s">
        <v>44</v>
      </c>
      <c r="N24" s="1972"/>
      <c r="O24" s="1976" t="s">
        <v>114</v>
      </c>
      <c r="P24" s="1977"/>
      <c r="Q24" s="1993" t="s">
        <v>43</v>
      </c>
      <c r="R24" s="1977"/>
      <c r="S24" s="8"/>
      <c r="T24" s="9"/>
      <c r="U24" s="9"/>
      <c r="V24" s="10"/>
      <c r="W24" s="298"/>
      <c r="X24" s="1951"/>
      <c r="Y24" s="1742"/>
      <c r="Z24" s="1743"/>
      <c r="AA24" s="1951"/>
      <c r="AB24" s="1742"/>
      <c r="AC24" s="1744"/>
      <c r="AD24" s="1745"/>
      <c r="AE24" s="1745"/>
      <c r="AF24" s="1746"/>
      <c r="AG24" s="1747"/>
      <c r="AH24" s="1748"/>
    </row>
    <row r="25" spans="1:34" ht="21" customHeight="1">
      <c r="A25" s="477">
        <v>1</v>
      </c>
      <c r="B25" s="462"/>
      <c r="C25" s="12"/>
      <c r="D25" s="13"/>
      <c r="E25" s="12"/>
      <c r="F25" s="13"/>
      <c r="G25" s="12"/>
      <c r="H25" s="270"/>
      <c r="I25" s="270"/>
      <c r="J25" s="10"/>
      <c r="K25" s="8"/>
      <c r="L25" s="273"/>
      <c r="M25" s="274"/>
      <c r="N25" s="13"/>
      <c r="O25" s="12"/>
      <c r="P25" s="273"/>
      <c r="Q25" s="274"/>
      <c r="R25" s="13"/>
      <c r="S25" s="12"/>
      <c r="T25" s="14"/>
      <c r="U25" s="14"/>
      <c r="V25" s="13"/>
      <c r="W25" s="11"/>
      <c r="X25" s="11"/>
      <c r="Y25" s="12"/>
      <c r="Z25" s="13"/>
      <c r="AA25" s="11"/>
      <c r="AB25" s="12"/>
      <c r="AC25" s="13"/>
      <c r="AD25" s="11"/>
      <c r="AE25" s="11"/>
      <c r="AF25" s="12"/>
      <c r="AG25" s="14"/>
      <c r="AH25" s="13"/>
    </row>
    <row r="26" spans="1:34" ht="21" customHeight="1">
      <c r="A26" s="477">
        <v>2</v>
      </c>
      <c r="B26" s="462"/>
      <c r="C26" s="12"/>
      <c r="D26" s="13"/>
      <c r="E26" s="12"/>
      <c r="F26" s="13"/>
      <c r="G26" s="12"/>
      <c r="H26" s="270"/>
      <c r="I26" s="270"/>
      <c r="J26" s="13"/>
      <c r="K26" s="12"/>
      <c r="L26" s="273"/>
      <c r="M26" s="274"/>
      <c r="N26" s="13"/>
      <c r="O26" s="12"/>
      <c r="P26" s="273"/>
      <c r="Q26" s="274"/>
      <c r="R26" s="13"/>
      <c r="S26" s="12"/>
      <c r="T26" s="14"/>
      <c r="U26" s="14"/>
      <c r="V26" s="13"/>
      <c r="W26" s="11"/>
      <c r="X26" s="11"/>
      <c r="Y26" s="12"/>
      <c r="Z26" s="13"/>
      <c r="AA26" s="11"/>
      <c r="AB26" s="12"/>
      <c r="AC26" s="13"/>
      <c r="AD26" s="11"/>
      <c r="AE26" s="11"/>
      <c r="AF26" s="12"/>
      <c r="AG26" s="14"/>
      <c r="AH26" s="13"/>
    </row>
    <row r="27" spans="1:34" ht="21" customHeight="1" thickBot="1">
      <c r="A27" s="478">
        <v>3</v>
      </c>
      <c r="B27" s="468"/>
      <c r="C27" s="16"/>
      <c r="D27" s="175"/>
      <c r="E27" s="16"/>
      <c r="F27" s="175"/>
      <c r="G27" s="16"/>
      <c r="H27" s="271"/>
      <c r="I27" s="271"/>
      <c r="J27" s="175"/>
      <c r="K27" s="16"/>
      <c r="L27" s="275"/>
      <c r="M27" s="276"/>
      <c r="N27" s="175"/>
      <c r="O27" s="16"/>
      <c r="P27" s="275"/>
      <c r="Q27" s="276"/>
      <c r="R27" s="175"/>
      <c r="S27" s="16"/>
      <c r="T27" s="176"/>
      <c r="U27" s="176"/>
      <c r="V27" s="175"/>
      <c r="W27" s="15"/>
      <c r="X27" s="15"/>
      <c r="Y27" s="16"/>
      <c r="Z27" s="175"/>
      <c r="AA27" s="15"/>
      <c r="AB27" s="16"/>
      <c r="AC27" s="175"/>
      <c r="AD27" s="15"/>
      <c r="AE27" s="15"/>
      <c r="AF27" s="16"/>
      <c r="AG27" s="176"/>
      <c r="AH27" s="175"/>
    </row>
    <row r="28" spans="1:34" ht="21" customHeight="1" thickTop="1">
      <c r="A28" s="479">
        <v>4</v>
      </c>
      <c r="B28" s="476"/>
      <c r="C28" s="8"/>
      <c r="D28" s="10"/>
      <c r="E28" s="8"/>
      <c r="F28" s="10"/>
      <c r="G28" s="8"/>
      <c r="H28" s="272"/>
      <c r="I28" s="272"/>
      <c r="J28" s="10"/>
      <c r="K28" s="8"/>
      <c r="L28" s="240"/>
      <c r="M28" s="277"/>
      <c r="N28" s="10"/>
      <c r="O28" s="8"/>
      <c r="P28" s="240"/>
      <c r="Q28" s="277"/>
      <c r="R28" s="10"/>
      <c r="S28" s="8"/>
      <c r="T28" s="9"/>
      <c r="U28" s="9"/>
      <c r="V28" s="10"/>
      <c r="W28" s="17"/>
      <c r="X28" s="17"/>
      <c r="Y28" s="8"/>
      <c r="Z28" s="10"/>
      <c r="AA28" s="17"/>
      <c r="AB28" s="8"/>
      <c r="AC28" s="10"/>
      <c r="AD28" s="17"/>
      <c r="AE28" s="17"/>
      <c r="AF28" s="8"/>
      <c r="AG28" s="9"/>
      <c r="AH28" s="10"/>
    </row>
    <row r="29" spans="1:34" ht="21" customHeight="1">
      <c r="A29" s="477">
        <v>5</v>
      </c>
      <c r="B29" s="462"/>
      <c r="C29" s="12"/>
      <c r="D29" s="13"/>
      <c r="E29" s="12"/>
      <c r="F29" s="13"/>
      <c r="G29" s="12"/>
      <c r="H29" s="270"/>
      <c r="I29" s="270"/>
      <c r="J29" s="13"/>
      <c r="K29" s="12"/>
      <c r="L29" s="273"/>
      <c r="M29" s="274"/>
      <c r="N29" s="13"/>
      <c r="O29" s="12"/>
      <c r="P29" s="273"/>
      <c r="Q29" s="274"/>
      <c r="R29" s="13"/>
      <c r="S29" s="12"/>
      <c r="T29" s="14"/>
      <c r="U29" s="14"/>
      <c r="V29" s="13"/>
      <c r="W29" s="11"/>
      <c r="X29" s="11"/>
      <c r="Y29" s="12"/>
      <c r="Z29" s="13"/>
      <c r="AA29" s="11"/>
      <c r="AB29" s="12"/>
      <c r="AC29" s="13"/>
      <c r="AD29" s="11"/>
      <c r="AE29" s="11"/>
      <c r="AF29" s="12"/>
      <c r="AG29" s="14"/>
      <c r="AH29" s="13"/>
    </row>
    <row r="30" spans="1:34" ht="21" customHeight="1" thickBot="1">
      <c r="A30" s="478">
        <v>6</v>
      </c>
      <c r="B30" s="468"/>
      <c r="C30" s="16"/>
      <c r="D30" s="175"/>
      <c r="E30" s="16"/>
      <c r="F30" s="175"/>
      <c r="G30" s="16"/>
      <c r="H30" s="271"/>
      <c r="I30" s="271"/>
      <c r="J30" s="175"/>
      <c r="K30" s="16"/>
      <c r="L30" s="275"/>
      <c r="M30" s="276"/>
      <c r="N30" s="175"/>
      <c r="O30" s="16"/>
      <c r="P30" s="275"/>
      <c r="Q30" s="276"/>
      <c r="R30" s="175"/>
      <c r="S30" s="16"/>
      <c r="T30" s="176"/>
      <c r="U30" s="176"/>
      <c r="V30" s="175"/>
      <c r="W30" s="15"/>
      <c r="X30" s="15"/>
      <c r="Y30" s="16"/>
      <c r="Z30" s="175"/>
      <c r="AA30" s="15"/>
      <c r="AB30" s="16"/>
      <c r="AC30" s="175"/>
      <c r="AD30" s="15"/>
      <c r="AE30" s="15"/>
      <c r="AF30" s="16"/>
      <c r="AG30" s="176"/>
      <c r="AH30" s="175"/>
    </row>
    <row r="31" spans="1:34" ht="21" customHeight="1" thickTop="1">
      <c r="A31" s="477">
        <v>7</v>
      </c>
      <c r="B31" s="462"/>
      <c r="C31" s="12"/>
      <c r="D31" s="13"/>
      <c r="E31" s="12"/>
      <c r="F31" s="13"/>
      <c r="G31" s="12"/>
      <c r="H31" s="270"/>
      <c r="I31" s="270"/>
      <c r="J31" s="13"/>
      <c r="K31" s="12"/>
      <c r="L31" s="273"/>
      <c r="M31" s="274"/>
      <c r="N31" s="13"/>
      <c r="O31" s="12"/>
      <c r="P31" s="273"/>
      <c r="Q31" s="274"/>
      <c r="R31" s="13"/>
      <c r="S31" s="12"/>
      <c r="T31" s="14"/>
      <c r="U31" s="14"/>
      <c r="V31" s="13"/>
      <c r="W31" s="11"/>
      <c r="X31" s="11"/>
      <c r="Y31" s="12"/>
      <c r="Z31" s="13"/>
      <c r="AA31" s="11"/>
      <c r="AB31" s="12"/>
      <c r="AC31" s="13"/>
      <c r="AD31" s="11"/>
      <c r="AE31" s="11"/>
      <c r="AF31" s="12"/>
      <c r="AG31" s="14"/>
      <c r="AH31" s="13"/>
    </row>
    <row r="32" spans="1:34" ht="21" customHeight="1">
      <c r="A32" s="477">
        <v>8</v>
      </c>
      <c r="B32" s="462"/>
      <c r="C32" s="12"/>
      <c r="D32" s="13"/>
      <c r="E32" s="12"/>
      <c r="F32" s="13"/>
      <c r="G32" s="12"/>
      <c r="H32" s="270"/>
      <c r="I32" s="270"/>
      <c r="J32" s="13"/>
      <c r="K32" s="12"/>
      <c r="L32" s="273"/>
      <c r="M32" s="274"/>
      <c r="N32" s="13"/>
      <c r="O32" s="12"/>
      <c r="P32" s="273"/>
      <c r="Q32" s="274"/>
      <c r="R32" s="13"/>
      <c r="S32" s="12"/>
      <c r="T32" s="14"/>
      <c r="U32" s="14"/>
      <c r="V32" s="13"/>
      <c r="W32" s="11"/>
      <c r="X32" s="11"/>
      <c r="Y32" s="12"/>
      <c r="Z32" s="13"/>
      <c r="AA32" s="11"/>
      <c r="AB32" s="12"/>
      <c r="AC32" s="13"/>
      <c r="AD32" s="11"/>
      <c r="AE32" s="11"/>
      <c r="AF32" s="12"/>
      <c r="AG32" s="14"/>
      <c r="AH32" s="13"/>
    </row>
    <row r="33" spans="1:34" ht="21" customHeight="1" thickBot="1">
      <c r="A33" s="478">
        <v>9</v>
      </c>
      <c r="B33" s="468"/>
      <c r="C33" s="16"/>
      <c r="D33" s="175"/>
      <c r="E33" s="16"/>
      <c r="F33" s="175"/>
      <c r="G33" s="16"/>
      <c r="H33" s="271"/>
      <c r="I33" s="271"/>
      <c r="J33" s="175"/>
      <c r="K33" s="16"/>
      <c r="L33" s="275"/>
      <c r="M33" s="276"/>
      <c r="N33" s="175"/>
      <c r="O33" s="16"/>
      <c r="P33" s="275"/>
      <c r="Q33" s="276"/>
      <c r="R33" s="175"/>
      <c r="S33" s="16"/>
      <c r="T33" s="176"/>
      <c r="U33" s="176"/>
      <c r="V33" s="175"/>
      <c r="W33" s="15"/>
      <c r="X33" s="15"/>
      <c r="Y33" s="16"/>
      <c r="Z33" s="175"/>
      <c r="AA33" s="15"/>
      <c r="AB33" s="16"/>
      <c r="AC33" s="175"/>
      <c r="AD33" s="15"/>
      <c r="AE33" s="15"/>
      <c r="AF33" s="16"/>
      <c r="AG33" s="176"/>
      <c r="AH33" s="175"/>
    </row>
    <row r="34" spans="1:34" ht="21" customHeight="1" thickTop="1">
      <c r="A34" s="477">
        <v>10</v>
      </c>
      <c r="B34" s="462"/>
      <c r="C34" s="12"/>
      <c r="D34" s="13"/>
      <c r="E34" s="12"/>
      <c r="F34" s="13"/>
      <c r="G34" s="12"/>
      <c r="H34" s="270"/>
      <c r="I34" s="270"/>
      <c r="J34" s="13"/>
      <c r="K34" s="12"/>
      <c r="L34" s="273"/>
      <c r="M34" s="274"/>
      <c r="N34" s="13"/>
      <c r="O34" s="12"/>
      <c r="P34" s="273"/>
      <c r="Q34" s="274"/>
      <c r="R34" s="13"/>
      <c r="S34" s="12"/>
      <c r="T34" s="14"/>
      <c r="U34" s="14"/>
      <c r="V34" s="13"/>
      <c r="W34" s="11"/>
      <c r="X34" s="11"/>
      <c r="Y34" s="12"/>
      <c r="Z34" s="13"/>
      <c r="AA34" s="11"/>
      <c r="AB34" s="12"/>
      <c r="AC34" s="13"/>
      <c r="AD34" s="11"/>
      <c r="AE34" s="11"/>
      <c r="AF34" s="12"/>
      <c r="AG34" s="14"/>
      <c r="AH34" s="13"/>
    </row>
    <row r="35" spans="1:34" ht="21" customHeight="1">
      <c r="A35" s="477">
        <v>11</v>
      </c>
      <c r="B35" s="462"/>
      <c r="C35" s="12"/>
      <c r="D35" s="13"/>
      <c r="E35" s="12"/>
      <c r="F35" s="13"/>
      <c r="G35" s="12"/>
      <c r="H35" s="270"/>
      <c r="I35" s="270"/>
      <c r="J35" s="13"/>
      <c r="K35" s="12"/>
      <c r="L35" s="273"/>
      <c r="M35" s="274"/>
      <c r="N35" s="13"/>
      <c r="O35" s="12"/>
      <c r="P35" s="273"/>
      <c r="Q35" s="274"/>
      <c r="R35" s="13"/>
      <c r="S35" s="12"/>
      <c r="T35" s="14"/>
      <c r="U35" s="14"/>
      <c r="V35" s="13"/>
      <c r="W35" s="11"/>
      <c r="X35" s="11"/>
      <c r="Y35" s="12"/>
      <c r="Z35" s="13"/>
      <c r="AA35" s="11"/>
      <c r="AB35" s="12"/>
      <c r="AC35" s="13"/>
      <c r="AD35" s="11"/>
      <c r="AE35" s="11"/>
      <c r="AF35" s="12"/>
      <c r="AG35" s="14"/>
      <c r="AH35" s="13"/>
    </row>
    <row r="36" spans="1:34" ht="21" customHeight="1" thickBot="1">
      <c r="A36" s="478">
        <v>12</v>
      </c>
      <c r="B36" s="468"/>
      <c r="C36" s="16"/>
      <c r="D36" s="175"/>
      <c r="E36" s="16"/>
      <c r="F36" s="175"/>
      <c r="G36" s="16"/>
      <c r="H36" s="271"/>
      <c r="I36" s="271"/>
      <c r="J36" s="175"/>
      <c r="K36" s="16"/>
      <c r="L36" s="275"/>
      <c r="M36" s="276"/>
      <c r="N36" s="175"/>
      <c r="O36" s="16"/>
      <c r="P36" s="275"/>
      <c r="Q36" s="276"/>
      <c r="R36" s="175"/>
      <c r="S36" s="16"/>
      <c r="T36" s="176"/>
      <c r="U36" s="176"/>
      <c r="V36" s="175"/>
      <c r="W36" s="15"/>
      <c r="X36" s="15"/>
      <c r="Y36" s="16"/>
      <c r="Z36" s="175"/>
      <c r="AA36" s="15"/>
      <c r="AB36" s="16"/>
      <c r="AC36" s="175"/>
      <c r="AD36" s="15"/>
      <c r="AE36" s="15"/>
      <c r="AF36" s="16"/>
      <c r="AG36" s="176"/>
      <c r="AH36" s="175"/>
    </row>
    <row r="37" spans="1:34" ht="21" customHeight="1" thickTop="1">
      <c r="A37" s="477">
        <v>13</v>
      </c>
      <c r="B37" s="462"/>
      <c r="C37" s="12"/>
      <c r="D37" s="13"/>
      <c r="E37" s="12"/>
      <c r="F37" s="13"/>
      <c r="G37" s="12"/>
      <c r="H37" s="270"/>
      <c r="I37" s="270"/>
      <c r="J37" s="13"/>
      <c r="K37" s="12"/>
      <c r="L37" s="273"/>
      <c r="M37" s="274"/>
      <c r="N37" s="13"/>
      <c r="O37" s="12"/>
      <c r="P37" s="273"/>
      <c r="Q37" s="274"/>
      <c r="R37" s="13"/>
      <c r="S37" s="12"/>
      <c r="T37" s="14"/>
      <c r="U37" s="14"/>
      <c r="V37" s="13"/>
      <c r="W37" s="11"/>
      <c r="X37" s="11"/>
      <c r="Y37" s="12"/>
      <c r="Z37" s="13"/>
      <c r="AA37" s="11"/>
      <c r="AB37" s="12"/>
      <c r="AC37" s="13"/>
      <c r="AD37" s="11"/>
      <c r="AE37" s="11"/>
      <c r="AF37" s="12"/>
      <c r="AG37" s="14"/>
      <c r="AH37" s="13"/>
    </row>
    <row r="38" spans="1:34" ht="21" customHeight="1">
      <c r="A38" s="477">
        <v>14</v>
      </c>
      <c r="B38" s="462"/>
      <c r="C38" s="12"/>
      <c r="D38" s="13"/>
      <c r="E38" s="12"/>
      <c r="F38" s="13"/>
      <c r="G38" s="12"/>
      <c r="H38" s="270"/>
      <c r="I38" s="270"/>
      <c r="J38" s="13"/>
      <c r="K38" s="12"/>
      <c r="L38" s="273"/>
      <c r="M38" s="274"/>
      <c r="N38" s="13"/>
      <c r="O38" s="12"/>
      <c r="P38" s="273"/>
      <c r="Q38" s="274"/>
      <c r="R38" s="13"/>
      <c r="S38" s="12"/>
      <c r="T38" s="14"/>
      <c r="U38" s="14"/>
      <c r="V38" s="13"/>
      <c r="W38" s="11"/>
      <c r="X38" s="11"/>
      <c r="Y38" s="12"/>
      <c r="Z38" s="13"/>
      <c r="AA38" s="11"/>
      <c r="AB38" s="12"/>
      <c r="AC38" s="13"/>
      <c r="AD38" s="11"/>
      <c r="AE38" s="11"/>
      <c r="AF38" s="12"/>
      <c r="AG38" s="14"/>
      <c r="AH38" s="13"/>
    </row>
    <row r="39" spans="1:34" ht="21" customHeight="1">
      <c r="A39" s="477">
        <v>15</v>
      </c>
      <c r="B39" s="462"/>
      <c r="C39" s="12"/>
      <c r="D39" s="13"/>
      <c r="E39" s="12"/>
      <c r="F39" s="13"/>
      <c r="G39" s="12"/>
      <c r="H39" s="270"/>
      <c r="I39" s="270"/>
      <c r="J39" s="13"/>
      <c r="K39" s="12"/>
      <c r="L39" s="273"/>
      <c r="M39" s="274"/>
      <c r="N39" s="13"/>
      <c r="O39" s="12"/>
      <c r="P39" s="273"/>
      <c r="Q39" s="274"/>
      <c r="R39" s="13"/>
      <c r="S39" s="12"/>
      <c r="T39" s="14"/>
      <c r="U39" s="14"/>
      <c r="V39" s="13"/>
      <c r="W39" s="11"/>
      <c r="X39" s="11"/>
      <c r="Y39" s="12"/>
      <c r="Z39" s="13"/>
      <c r="AA39" s="11"/>
      <c r="AB39" s="12"/>
      <c r="AC39" s="13"/>
      <c r="AD39" s="11"/>
      <c r="AE39" s="11"/>
      <c r="AF39" s="12"/>
      <c r="AG39" s="14"/>
      <c r="AH39" s="13"/>
    </row>
    <row r="40" spans="1:34" ht="15.95" customHeight="1"/>
  </sheetData>
  <customSheetViews>
    <customSheetView guid="{77361B37-359A-4BD7-AABE-B5C029043447}" showGridLines="0">
      <selection activeCell="Q14" sqref="Q14:Q18"/>
      <pageMargins left="0" right="0" top="0" bottom="0" header="0" footer="0"/>
      <pageSetup paperSize="9" orientation="landscape" r:id="rId1"/>
      <headerFooter alignWithMargins="0">
        <oddFooter>&amp;C&amp;P</oddFooter>
      </headerFooter>
    </customSheetView>
  </customSheetViews>
  <mergeCells count="54">
    <mergeCell ref="AF4:AH9"/>
    <mergeCell ref="AF10:AH20"/>
    <mergeCell ref="AF23:AH23"/>
    <mergeCell ref="Q24:R24"/>
    <mergeCell ref="S5:V5"/>
    <mergeCell ref="V14:V15"/>
    <mergeCell ref="S6:V8"/>
    <mergeCell ref="S3:W4"/>
    <mergeCell ref="T14:T15"/>
    <mergeCell ref="U14:U15"/>
    <mergeCell ref="S14:S15"/>
    <mergeCell ref="O3:R3"/>
    <mergeCell ref="W6:W15"/>
    <mergeCell ref="X4:X13"/>
    <mergeCell ref="X23:X24"/>
    <mergeCell ref="Z19:Z20"/>
    <mergeCell ref="B14:B24"/>
    <mergeCell ref="B4:B13"/>
    <mergeCell ref="O24:P24"/>
    <mergeCell ref="M24:N24"/>
    <mergeCell ref="G4:N13"/>
    <mergeCell ref="O21:R23"/>
    <mergeCell ref="C4:D7"/>
    <mergeCell ref="E3:F3"/>
    <mergeCell ref="G3:N3"/>
    <mergeCell ref="O4:R6"/>
    <mergeCell ref="AF3:AH3"/>
    <mergeCell ref="A3:A24"/>
    <mergeCell ref="AD3:AE3"/>
    <mergeCell ref="C3:D3"/>
    <mergeCell ref="O17:R20"/>
    <mergeCell ref="E4:F8"/>
    <mergeCell ref="AD4:AD16"/>
    <mergeCell ref="AE4:AE16"/>
    <mergeCell ref="W17:W23"/>
    <mergeCell ref="AD17:AD23"/>
    <mergeCell ref="AE17:AE23"/>
    <mergeCell ref="G24:J24"/>
    <mergeCell ref="K24:L24"/>
    <mergeCell ref="AA23:AA24"/>
    <mergeCell ref="Y3:Z3"/>
    <mergeCell ref="Y19:Y20"/>
    <mergeCell ref="Y21:Y22"/>
    <mergeCell ref="Y4:Z13"/>
    <mergeCell ref="X15:X22"/>
    <mergeCell ref="AA4:AA13"/>
    <mergeCell ref="AA15:AA22"/>
    <mergeCell ref="AB3:AC3"/>
    <mergeCell ref="AB4:AC13"/>
    <mergeCell ref="AB19:AB20"/>
    <mergeCell ref="AC19:AC20"/>
    <mergeCell ref="AB21:AB22"/>
    <mergeCell ref="AC21:AC22"/>
    <mergeCell ref="Z21:Z22"/>
  </mergeCells>
  <phoneticPr fontId="0" type="noConversion"/>
  <printOptions horizontalCentered="1"/>
  <pageMargins left="0.19685039370078741" right="0.19685039370078741" top="0.78740157480314965" bottom="0.59055118110236227" header="0.31496062992125984" footer="0.31496062992125984"/>
  <pageSetup paperSize="9" scale="65" orientation="landscape" r:id="rId2"/>
  <headerFooter alignWithMargins="0">
    <oddFooter>&amp;C&amp;P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52896-61AA-214F-BCA6-A403871DE898}">
  <sheetPr>
    <tabColor rgb="FFFF0000"/>
  </sheetPr>
  <dimension ref="A1:AW43"/>
  <sheetViews>
    <sheetView view="pageBreakPreview" topLeftCell="K1" zoomScaleNormal="100" zoomScaleSheetLayoutView="100" workbookViewId="0">
      <selection activeCell="AH4" sqref="AH4:AK15"/>
    </sheetView>
  </sheetViews>
  <sheetFormatPr defaultColWidth="9.140625" defaultRowHeight="11.25"/>
  <cols>
    <col min="1" max="1" width="3.42578125" style="99" customWidth="1"/>
    <col min="2" max="3" width="5.42578125" style="99" customWidth="1"/>
    <col min="4" max="4" width="16.140625" style="99" customWidth="1"/>
    <col min="5" max="5" width="15.28515625" style="99" customWidth="1"/>
    <col min="6" max="9" width="3.7109375" style="99" customWidth="1"/>
    <col min="10" max="10" width="24" style="99" customWidth="1"/>
    <col min="11" max="11" width="3.42578125" style="113" customWidth="1"/>
    <col min="12" max="12" width="5.5703125" style="113" customWidth="1"/>
    <col min="13" max="13" width="5.140625" style="113" customWidth="1"/>
    <col min="14" max="15" width="16.140625" style="99" customWidth="1"/>
    <col min="16" max="23" width="3.5703125" style="99" customWidth="1"/>
    <col min="24" max="24" width="8.140625" style="113" customWidth="1"/>
    <col min="25" max="25" width="6.42578125" style="113" customWidth="1"/>
    <col min="26" max="26" width="12.140625" style="99" customWidth="1"/>
    <col min="27" max="27" width="3" style="99" customWidth="1"/>
    <col min="28" max="29" width="16" style="99" customWidth="1"/>
    <col min="30" max="37" width="3.28515625" style="99" customWidth="1"/>
    <col min="38" max="38" width="22.28515625" style="99" customWidth="1"/>
    <col min="39" max="39" width="3.7109375" style="99" customWidth="1"/>
    <col min="40" max="41" width="16" style="99" customWidth="1"/>
    <col min="42" max="45" width="3.28515625" style="99" customWidth="1"/>
    <col min="46" max="16384" width="9.140625" style="99"/>
  </cols>
  <sheetData>
    <row r="1" spans="1:49" ht="15.75">
      <c r="B1" s="98" t="s">
        <v>60</v>
      </c>
      <c r="X1" s="98" t="s">
        <v>60</v>
      </c>
      <c r="AS1" s="1178" t="s">
        <v>115</v>
      </c>
    </row>
    <row r="2" spans="1:49" ht="15.75">
      <c r="A2" s="98"/>
      <c r="B2" s="1584" t="s">
        <v>62</v>
      </c>
      <c r="AS2" s="1585" t="s">
        <v>63</v>
      </c>
    </row>
    <row r="3" spans="1:49" ht="15" customHeight="1">
      <c r="A3" s="2011" t="s">
        <v>64</v>
      </c>
      <c r="B3" s="2008">
        <v>-1.1399999999999999</v>
      </c>
      <c r="C3" s="2010"/>
      <c r="D3" s="2008">
        <f>B3-0.01</f>
        <v>-1.1499999999999999</v>
      </c>
      <c r="E3" s="2009"/>
      <c r="F3" s="2009"/>
      <c r="G3" s="2009"/>
      <c r="H3" s="2009"/>
      <c r="I3" s="2010"/>
      <c r="J3" s="2008">
        <f>D3-0.01</f>
        <v>-1.1599999999999999</v>
      </c>
      <c r="K3" s="2009"/>
      <c r="L3" s="2008">
        <f>J3-0.01</f>
        <v>-1.17</v>
      </c>
      <c r="M3" s="2009"/>
      <c r="N3" s="2008">
        <f>L3-0.01</f>
        <v>-1.18</v>
      </c>
      <c r="O3" s="2009"/>
      <c r="P3" s="2009"/>
      <c r="Q3" s="2009"/>
      <c r="R3" s="2009"/>
      <c r="S3" s="2010"/>
      <c r="T3" s="2027">
        <f>N3-0.01</f>
        <v>-1.19</v>
      </c>
      <c r="U3" s="2028"/>
      <c r="V3" s="2028"/>
      <c r="W3" s="2029"/>
      <c r="X3" s="2008">
        <f>T3-0.01</f>
        <v>-1.2</v>
      </c>
      <c r="Y3" s="2010"/>
      <c r="Z3" s="2027">
        <f>X3-0.01</f>
        <v>-1.21</v>
      </c>
      <c r="AA3" s="2029"/>
      <c r="AB3" s="2008">
        <f>Z3-0.01</f>
        <v>-1.22</v>
      </c>
      <c r="AC3" s="2009"/>
      <c r="AD3" s="2009"/>
      <c r="AE3" s="2009"/>
      <c r="AF3" s="2009"/>
      <c r="AG3" s="2010"/>
      <c r="AH3" s="2027">
        <f>AB3-0.01</f>
        <v>-1.23</v>
      </c>
      <c r="AI3" s="2028"/>
      <c r="AJ3" s="2028"/>
      <c r="AK3" s="2029"/>
      <c r="AL3" s="2008">
        <f>AH3-0.01</f>
        <v>-1.24</v>
      </c>
      <c r="AM3" s="2010"/>
      <c r="AN3" s="2008">
        <f>AL3-0.01</f>
        <v>-1.25</v>
      </c>
      <c r="AO3" s="2009"/>
      <c r="AP3" s="2009"/>
      <c r="AQ3" s="2009"/>
      <c r="AR3" s="2009"/>
      <c r="AS3" s="2010"/>
      <c r="AT3" s="1179"/>
      <c r="AU3" s="1179"/>
      <c r="AV3" s="1179"/>
      <c r="AW3" s="1179"/>
    </row>
    <row r="4" spans="1:49" ht="15" customHeight="1">
      <c r="A4" s="2011"/>
      <c r="B4" s="2024" t="s">
        <v>116</v>
      </c>
      <c r="C4" s="2025"/>
      <c r="D4" s="2024" t="s">
        <v>117</v>
      </c>
      <c r="E4" s="2026"/>
      <c r="F4" s="2026"/>
      <c r="G4" s="2026"/>
      <c r="H4" s="2026"/>
      <c r="I4" s="2025"/>
      <c r="J4" s="2024" t="s">
        <v>118</v>
      </c>
      <c r="K4" s="2025"/>
      <c r="L4" s="2034" t="s">
        <v>119</v>
      </c>
      <c r="M4" s="2035"/>
      <c r="N4" s="2024" t="s">
        <v>120</v>
      </c>
      <c r="O4" s="2026"/>
      <c r="P4" s="2026"/>
      <c r="Q4" s="2026"/>
      <c r="R4" s="2026"/>
      <c r="S4" s="2025"/>
      <c r="T4" s="2034" t="s">
        <v>121</v>
      </c>
      <c r="U4" s="2035"/>
      <c r="V4" s="2035"/>
      <c r="W4" s="2036"/>
      <c r="X4" s="2024" t="s">
        <v>122</v>
      </c>
      <c r="Y4" s="2025"/>
      <c r="Z4" s="2024" t="s">
        <v>123</v>
      </c>
      <c r="AA4" s="2025"/>
      <c r="AB4" s="2042" t="s">
        <v>124</v>
      </c>
      <c r="AC4" s="2043"/>
      <c r="AD4" s="2043"/>
      <c r="AE4" s="2043"/>
      <c r="AF4" s="2043"/>
      <c r="AG4" s="2044"/>
      <c r="AH4" s="2024" t="s">
        <v>125</v>
      </c>
      <c r="AI4" s="2026"/>
      <c r="AJ4" s="2026"/>
      <c r="AK4" s="2025"/>
      <c r="AL4" s="2024" t="s">
        <v>126</v>
      </c>
      <c r="AM4" s="2025"/>
      <c r="AN4" s="2024" t="s">
        <v>127</v>
      </c>
      <c r="AO4" s="2026"/>
      <c r="AP4" s="2026"/>
      <c r="AQ4" s="2026"/>
      <c r="AR4" s="2026"/>
      <c r="AS4" s="2025"/>
    </row>
    <row r="5" spans="1:49" ht="15" customHeight="1">
      <c r="A5" s="2011"/>
      <c r="B5" s="2024"/>
      <c r="C5" s="2025"/>
      <c r="D5" s="2024"/>
      <c r="E5" s="2026"/>
      <c r="F5" s="2026"/>
      <c r="G5" s="2026"/>
      <c r="H5" s="2026"/>
      <c r="I5" s="2025"/>
      <c r="J5" s="2024"/>
      <c r="K5" s="2025"/>
      <c r="L5" s="2034"/>
      <c r="M5" s="2035"/>
      <c r="N5" s="2024"/>
      <c r="O5" s="2026"/>
      <c r="P5" s="2026"/>
      <c r="Q5" s="2026"/>
      <c r="R5" s="2026"/>
      <c r="S5" s="2025"/>
      <c r="T5" s="2034"/>
      <c r="U5" s="2035"/>
      <c r="V5" s="2035"/>
      <c r="W5" s="2036"/>
      <c r="X5" s="2024"/>
      <c r="Y5" s="2025"/>
      <c r="Z5" s="2024"/>
      <c r="AA5" s="2025"/>
      <c r="AB5" s="2042"/>
      <c r="AC5" s="2043"/>
      <c r="AD5" s="2043"/>
      <c r="AE5" s="2043"/>
      <c r="AF5" s="2043"/>
      <c r="AG5" s="2044"/>
      <c r="AH5" s="2024"/>
      <c r="AI5" s="2026"/>
      <c r="AJ5" s="2026"/>
      <c r="AK5" s="2025"/>
      <c r="AL5" s="2024"/>
      <c r="AM5" s="2025"/>
      <c r="AN5" s="2024"/>
      <c r="AO5" s="2026"/>
      <c r="AP5" s="2026"/>
      <c r="AQ5" s="2026"/>
      <c r="AR5" s="2026"/>
      <c r="AS5" s="2025"/>
    </row>
    <row r="6" spans="1:49" ht="15" customHeight="1">
      <c r="A6" s="2011"/>
      <c r="B6" s="2024"/>
      <c r="C6" s="2025"/>
      <c r="D6" s="2024"/>
      <c r="E6" s="2026"/>
      <c r="F6" s="2026"/>
      <c r="G6" s="2026"/>
      <c r="H6" s="2026"/>
      <c r="I6" s="2025"/>
      <c r="J6" s="2024"/>
      <c r="K6" s="2025"/>
      <c r="L6" s="2034"/>
      <c r="M6" s="2035"/>
      <c r="N6" s="2024"/>
      <c r="O6" s="2026"/>
      <c r="P6" s="2026"/>
      <c r="Q6" s="2026"/>
      <c r="R6" s="2026"/>
      <c r="S6" s="2025"/>
      <c r="T6" s="2034"/>
      <c r="U6" s="2035"/>
      <c r="V6" s="2035"/>
      <c r="W6" s="2036"/>
      <c r="X6" s="2024"/>
      <c r="Y6" s="2025"/>
      <c r="Z6" s="2024"/>
      <c r="AA6" s="2025"/>
      <c r="AB6" s="2042"/>
      <c r="AC6" s="2043"/>
      <c r="AD6" s="2043"/>
      <c r="AE6" s="2043"/>
      <c r="AF6" s="2043"/>
      <c r="AG6" s="2044"/>
      <c r="AH6" s="2024"/>
      <c r="AI6" s="2026"/>
      <c r="AJ6" s="2026"/>
      <c r="AK6" s="2025"/>
      <c r="AL6" s="2024"/>
      <c r="AM6" s="2025"/>
      <c r="AN6" s="2024"/>
      <c r="AO6" s="2026"/>
      <c r="AP6" s="2026"/>
      <c r="AQ6" s="2026"/>
      <c r="AR6" s="2026"/>
      <c r="AS6" s="2025"/>
    </row>
    <row r="7" spans="1:49" ht="15" customHeight="1">
      <c r="A7" s="2011"/>
      <c r="B7" s="2024"/>
      <c r="C7" s="2025"/>
      <c r="D7" s="2024"/>
      <c r="E7" s="2026"/>
      <c r="F7" s="2026"/>
      <c r="G7" s="2026"/>
      <c r="H7" s="2026"/>
      <c r="I7" s="2025"/>
      <c r="J7" s="1152"/>
      <c r="K7" s="1152"/>
      <c r="L7" s="2034"/>
      <c r="M7" s="2035"/>
      <c r="N7" s="2024"/>
      <c r="O7" s="2026"/>
      <c r="P7" s="2026"/>
      <c r="Q7" s="2026"/>
      <c r="R7" s="2026"/>
      <c r="S7" s="2025"/>
      <c r="T7" s="2034"/>
      <c r="U7" s="2035"/>
      <c r="V7" s="2035"/>
      <c r="W7" s="2036"/>
      <c r="X7" s="2024"/>
      <c r="Y7" s="2025"/>
      <c r="Z7" s="2024"/>
      <c r="AA7" s="2025"/>
      <c r="AB7" s="2042"/>
      <c r="AC7" s="2043"/>
      <c r="AD7" s="2043"/>
      <c r="AE7" s="2043"/>
      <c r="AF7" s="2043"/>
      <c r="AG7" s="2044"/>
      <c r="AH7" s="2024"/>
      <c r="AI7" s="2026"/>
      <c r="AJ7" s="2026"/>
      <c r="AK7" s="2025"/>
      <c r="AL7" s="2024"/>
      <c r="AM7" s="2025"/>
      <c r="AN7" s="2024"/>
      <c r="AO7" s="2026"/>
      <c r="AP7" s="2026"/>
      <c r="AQ7" s="2026"/>
      <c r="AR7" s="2026"/>
      <c r="AS7" s="2025"/>
    </row>
    <row r="8" spans="1:49" ht="15" customHeight="1">
      <c r="A8" s="2011"/>
      <c r="B8" s="2024"/>
      <c r="C8" s="2025"/>
      <c r="D8" s="2024"/>
      <c r="E8" s="2026"/>
      <c r="F8" s="2026"/>
      <c r="G8" s="2026"/>
      <c r="H8" s="2026"/>
      <c r="I8" s="2025"/>
      <c r="J8" s="1152"/>
      <c r="K8" s="1152"/>
      <c r="L8" s="2034"/>
      <c r="M8" s="2035"/>
      <c r="N8" s="2024"/>
      <c r="O8" s="2026"/>
      <c r="P8" s="2026"/>
      <c r="Q8" s="2026"/>
      <c r="R8" s="2026"/>
      <c r="S8" s="2025"/>
      <c r="T8" s="2034"/>
      <c r="U8" s="2035"/>
      <c r="V8" s="2035"/>
      <c r="W8" s="2036"/>
      <c r="X8" s="2024"/>
      <c r="Y8" s="2025"/>
      <c r="Z8" s="2024"/>
      <c r="AA8" s="2025"/>
      <c r="AB8" s="2042"/>
      <c r="AC8" s="2043"/>
      <c r="AD8" s="2043"/>
      <c r="AE8" s="2043"/>
      <c r="AF8" s="2043"/>
      <c r="AG8" s="2044"/>
      <c r="AH8" s="2024"/>
      <c r="AI8" s="2026"/>
      <c r="AJ8" s="2026"/>
      <c r="AK8" s="2025"/>
      <c r="AL8" s="1373" t="s">
        <v>128</v>
      </c>
      <c r="AM8" s="1376">
        <v>1</v>
      </c>
      <c r="AN8" s="2024"/>
      <c r="AO8" s="2026"/>
      <c r="AP8" s="2026"/>
      <c r="AQ8" s="2026"/>
      <c r="AR8" s="2026"/>
      <c r="AS8" s="2025"/>
    </row>
    <row r="9" spans="1:49" ht="15" customHeight="1">
      <c r="A9" s="2011"/>
      <c r="B9" s="2024"/>
      <c r="C9" s="2025"/>
      <c r="D9" s="2024"/>
      <c r="E9" s="2026"/>
      <c r="F9" s="2026"/>
      <c r="G9" s="2026"/>
      <c r="H9" s="2026"/>
      <c r="I9" s="2025"/>
      <c r="J9" s="1152"/>
      <c r="K9" s="1152"/>
      <c r="L9" s="2034"/>
      <c r="M9" s="2035"/>
      <c r="N9" s="2024"/>
      <c r="O9" s="2026"/>
      <c r="P9" s="2026"/>
      <c r="Q9" s="2026"/>
      <c r="R9" s="2026"/>
      <c r="S9" s="2025"/>
      <c r="T9" s="2034"/>
      <c r="U9" s="2035"/>
      <c r="V9" s="2035"/>
      <c r="W9" s="2036"/>
      <c r="X9" s="2024"/>
      <c r="Y9" s="2025"/>
      <c r="Z9" s="2024"/>
      <c r="AA9" s="2025"/>
      <c r="AB9" s="2042"/>
      <c r="AC9" s="2043"/>
      <c r="AD9" s="2043"/>
      <c r="AE9" s="2043"/>
      <c r="AF9" s="2043"/>
      <c r="AG9" s="2044"/>
      <c r="AH9" s="2024"/>
      <c r="AI9" s="2026"/>
      <c r="AJ9" s="2026"/>
      <c r="AK9" s="2025"/>
      <c r="AL9" s="1374" t="s">
        <v>129</v>
      </c>
      <c r="AM9" s="1376">
        <v>2</v>
      </c>
      <c r="AN9" s="2024"/>
      <c r="AO9" s="2026"/>
      <c r="AP9" s="2026"/>
      <c r="AQ9" s="2026"/>
      <c r="AR9" s="2026"/>
      <c r="AS9" s="2025"/>
    </row>
    <row r="10" spans="1:49" ht="15" customHeight="1">
      <c r="A10" s="2011"/>
      <c r="B10" s="2024"/>
      <c r="C10" s="2025"/>
      <c r="D10" s="2024"/>
      <c r="E10" s="2026"/>
      <c r="F10" s="2026"/>
      <c r="G10" s="2026"/>
      <c r="H10" s="2026"/>
      <c r="I10" s="2025"/>
      <c r="J10" s="1152"/>
      <c r="K10" s="1152"/>
      <c r="L10" s="2034"/>
      <c r="M10" s="2035"/>
      <c r="N10" s="2024"/>
      <c r="O10" s="2026"/>
      <c r="P10" s="2026"/>
      <c r="Q10" s="2026"/>
      <c r="R10" s="2026"/>
      <c r="S10" s="2025"/>
      <c r="T10" s="2034"/>
      <c r="U10" s="2035"/>
      <c r="V10" s="2035"/>
      <c r="W10" s="2036"/>
      <c r="X10" s="2024"/>
      <c r="Y10" s="2025"/>
      <c r="Z10" s="2024"/>
      <c r="AA10" s="2025"/>
      <c r="AB10" s="2042"/>
      <c r="AC10" s="2043"/>
      <c r="AD10" s="2043"/>
      <c r="AE10" s="2043"/>
      <c r="AF10" s="2043"/>
      <c r="AG10" s="2044"/>
      <c r="AH10" s="2024"/>
      <c r="AI10" s="2026"/>
      <c r="AJ10" s="2026"/>
      <c r="AK10" s="2025"/>
      <c r="AL10" s="2045" t="s">
        <v>130</v>
      </c>
      <c r="AM10" s="2013">
        <v>3</v>
      </c>
      <c r="AN10" s="2024"/>
      <c r="AO10" s="2026"/>
      <c r="AP10" s="2026"/>
      <c r="AQ10" s="2026"/>
      <c r="AR10" s="2026"/>
      <c r="AS10" s="2025"/>
    </row>
    <row r="11" spans="1:49" ht="15" customHeight="1">
      <c r="A11" s="2011"/>
      <c r="B11" s="2024"/>
      <c r="C11" s="2025"/>
      <c r="D11" s="2024"/>
      <c r="E11" s="2026"/>
      <c r="F11" s="2026"/>
      <c r="G11" s="2026"/>
      <c r="H11" s="2026"/>
      <c r="I11" s="2025"/>
      <c r="L11" s="2034"/>
      <c r="M11" s="2035"/>
      <c r="N11" s="2024"/>
      <c r="O11" s="2026"/>
      <c r="P11" s="2026"/>
      <c r="Q11" s="2026"/>
      <c r="R11" s="2026"/>
      <c r="S11" s="2025"/>
      <c r="T11" s="1723"/>
      <c r="U11" s="1724"/>
      <c r="V11" s="1724"/>
      <c r="W11" s="1725"/>
      <c r="X11" s="886"/>
      <c r="Y11" s="887"/>
      <c r="Z11" s="2022" t="s">
        <v>131</v>
      </c>
      <c r="AA11" s="2033"/>
      <c r="AB11" s="2042"/>
      <c r="AC11" s="2043"/>
      <c r="AD11" s="2043"/>
      <c r="AE11" s="2043"/>
      <c r="AF11" s="2043"/>
      <c r="AG11" s="2044"/>
      <c r="AH11" s="2024"/>
      <c r="AI11" s="2026"/>
      <c r="AJ11" s="2026"/>
      <c r="AK11" s="2025"/>
      <c r="AL11" s="2031"/>
      <c r="AM11" s="2014"/>
      <c r="AN11" s="2024"/>
      <c r="AO11" s="2026"/>
      <c r="AP11" s="2026"/>
      <c r="AQ11" s="2026"/>
      <c r="AR11" s="2026"/>
      <c r="AS11" s="2025"/>
    </row>
    <row r="12" spans="1:49" ht="15" customHeight="1">
      <c r="A12" s="2011"/>
      <c r="B12" s="2024"/>
      <c r="C12" s="2025"/>
      <c r="D12" s="2024"/>
      <c r="E12" s="2026"/>
      <c r="F12" s="2026"/>
      <c r="G12" s="2026"/>
      <c r="H12" s="2026"/>
      <c r="I12" s="2026"/>
      <c r="J12" s="1180"/>
      <c r="K12" s="1151"/>
      <c r="L12" s="2035"/>
      <c r="M12" s="2035"/>
      <c r="N12" s="2024"/>
      <c r="O12" s="2026"/>
      <c r="P12" s="2026"/>
      <c r="Q12" s="2026"/>
      <c r="R12" s="2026"/>
      <c r="S12" s="2025"/>
      <c r="T12" s="1723"/>
      <c r="U12" s="1724"/>
      <c r="V12" s="1724"/>
      <c r="W12" s="1725"/>
      <c r="X12" s="886"/>
      <c r="Y12" s="887"/>
      <c r="Z12" s="2022"/>
      <c r="AA12" s="2033"/>
      <c r="AB12" s="2042"/>
      <c r="AC12" s="2043"/>
      <c r="AD12" s="2043"/>
      <c r="AE12" s="2043"/>
      <c r="AF12" s="2043"/>
      <c r="AG12" s="2044"/>
      <c r="AH12" s="2024"/>
      <c r="AI12" s="2026"/>
      <c r="AJ12" s="2026"/>
      <c r="AK12" s="2025"/>
      <c r="AL12" s="1184" t="s">
        <v>132</v>
      </c>
      <c r="AM12" s="566">
        <v>4</v>
      </c>
      <c r="AN12" s="2024"/>
      <c r="AO12" s="2026"/>
      <c r="AP12" s="2026"/>
      <c r="AQ12" s="2026"/>
      <c r="AR12" s="2026"/>
      <c r="AS12" s="2025"/>
    </row>
    <row r="13" spans="1:49" ht="15" customHeight="1">
      <c r="A13" s="2011"/>
      <c r="B13" s="2024"/>
      <c r="C13" s="2025"/>
      <c r="D13" s="2024"/>
      <c r="E13" s="2026"/>
      <c r="F13" s="2026"/>
      <c r="G13" s="2026"/>
      <c r="H13" s="2026"/>
      <c r="I13" s="2026"/>
      <c r="J13" s="2045" t="s">
        <v>130</v>
      </c>
      <c r="K13" s="2013">
        <v>1</v>
      </c>
      <c r="L13" s="2035"/>
      <c r="M13" s="2035"/>
      <c r="N13" s="2024"/>
      <c r="O13" s="2026"/>
      <c r="P13" s="2026"/>
      <c r="Q13" s="2026"/>
      <c r="R13" s="2026"/>
      <c r="S13" s="2025"/>
      <c r="T13" s="1723"/>
      <c r="U13" s="1724"/>
      <c r="V13" s="1724"/>
      <c r="W13" s="1725"/>
      <c r="X13" s="886"/>
      <c r="Y13" s="887"/>
      <c r="Z13" s="2022"/>
      <c r="AA13" s="2033"/>
      <c r="AB13" s="2042"/>
      <c r="AC13" s="2043"/>
      <c r="AD13" s="2043"/>
      <c r="AE13" s="2043"/>
      <c r="AF13" s="2043"/>
      <c r="AG13" s="2044"/>
      <c r="AH13" s="2024"/>
      <c r="AI13" s="2026"/>
      <c r="AJ13" s="2026"/>
      <c r="AK13" s="2025"/>
      <c r="AL13" s="2045" t="s">
        <v>133</v>
      </c>
      <c r="AM13" s="2046">
        <v>5</v>
      </c>
      <c r="AN13" s="2024"/>
      <c r="AO13" s="2026"/>
      <c r="AP13" s="2026"/>
      <c r="AQ13" s="2026"/>
      <c r="AR13" s="2026"/>
      <c r="AS13" s="2025"/>
    </row>
    <row r="14" spans="1:49" ht="15" customHeight="1">
      <c r="A14" s="2011"/>
      <c r="B14" s="2024"/>
      <c r="C14" s="2025"/>
      <c r="D14" s="2024"/>
      <c r="E14" s="2026"/>
      <c r="F14" s="2026"/>
      <c r="G14" s="2026"/>
      <c r="H14" s="2026"/>
      <c r="I14" s="2026"/>
      <c r="J14" s="2031"/>
      <c r="K14" s="2014"/>
      <c r="L14" s="2035"/>
      <c r="M14" s="2035"/>
      <c r="N14" s="2024"/>
      <c r="O14" s="2026"/>
      <c r="P14" s="2026"/>
      <c r="Q14" s="2026"/>
      <c r="R14" s="2026"/>
      <c r="S14" s="2025"/>
      <c r="T14" s="1723"/>
      <c r="U14" s="1724"/>
      <c r="V14" s="1724"/>
      <c r="W14" s="1725"/>
      <c r="X14" s="886"/>
      <c r="Y14" s="887"/>
      <c r="Z14" s="2022"/>
      <c r="AA14" s="2033"/>
      <c r="AB14" s="2042"/>
      <c r="AC14" s="2043"/>
      <c r="AD14" s="2043"/>
      <c r="AE14" s="2043"/>
      <c r="AF14" s="2043"/>
      <c r="AG14" s="2044"/>
      <c r="AH14" s="2024"/>
      <c r="AI14" s="2026"/>
      <c r="AJ14" s="2026"/>
      <c r="AK14" s="2025"/>
      <c r="AL14" s="2031"/>
      <c r="AM14" s="2047"/>
      <c r="AN14" s="2024"/>
      <c r="AO14" s="2026"/>
      <c r="AP14" s="2026"/>
      <c r="AQ14" s="2026"/>
      <c r="AR14" s="2026"/>
      <c r="AS14" s="2025"/>
    </row>
    <row r="15" spans="1:49" ht="15" customHeight="1">
      <c r="A15" s="2011"/>
      <c r="B15" s="2024"/>
      <c r="C15" s="2025"/>
      <c r="D15" s="2022" t="s">
        <v>134</v>
      </c>
      <c r="E15" s="2023"/>
      <c r="F15" s="2023"/>
      <c r="G15" s="2023"/>
      <c r="H15" s="2023"/>
      <c r="I15" s="2023"/>
      <c r="J15" s="1184" t="s">
        <v>132</v>
      </c>
      <c r="K15" s="1185">
        <v>2</v>
      </c>
      <c r="N15" s="2022" t="s">
        <v>135</v>
      </c>
      <c r="O15" s="2023"/>
      <c r="P15" s="2023"/>
      <c r="Q15" s="2023"/>
      <c r="R15" s="2023"/>
      <c r="S15" s="2033"/>
      <c r="T15" s="1723"/>
      <c r="U15" s="1724"/>
      <c r="V15" s="1724"/>
      <c r="W15" s="1725"/>
      <c r="X15" s="1183"/>
      <c r="Y15" s="1151"/>
      <c r="Z15" s="2022"/>
      <c r="AA15" s="2033"/>
      <c r="AB15" s="2022" t="s">
        <v>136</v>
      </c>
      <c r="AC15" s="2023"/>
      <c r="AD15" s="2023"/>
      <c r="AE15" s="2023"/>
      <c r="AF15" s="2023"/>
      <c r="AG15" s="2033"/>
      <c r="AH15" s="2024"/>
      <c r="AI15" s="2026"/>
      <c r="AJ15" s="2026"/>
      <c r="AK15" s="2025"/>
      <c r="AL15" s="2030" t="s">
        <v>137</v>
      </c>
      <c r="AM15" s="2032">
        <v>6</v>
      </c>
      <c r="AN15" s="2022" t="s">
        <v>138</v>
      </c>
      <c r="AO15" s="2023"/>
      <c r="AP15" s="2023"/>
      <c r="AQ15" s="2023"/>
      <c r="AR15" s="2023"/>
      <c r="AS15" s="2033"/>
    </row>
    <row r="16" spans="1:49" ht="15" customHeight="1">
      <c r="A16" s="2011"/>
      <c r="B16" s="2024"/>
      <c r="C16" s="2025"/>
      <c r="D16" s="2022"/>
      <c r="E16" s="2023"/>
      <c r="F16" s="2023"/>
      <c r="G16" s="2023"/>
      <c r="H16" s="2023"/>
      <c r="I16" s="2023"/>
      <c r="J16" s="1184" t="s">
        <v>139</v>
      </c>
      <c r="K16" s="1185">
        <v>3</v>
      </c>
      <c r="N16" s="2022"/>
      <c r="O16" s="2023"/>
      <c r="P16" s="2023"/>
      <c r="Q16" s="2023"/>
      <c r="R16" s="2023"/>
      <c r="S16" s="2033"/>
      <c r="T16" s="1726"/>
      <c r="U16" s="1727"/>
      <c r="V16" s="1727"/>
      <c r="W16" s="1728"/>
      <c r="X16" s="1183"/>
      <c r="Y16" s="1151"/>
      <c r="Z16" s="2022"/>
      <c r="AA16" s="2033"/>
      <c r="AB16" s="2022"/>
      <c r="AC16" s="2023"/>
      <c r="AD16" s="2023"/>
      <c r="AE16" s="2023"/>
      <c r="AF16" s="2023"/>
      <c r="AG16" s="2033"/>
      <c r="AH16" s="1186"/>
      <c r="AI16" s="1187"/>
      <c r="AJ16" s="1187"/>
      <c r="AK16" s="1182"/>
      <c r="AL16" s="2031"/>
      <c r="AM16" s="2014"/>
      <c r="AN16" s="2022"/>
      <c r="AO16" s="2023"/>
      <c r="AP16" s="2023"/>
      <c r="AQ16" s="2023"/>
      <c r="AR16" s="2023"/>
      <c r="AS16" s="2033"/>
    </row>
    <row r="17" spans="1:45" ht="15" customHeight="1">
      <c r="A17" s="2011"/>
      <c r="B17" s="2024"/>
      <c r="C17" s="2025"/>
      <c r="D17" s="2022"/>
      <c r="E17" s="2023"/>
      <c r="F17" s="2023"/>
      <c r="G17" s="2023"/>
      <c r="H17" s="2023"/>
      <c r="I17" s="2023"/>
      <c r="J17" s="2040" t="s">
        <v>140</v>
      </c>
      <c r="K17" s="2013">
        <v>4</v>
      </c>
      <c r="N17" s="2022"/>
      <c r="O17" s="2023"/>
      <c r="P17" s="2023"/>
      <c r="Q17" s="2023"/>
      <c r="R17" s="2023"/>
      <c r="S17" s="2033"/>
      <c r="T17" s="1726"/>
      <c r="U17" s="1727"/>
      <c r="V17" s="1727"/>
      <c r="W17" s="1728"/>
      <c r="X17" s="1183"/>
      <c r="Y17" s="1151"/>
      <c r="Z17" s="2022"/>
      <c r="AA17" s="2033"/>
      <c r="AB17" s="2022"/>
      <c r="AC17" s="2023"/>
      <c r="AD17" s="2023"/>
      <c r="AE17" s="2023"/>
      <c r="AF17" s="2023"/>
      <c r="AG17" s="2033"/>
      <c r="AH17" s="1186"/>
      <c r="AI17" s="1187"/>
      <c r="AJ17" s="1187"/>
      <c r="AK17" s="1182"/>
      <c r="AL17" s="1375" t="s">
        <v>141</v>
      </c>
      <c r="AM17" s="1185">
        <v>7</v>
      </c>
      <c r="AN17" s="2022"/>
      <c r="AO17" s="2023"/>
      <c r="AP17" s="2023"/>
      <c r="AQ17" s="2023"/>
      <c r="AR17" s="2023"/>
      <c r="AS17" s="2033"/>
    </row>
    <row r="18" spans="1:45" ht="15" customHeight="1">
      <c r="A18" s="2011"/>
      <c r="B18" s="1188"/>
      <c r="C18" s="1182"/>
      <c r="D18" s="2022"/>
      <c r="E18" s="2023"/>
      <c r="F18" s="2023"/>
      <c r="G18" s="2023"/>
      <c r="H18" s="2023"/>
      <c r="I18" s="2023"/>
      <c r="J18" s="2041"/>
      <c r="K18" s="2014"/>
      <c r="N18" s="2022"/>
      <c r="O18" s="2023"/>
      <c r="P18" s="2023"/>
      <c r="Q18" s="2023"/>
      <c r="R18" s="2023"/>
      <c r="S18" s="2033"/>
      <c r="T18" s="2054" t="s">
        <v>142</v>
      </c>
      <c r="U18" s="2055"/>
      <c r="V18" s="2055"/>
      <c r="W18" s="2056"/>
      <c r="X18" s="1183"/>
      <c r="Y18" s="1151"/>
      <c r="Z18" s="2022"/>
      <c r="AA18" s="2033"/>
      <c r="AB18" s="2022" t="s">
        <v>143</v>
      </c>
      <c r="AC18" s="2023"/>
      <c r="AD18" s="2023"/>
      <c r="AE18" s="2023"/>
      <c r="AF18" s="2023"/>
      <c r="AG18" s="2033"/>
      <c r="AH18" s="2022" t="s">
        <v>144</v>
      </c>
      <c r="AI18" s="2023"/>
      <c r="AJ18" s="2023"/>
      <c r="AK18" s="2033"/>
      <c r="AL18" s="2040" t="s">
        <v>145</v>
      </c>
      <c r="AM18" s="2013">
        <v>8</v>
      </c>
      <c r="AN18" s="2022"/>
      <c r="AO18" s="2023"/>
      <c r="AP18" s="2023"/>
      <c r="AQ18" s="2023"/>
      <c r="AR18" s="2023"/>
      <c r="AS18" s="2033"/>
    </row>
    <row r="19" spans="1:45" ht="15" customHeight="1">
      <c r="A19" s="2011"/>
      <c r="B19" s="1188"/>
      <c r="C19" s="1182"/>
      <c r="D19" s="1189"/>
      <c r="E19" s="1190"/>
      <c r="F19" s="1190"/>
      <c r="G19" s="1190"/>
      <c r="H19" s="1190"/>
      <c r="I19" s="1190"/>
      <c r="J19" s="1243" t="s">
        <v>146</v>
      </c>
      <c r="K19" s="1185">
        <v>5</v>
      </c>
      <c r="N19" s="1186"/>
      <c r="O19" s="1187"/>
      <c r="P19" s="1187"/>
      <c r="Q19" s="1187"/>
      <c r="R19" s="1187"/>
      <c r="S19" s="1182"/>
      <c r="T19" s="2054"/>
      <c r="U19" s="2055"/>
      <c r="V19" s="2055"/>
      <c r="W19" s="2056"/>
      <c r="X19" s="1183"/>
      <c r="Y19" s="1151"/>
      <c r="Z19" s="2022"/>
      <c r="AA19" s="2033"/>
      <c r="AB19" s="2022"/>
      <c r="AC19" s="2023"/>
      <c r="AD19" s="2023"/>
      <c r="AE19" s="2023"/>
      <c r="AF19" s="2023"/>
      <c r="AG19" s="2033"/>
      <c r="AH19" s="2022"/>
      <c r="AI19" s="2023"/>
      <c r="AJ19" s="2023"/>
      <c r="AK19" s="2033"/>
      <c r="AL19" s="2041"/>
      <c r="AM19" s="2014"/>
      <c r="AN19" s="2022"/>
      <c r="AO19" s="2023"/>
      <c r="AP19" s="2023"/>
      <c r="AQ19" s="2023"/>
      <c r="AR19" s="2023"/>
      <c r="AS19" s="2033"/>
    </row>
    <row r="20" spans="1:45" ht="15" customHeight="1">
      <c r="A20" s="2011"/>
      <c r="B20" s="1188"/>
      <c r="C20" s="1182"/>
      <c r="D20" s="1189"/>
      <c r="E20" s="1190"/>
      <c r="F20" s="1190"/>
      <c r="G20" s="1190"/>
      <c r="H20" s="1190"/>
      <c r="I20" s="1190"/>
      <c r="J20" s="693" t="s">
        <v>147</v>
      </c>
      <c r="K20" s="1181">
        <v>6</v>
      </c>
      <c r="N20" s="1186"/>
      <c r="O20" s="1187"/>
      <c r="P20" s="1187"/>
      <c r="Q20" s="1187"/>
      <c r="R20" s="1187"/>
      <c r="S20" s="1182"/>
      <c r="T20" s="2054"/>
      <c r="U20" s="2055"/>
      <c r="V20" s="2055"/>
      <c r="W20" s="2056"/>
      <c r="X20" s="1183"/>
      <c r="Y20" s="1151"/>
      <c r="Z20" s="2022"/>
      <c r="AA20" s="2033"/>
      <c r="AB20" s="2022"/>
      <c r="AC20" s="2023"/>
      <c r="AD20" s="2023"/>
      <c r="AE20" s="2023"/>
      <c r="AF20" s="2023"/>
      <c r="AG20" s="2033"/>
      <c r="AH20" s="2022"/>
      <c r="AI20" s="2023"/>
      <c r="AJ20" s="2023"/>
      <c r="AK20" s="2033"/>
      <c r="AL20" s="2040" t="s">
        <v>148</v>
      </c>
      <c r="AM20" s="2013">
        <v>9</v>
      </c>
      <c r="AN20" s="2022"/>
      <c r="AO20" s="2023"/>
      <c r="AP20" s="2023"/>
      <c r="AQ20" s="2023"/>
      <c r="AR20" s="2023"/>
      <c r="AS20" s="2033"/>
    </row>
    <row r="21" spans="1:45" ht="15" customHeight="1">
      <c r="A21" s="2011"/>
      <c r="B21" s="1188"/>
      <c r="C21" s="1182"/>
      <c r="D21" s="1189"/>
      <c r="E21" s="1190"/>
      <c r="F21" s="1190"/>
      <c r="G21" s="1190"/>
      <c r="H21" s="1190"/>
      <c r="I21" s="1190"/>
      <c r="J21" s="1184" t="s">
        <v>149</v>
      </c>
      <c r="K21" s="1185">
        <v>7</v>
      </c>
      <c r="N21" s="1189"/>
      <c r="O21" s="1190"/>
      <c r="P21" s="1190"/>
      <c r="Q21" s="1190"/>
      <c r="R21" s="1190"/>
      <c r="S21" s="1191"/>
      <c r="T21" s="2054"/>
      <c r="U21" s="2055"/>
      <c r="V21" s="2055"/>
      <c r="W21" s="2056"/>
      <c r="X21" s="1183"/>
      <c r="Y21" s="1151"/>
      <c r="Z21" s="2037"/>
      <c r="AA21" s="2039"/>
      <c r="AB21" s="1186"/>
      <c r="AC21" s="1187"/>
      <c r="AD21" s="1187"/>
      <c r="AE21" s="1187"/>
      <c r="AF21" s="1187"/>
      <c r="AG21" s="1182"/>
      <c r="AH21" s="2022"/>
      <c r="AI21" s="2023"/>
      <c r="AJ21" s="2023"/>
      <c r="AK21" s="2033"/>
      <c r="AL21" s="2041"/>
      <c r="AM21" s="2014"/>
      <c r="AN21" s="1189"/>
      <c r="AO21" s="1190"/>
      <c r="AP21" s="1190"/>
      <c r="AQ21" s="1190"/>
      <c r="AR21" s="1190"/>
      <c r="AS21" s="1191"/>
    </row>
    <row r="22" spans="1:45" ht="15" customHeight="1">
      <c r="A22" s="2011"/>
      <c r="B22" s="1188"/>
      <c r="C22" s="1182"/>
      <c r="D22" s="1189"/>
      <c r="E22" s="1190"/>
      <c r="F22" s="1190"/>
      <c r="G22" s="1190"/>
      <c r="H22" s="1190"/>
      <c r="I22" s="1190"/>
      <c r="J22" s="2012" t="s">
        <v>145</v>
      </c>
      <c r="K22" s="2013">
        <v>8</v>
      </c>
      <c r="N22" s="1189"/>
      <c r="O22" s="1190"/>
      <c r="P22" s="1190"/>
      <c r="Q22" s="1190"/>
      <c r="R22" s="1190"/>
      <c r="S22" s="1191"/>
      <c r="T22" s="2054"/>
      <c r="U22" s="2055"/>
      <c r="V22" s="2055"/>
      <c r="W22" s="2056"/>
      <c r="X22" s="1183"/>
      <c r="Y22" s="1151"/>
      <c r="Z22" s="660" t="s">
        <v>15</v>
      </c>
      <c r="AA22" s="1192">
        <v>1</v>
      </c>
      <c r="AB22" s="1189"/>
      <c r="AC22" s="1190"/>
      <c r="AD22" s="1190"/>
      <c r="AE22" s="1190"/>
      <c r="AF22" s="1190"/>
      <c r="AG22" s="1191"/>
      <c r="AH22" s="2022"/>
      <c r="AI22" s="2023"/>
      <c r="AJ22" s="2023"/>
      <c r="AK22" s="2033"/>
      <c r="AL22" s="2030" t="s">
        <v>150</v>
      </c>
      <c r="AM22" s="2032">
        <v>10</v>
      </c>
      <c r="AN22" s="1189"/>
      <c r="AO22" s="1190"/>
      <c r="AP22" s="1190"/>
      <c r="AQ22" s="1190"/>
      <c r="AR22" s="1190"/>
      <c r="AS22" s="1191"/>
    </row>
    <row r="23" spans="1:45" ht="15" customHeight="1">
      <c r="A23" s="2011"/>
      <c r="B23" s="1188"/>
      <c r="C23" s="1182"/>
      <c r="D23" s="1189"/>
      <c r="E23" s="1190"/>
      <c r="F23" s="1190"/>
      <c r="G23" s="1190"/>
      <c r="H23" s="1190"/>
      <c r="I23" s="1190"/>
      <c r="J23" s="2012"/>
      <c r="K23" s="2014"/>
      <c r="N23" s="1189"/>
      <c r="O23" s="1190"/>
      <c r="P23" s="1190"/>
      <c r="Q23" s="1190"/>
      <c r="R23" s="1190"/>
      <c r="S23" s="1191"/>
      <c r="T23" s="2054"/>
      <c r="U23" s="2055"/>
      <c r="V23" s="2055"/>
      <c r="W23" s="2056"/>
      <c r="X23" s="1193"/>
      <c r="Z23" s="1184" t="s">
        <v>16</v>
      </c>
      <c r="AA23" s="1192">
        <v>2</v>
      </c>
      <c r="AB23" s="1189"/>
      <c r="AC23" s="1190"/>
      <c r="AD23" s="1190"/>
      <c r="AE23" s="1190"/>
      <c r="AF23" s="1190"/>
      <c r="AG23" s="1191"/>
      <c r="AH23" s="2022"/>
      <c r="AI23" s="2023"/>
      <c r="AJ23" s="2023"/>
      <c r="AK23" s="2033"/>
      <c r="AL23" s="2031"/>
      <c r="AM23" s="2014"/>
      <c r="AN23" s="1189"/>
      <c r="AO23" s="1190"/>
      <c r="AP23" s="1190"/>
      <c r="AQ23" s="1190"/>
      <c r="AR23" s="1190"/>
      <c r="AS23" s="1191"/>
    </row>
    <row r="24" spans="1:45" ht="15" customHeight="1">
      <c r="A24" s="2011"/>
      <c r="B24" s="659" t="s">
        <v>104</v>
      </c>
      <c r="C24" s="772" t="s">
        <v>151</v>
      </c>
      <c r="D24" s="1189"/>
      <c r="E24" s="1190"/>
      <c r="F24" s="1190"/>
      <c r="G24" s="1190"/>
      <c r="H24" s="1190"/>
      <c r="I24" s="1190"/>
      <c r="J24" s="2012" t="s">
        <v>152</v>
      </c>
      <c r="K24" s="2013">
        <v>9</v>
      </c>
      <c r="L24" s="1194" t="s">
        <v>104</v>
      </c>
      <c r="M24" s="772" t="s">
        <v>151</v>
      </c>
      <c r="N24" s="1189"/>
      <c r="O24" s="1190"/>
      <c r="P24" s="1190"/>
      <c r="Q24" s="1190"/>
      <c r="R24" s="1190"/>
      <c r="S24" s="1191"/>
      <c r="T24" s="2054"/>
      <c r="U24" s="2055"/>
      <c r="V24" s="2055"/>
      <c r="W24" s="2056"/>
      <c r="X24" s="659" t="s">
        <v>104</v>
      </c>
      <c r="Y24" s="772">
        <v>1</v>
      </c>
      <c r="Z24" s="1184" t="s">
        <v>18</v>
      </c>
      <c r="AA24" s="1192">
        <v>3</v>
      </c>
      <c r="AB24" s="1189"/>
      <c r="AC24" s="1190"/>
      <c r="AD24" s="1190"/>
      <c r="AE24" s="1190"/>
      <c r="AF24" s="1190"/>
      <c r="AG24" s="1191"/>
      <c r="AH24" s="2022"/>
      <c r="AI24" s="2023"/>
      <c r="AJ24" s="2023"/>
      <c r="AK24" s="2033"/>
      <c r="AL24" s="2030" t="s">
        <v>153</v>
      </c>
      <c r="AM24" s="2032">
        <v>11</v>
      </c>
      <c r="AN24" s="1189"/>
      <c r="AO24" s="1190"/>
      <c r="AP24" s="1190"/>
      <c r="AQ24" s="1190"/>
      <c r="AR24" s="1190"/>
      <c r="AS24" s="1191"/>
    </row>
    <row r="25" spans="1:45" ht="15" customHeight="1">
      <c r="A25" s="2011"/>
      <c r="B25" s="1178"/>
      <c r="C25" s="1195">
        <f>L3</f>
        <v>-1.17</v>
      </c>
      <c r="D25" s="1189"/>
      <c r="E25" s="1190"/>
      <c r="F25" s="1190"/>
      <c r="G25" s="1190"/>
      <c r="H25" s="1190"/>
      <c r="I25" s="1190"/>
      <c r="J25" s="2012"/>
      <c r="K25" s="2014"/>
      <c r="L25" s="1178"/>
      <c r="M25" s="1195">
        <f>+T3</f>
        <v>-1.19</v>
      </c>
      <c r="N25" s="1189"/>
      <c r="O25" s="1190"/>
      <c r="P25" s="1190"/>
      <c r="Q25" s="1190"/>
      <c r="R25" s="1190"/>
      <c r="S25" s="1191"/>
      <c r="T25" s="2057"/>
      <c r="U25" s="2058"/>
      <c r="V25" s="2058"/>
      <c r="W25" s="2059"/>
      <c r="X25" s="659" t="s">
        <v>108</v>
      </c>
      <c r="Y25" s="772" t="s">
        <v>154</v>
      </c>
      <c r="Z25" s="1184" t="s">
        <v>19</v>
      </c>
      <c r="AA25" s="1192">
        <v>4</v>
      </c>
      <c r="AB25" s="1189"/>
      <c r="AC25" s="1190"/>
      <c r="AD25" s="1190"/>
      <c r="AE25" s="1190"/>
      <c r="AF25" s="1190"/>
      <c r="AG25" s="1191"/>
      <c r="AH25" s="2037"/>
      <c r="AI25" s="2038"/>
      <c r="AJ25" s="2038"/>
      <c r="AK25" s="2039"/>
      <c r="AL25" s="2031"/>
      <c r="AM25" s="2014"/>
      <c r="AN25" s="1189"/>
      <c r="AO25" s="1190"/>
      <c r="AP25" s="1190"/>
      <c r="AQ25" s="1190"/>
      <c r="AR25" s="1190"/>
      <c r="AS25" s="1191"/>
    </row>
    <row r="26" spans="1:45" ht="15" customHeight="1">
      <c r="A26" s="2011"/>
      <c r="B26" s="660" t="s">
        <v>108</v>
      </c>
      <c r="C26" s="773">
        <v>2</v>
      </c>
      <c r="D26" s="2015" t="s">
        <v>155</v>
      </c>
      <c r="E26" s="2017" t="s">
        <v>156</v>
      </c>
      <c r="F26" s="2019" t="s">
        <v>9</v>
      </c>
      <c r="G26" s="2019"/>
      <c r="H26" s="2019"/>
      <c r="I26" s="2019"/>
      <c r="J26" s="1184" t="s">
        <v>112</v>
      </c>
      <c r="K26" s="1185">
        <v>10</v>
      </c>
      <c r="L26" s="562" t="s">
        <v>108</v>
      </c>
      <c r="M26" s="773">
        <v>2</v>
      </c>
      <c r="N26" s="2015" t="s">
        <v>155</v>
      </c>
      <c r="O26" s="2017" t="s">
        <v>156</v>
      </c>
      <c r="P26" s="2019" t="s">
        <v>9</v>
      </c>
      <c r="Q26" s="2019"/>
      <c r="R26" s="2019"/>
      <c r="S26" s="2019"/>
      <c r="T26" s="2048" t="s">
        <v>42</v>
      </c>
      <c r="U26" s="2049"/>
      <c r="V26" s="2049"/>
      <c r="W26" s="2050"/>
      <c r="X26" s="2060" t="s">
        <v>113</v>
      </c>
      <c r="Y26" s="2061"/>
      <c r="Z26" s="1184" t="s">
        <v>157</v>
      </c>
      <c r="AA26" s="1192">
        <v>5</v>
      </c>
      <c r="AB26" s="2015" t="s">
        <v>155</v>
      </c>
      <c r="AC26" s="2017" t="s">
        <v>156</v>
      </c>
      <c r="AD26" s="2019" t="s">
        <v>9</v>
      </c>
      <c r="AE26" s="2019"/>
      <c r="AF26" s="2019"/>
      <c r="AG26" s="2019"/>
      <c r="AH26" s="2063" t="s">
        <v>42</v>
      </c>
      <c r="AI26" s="2064"/>
      <c r="AJ26" s="2064"/>
      <c r="AK26" s="2046"/>
      <c r="AL26" s="1372" t="s">
        <v>112</v>
      </c>
      <c r="AM26" s="1366">
        <v>12</v>
      </c>
      <c r="AN26" s="2015" t="s">
        <v>155</v>
      </c>
      <c r="AO26" s="2017" t="s">
        <v>156</v>
      </c>
      <c r="AP26" s="2019" t="s">
        <v>9</v>
      </c>
      <c r="AQ26" s="2019"/>
      <c r="AR26" s="2019"/>
      <c r="AS26" s="2062"/>
    </row>
    <row r="27" spans="1:45" ht="15" customHeight="1">
      <c r="A27" s="2011"/>
      <c r="D27" s="2016"/>
      <c r="E27" s="2018"/>
      <c r="F27" s="2020"/>
      <c r="G27" s="2020"/>
      <c r="H27" s="2020"/>
      <c r="I27" s="2021"/>
      <c r="L27" s="1196"/>
      <c r="N27" s="2016"/>
      <c r="O27" s="2018"/>
      <c r="P27" s="2020"/>
      <c r="Q27" s="2020"/>
      <c r="R27" s="2020"/>
      <c r="S27" s="2021"/>
      <c r="T27" s="2051"/>
      <c r="U27" s="2052"/>
      <c r="V27" s="2052"/>
      <c r="W27" s="2053"/>
      <c r="X27" s="1183"/>
      <c r="Y27" s="1197"/>
      <c r="Z27" s="313"/>
      <c r="AA27" s="1198"/>
      <c r="AB27" s="2016"/>
      <c r="AC27" s="2018"/>
      <c r="AD27" s="2020"/>
      <c r="AE27" s="2020"/>
      <c r="AF27" s="2020"/>
      <c r="AG27" s="2021"/>
      <c r="AH27" s="2065"/>
      <c r="AI27" s="2066"/>
      <c r="AJ27" s="2066"/>
      <c r="AK27" s="2067"/>
      <c r="AL27" s="1199"/>
      <c r="AM27" s="1200"/>
      <c r="AN27" s="2016"/>
      <c r="AO27" s="2018"/>
      <c r="AP27" s="2020"/>
      <c r="AQ27" s="2020"/>
      <c r="AR27" s="2020"/>
      <c r="AS27" s="2021"/>
    </row>
    <row r="28" spans="1:45" ht="17.45" customHeight="1">
      <c r="A28" s="480">
        <v>1</v>
      </c>
      <c r="B28" s="1201"/>
      <c r="C28" s="319"/>
      <c r="D28" s="316"/>
      <c r="E28" s="318"/>
      <c r="F28" s="318"/>
      <c r="G28" s="1202"/>
      <c r="H28" s="1202"/>
      <c r="I28" s="319"/>
      <c r="J28" s="318"/>
      <c r="K28" s="317"/>
      <c r="L28" s="809"/>
      <c r="M28" s="809"/>
      <c r="N28" s="1203"/>
      <c r="O28" s="318"/>
      <c r="P28" s="318"/>
      <c r="Q28" s="1202"/>
      <c r="R28" s="1202"/>
      <c r="S28" s="319"/>
      <c r="T28" s="318"/>
      <c r="U28" s="1202"/>
      <c r="V28" s="1202"/>
      <c r="W28" s="319"/>
      <c r="X28" s="1204"/>
      <c r="Y28" s="809"/>
      <c r="Z28" s="318"/>
      <c r="AA28" s="319"/>
      <c r="AB28" s="319"/>
      <c r="AC28" s="318"/>
      <c r="AD28" s="318"/>
      <c r="AE28" s="1202"/>
      <c r="AF28" s="1202"/>
      <c r="AG28" s="319"/>
      <c r="AH28" s="318"/>
      <c r="AI28" s="1202"/>
      <c r="AJ28" s="1202"/>
      <c r="AK28" s="319"/>
      <c r="AL28" s="318"/>
      <c r="AM28" s="319"/>
      <c r="AN28" s="1203"/>
      <c r="AO28" s="318"/>
      <c r="AP28" s="318"/>
      <c r="AQ28" s="1202"/>
      <c r="AR28" s="1202"/>
      <c r="AS28" s="1205"/>
    </row>
    <row r="29" spans="1:45" ht="17.45" customHeight="1">
      <c r="A29" s="480">
        <v>2</v>
      </c>
      <c r="B29" s="1201"/>
      <c r="C29" s="319"/>
      <c r="D29" s="316"/>
      <c r="E29" s="318"/>
      <c r="F29" s="318"/>
      <c r="G29" s="1202"/>
      <c r="H29" s="1202"/>
      <c r="I29" s="319"/>
      <c r="J29" s="318"/>
      <c r="K29" s="317"/>
      <c r="L29" s="809"/>
      <c r="M29" s="809"/>
      <c r="N29" s="1203"/>
      <c r="O29" s="318"/>
      <c r="P29" s="318"/>
      <c r="Q29" s="1202"/>
      <c r="R29" s="1202"/>
      <c r="S29" s="319"/>
      <c r="T29" s="318"/>
      <c r="U29" s="1202"/>
      <c r="V29" s="1202"/>
      <c r="W29" s="319"/>
      <c r="X29" s="1204"/>
      <c r="Y29" s="809"/>
      <c r="Z29" s="318"/>
      <c r="AA29" s="319"/>
      <c r="AB29" s="319"/>
      <c r="AC29" s="318"/>
      <c r="AD29" s="318"/>
      <c r="AE29" s="1202"/>
      <c r="AF29" s="1202"/>
      <c r="AG29" s="319"/>
      <c r="AH29" s="318"/>
      <c r="AI29" s="1202"/>
      <c r="AJ29" s="1202"/>
      <c r="AK29" s="319"/>
      <c r="AL29" s="318"/>
      <c r="AM29" s="319"/>
      <c r="AN29" s="1203"/>
      <c r="AO29" s="318"/>
      <c r="AP29" s="318"/>
      <c r="AQ29" s="1202"/>
      <c r="AR29" s="1202"/>
      <c r="AS29" s="1205"/>
    </row>
    <row r="30" spans="1:45" ht="17.45" customHeight="1" thickBot="1">
      <c r="A30" s="481">
        <v>3</v>
      </c>
      <c r="B30" s="1206"/>
      <c r="C30" s="323"/>
      <c r="D30" s="320"/>
      <c r="E30" s="322"/>
      <c r="F30" s="322"/>
      <c r="G30" s="1207"/>
      <c r="H30" s="1207"/>
      <c r="I30" s="323"/>
      <c r="J30" s="322"/>
      <c r="K30" s="321"/>
      <c r="L30" s="810"/>
      <c r="M30" s="810"/>
      <c r="N30" s="1208"/>
      <c r="O30" s="322"/>
      <c r="P30" s="322"/>
      <c r="Q30" s="1207"/>
      <c r="R30" s="1207"/>
      <c r="S30" s="323"/>
      <c r="T30" s="1210"/>
      <c r="U30" s="320"/>
      <c r="V30" s="1207"/>
      <c r="W30" s="1211"/>
      <c r="X30" s="1209"/>
      <c r="Y30" s="810"/>
      <c r="Z30" s="322"/>
      <c r="AA30" s="323"/>
      <c r="AB30" s="323"/>
      <c r="AC30" s="1208"/>
      <c r="AD30" s="1210"/>
      <c r="AE30" s="320"/>
      <c r="AF30" s="1207"/>
      <c r="AG30" s="1211"/>
      <c r="AH30" s="1210"/>
      <c r="AI30" s="320"/>
      <c r="AJ30" s="1207"/>
      <c r="AK30" s="1211"/>
      <c r="AL30" s="320"/>
      <c r="AM30" s="323"/>
      <c r="AN30" s="323"/>
      <c r="AO30" s="1208"/>
      <c r="AP30" s="1210"/>
      <c r="AQ30" s="320"/>
      <c r="AR30" s="1207"/>
      <c r="AS30" s="1211"/>
    </row>
    <row r="31" spans="1:45" ht="17.45" customHeight="1" thickTop="1">
      <c r="A31" s="483">
        <v>4</v>
      </c>
      <c r="B31" s="1212"/>
      <c r="C31" s="315"/>
      <c r="D31" s="313"/>
      <c r="E31" s="314"/>
      <c r="F31" s="314"/>
      <c r="G31" s="1213"/>
      <c r="H31" s="1213"/>
      <c r="I31" s="315"/>
      <c r="J31" s="314"/>
      <c r="K31" s="140"/>
      <c r="L31" s="116"/>
      <c r="M31" s="116"/>
      <c r="N31" s="1214"/>
      <c r="O31" s="314"/>
      <c r="P31" s="314"/>
      <c r="Q31" s="1213"/>
      <c r="R31" s="1213"/>
      <c r="S31" s="315"/>
      <c r="T31" s="314"/>
      <c r="U31" s="1213"/>
      <c r="V31" s="1213"/>
      <c r="W31" s="315"/>
      <c r="X31" s="1215"/>
      <c r="Y31" s="116"/>
      <c r="Z31" s="314"/>
      <c r="AA31" s="315"/>
      <c r="AB31" s="315"/>
      <c r="AC31" s="314"/>
      <c r="AD31" s="314"/>
      <c r="AE31" s="1213"/>
      <c r="AF31" s="1213"/>
      <c r="AG31" s="315"/>
      <c r="AH31" s="314"/>
      <c r="AI31" s="1213"/>
      <c r="AJ31" s="1213"/>
      <c r="AK31" s="315"/>
      <c r="AL31" s="314"/>
      <c r="AM31" s="315"/>
      <c r="AN31" s="1214"/>
      <c r="AO31" s="314"/>
      <c r="AP31" s="314"/>
      <c r="AQ31" s="1213"/>
      <c r="AR31" s="1213"/>
      <c r="AS31" s="1216"/>
    </row>
    <row r="32" spans="1:45" ht="17.45" customHeight="1">
      <c r="A32" s="480">
        <v>5</v>
      </c>
      <c r="B32" s="1201"/>
      <c r="C32" s="319"/>
      <c r="D32" s="316"/>
      <c r="E32" s="318"/>
      <c r="F32" s="318"/>
      <c r="G32" s="1202"/>
      <c r="H32" s="1202"/>
      <c r="I32" s="319"/>
      <c r="J32" s="318"/>
      <c r="K32" s="317"/>
      <c r="L32" s="809"/>
      <c r="M32" s="809"/>
      <c r="N32" s="1203"/>
      <c r="O32" s="318"/>
      <c r="P32" s="318"/>
      <c r="Q32" s="1202"/>
      <c r="R32" s="1202"/>
      <c r="S32" s="319"/>
      <c r="T32" s="318"/>
      <c r="U32" s="1202"/>
      <c r="V32" s="1202"/>
      <c r="W32" s="319"/>
      <c r="X32" s="1204"/>
      <c r="Y32" s="809"/>
      <c r="Z32" s="318"/>
      <c r="AA32" s="319"/>
      <c r="AB32" s="319"/>
      <c r="AC32" s="318"/>
      <c r="AD32" s="318"/>
      <c r="AE32" s="1202"/>
      <c r="AF32" s="1202"/>
      <c r="AG32" s="319"/>
      <c r="AH32" s="318"/>
      <c r="AI32" s="1202"/>
      <c r="AJ32" s="1202"/>
      <c r="AK32" s="319"/>
      <c r="AL32" s="318"/>
      <c r="AM32" s="319"/>
      <c r="AN32" s="1203"/>
      <c r="AO32" s="318"/>
      <c r="AP32" s="318"/>
      <c r="AQ32" s="1202"/>
      <c r="AR32" s="1202"/>
      <c r="AS32" s="1205"/>
    </row>
    <row r="33" spans="1:45" ht="17.45" customHeight="1" thickBot="1">
      <c r="A33" s="481">
        <v>6</v>
      </c>
      <c r="B33" s="1206"/>
      <c r="C33" s="323"/>
      <c r="D33" s="320"/>
      <c r="E33" s="322"/>
      <c r="F33" s="322"/>
      <c r="G33" s="1207"/>
      <c r="H33" s="1207"/>
      <c r="I33" s="323"/>
      <c r="J33" s="322"/>
      <c r="K33" s="321"/>
      <c r="L33" s="810"/>
      <c r="M33" s="810"/>
      <c r="N33" s="1208"/>
      <c r="O33" s="322"/>
      <c r="P33" s="322"/>
      <c r="Q33" s="1207"/>
      <c r="R33" s="1207"/>
      <c r="S33" s="323"/>
      <c r="T33" s="322"/>
      <c r="U33" s="1207"/>
      <c r="V33" s="1207"/>
      <c r="W33" s="323"/>
      <c r="X33" s="1209"/>
      <c r="Y33" s="810"/>
      <c r="Z33" s="322"/>
      <c r="AA33" s="323"/>
      <c r="AB33" s="323"/>
      <c r="AC33" s="322"/>
      <c r="AD33" s="322"/>
      <c r="AE33" s="1207"/>
      <c r="AF33" s="1207"/>
      <c r="AG33" s="323"/>
      <c r="AH33" s="322"/>
      <c r="AI33" s="1207"/>
      <c r="AJ33" s="1207"/>
      <c r="AK33" s="323"/>
      <c r="AL33" s="322"/>
      <c r="AM33" s="323"/>
      <c r="AN33" s="1208"/>
      <c r="AO33" s="322"/>
      <c r="AP33" s="322"/>
      <c r="AQ33" s="1207"/>
      <c r="AR33" s="1207"/>
      <c r="AS33" s="1211"/>
    </row>
    <row r="34" spans="1:45" ht="17.45" customHeight="1" thickTop="1">
      <c r="A34" s="480">
        <v>7</v>
      </c>
      <c r="B34" s="1201"/>
      <c r="C34" s="319"/>
      <c r="D34" s="316"/>
      <c r="E34" s="318"/>
      <c r="F34" s="318"/>
      <c r="G34" s="1202"/>
      <c r="H34" s="1202"/>
      <c r="I34" s="319"/>
      <c r="J34" s="318"/>
      <c r="K34" s="317"/>
      <c r="L34" s="809"/>
      <c r="M34" s="809"/>
      <c r="N34" s="1203"/>
      <c r="O34" s="318"/>
      <c r="P34" s="318"/>
      <c r="Q34" s="1202"/>
      <c r="R34" s="1202"/>
      <c r="S34" s="319"/>
      <c r="T34" s="318"/>
      <c r="U34" s="1202"/>
      <c r="V34" s="1202"/>
      <c r="W34" s="319"/>
      <c r="X34" s="1204"/>
      <c r="Y34" s="809"/>
      <c r="Z34" s="318"/>
      <c r="AA34" s="319"/>
      <c r="AB34" s="319"/>
      <c r="AC34" s="318"/>
      <c r="AD34" s="318"/>
      <c r="AE34" s="1202"/>
      <c r="AF34" s="1202"/>
      <c r="AG34" s="319"/>
      <c r="AH34" s="318"/>
      <c r="AI34" s="1202"/>
      <c r="AJ34" s="1202"/>
      <c r="AK34" s="319"/>
      <c r="AL34" s="318"/>
      <c r="AM34" s="319"/>
      <c r="AN34" s="1203"/>
      <c r="AO34" s="318"/>
      <c r="AP34" s="318"/>
      <c r="AQ34" s="1202"/>
      <c r="AR34" s="1202"/>
      <c r="AS34" s="1205"/>
    </row>
    <row r="35" spans="1:45" ht="17.45" customHeight="1">
      <c r="A35" s="480">
        <v>8</v>
      </c>
      <c r="B35" s="1201"/>
      <c r="C35" s="319"/>
      <c r="D35" s="316"/>
      <c r="E35" s="318"/>
      <c r="F35" s="318"/>
      <c r="G35" s="1202"/>
      <c r="H35" s="1202"/>
      <c r="I35" s="319"/>
      <c r="J35" s="318"/>
      <c r="K35" s="317"/>
      <c r="L35" s="809"/>
      <c r="M35" s="809"/>
      <c r="N35" s="1203"/>
      <c r="O35" s="318"/>
      <c r="P35" s="318"/>
      <c r="Q35" s="1202"/>
      <c r="R35" s="1202"/>
      <c r="S35" s="319"/>
      <c r="T35" s="318"/>
      <c r="U35" s="1202"/>
      <c r="V35" s="1202"/>
      <c r="W35" s="319"/>
      <c r="X35" s="1204"/>
      <c r="Y35" s="809"/>
      <c r="Z35" s="318"/>
      <c r="AA35" s="319"/>
      <c r="AB35" s="319"/>
      <c r="AC35" s="318"/>
      <c r="AD35" s="318"/>
      <c r="AE35" s="1202"/>
      <c r="AF35" s="1202"/>
      <c r="AG35" s="319"/>
      <c r="AH35" s="318"/>
      <c r="AI35" s="1202"/>
      <c r="AJ35" s="1202"/>
      <c r="AK35" s="319"/>
      <c r="AL35" s="318"/>
      <c r="AM35" s="319"/>
      <c r="AN35" s="1203"/>
      <c r="AO35" s="318"/>
      <c r="AP35" s="318"/>
      <c r="AQ35" s="1202"/>
      <c r="AR35" s="1202"/>
      <c r="AS35" s="1205"/>
    </row>
    <row r="36" spans="1:45" ht="17.45" customHeight="1" thickBot="1">
      <c r="A36" s="481">
        <v>9</v>
      </c>
      <c r="B36" s="1206"/>
      <c r="C36" s="323"/>
      <c r="D36" s="320"/>
      <c r="E36" s="322"/>
      <c r="F36" s="322"/>
      <c r="G36" s="1207"/>
      <c r="H36" s="1207"/>
      <c r="I36" s="323"/>
      <c r="J36" s="322"/>
      <c r="K36" s="321"/>
      <c r="L36" s="810"/>
      <c r="M36" s="810"/>
      <c r="N36" s="1208"/>
      <c r="O36" s="322"/>
      <c r="P36" s="322"/>
      <c r="Q36" s="1207"/>
      <c r="R36" s="1207"/>
      <c r="S36" s="323"/>
      <c r="T36" s="322"/>
      <c r="U36" s="1207"/>
      <c r="V36" s="1207"/>
      <c r="W36" s="323"/>
      <c r="X36" s="1209"/>
      <c r="Y36" s="810"/>
      <c r="Z36" s="322"/>
      <c r="AA36" s="323"/>
      <c r="AB36" s="323"/>
      <c r="AC36" s="322"/>
      <c r="AD36" s="322"/>
      <c r="AE36" s="1207"/>
      <c r="AF36" s="1207"/>
      <c r="AG36" s="323"/>
      <c r="AH36" s="322"/>
      <c r="AI36" s="1207"/>
      <c r="AJ36" s="1207"/>
      <c r="AK36" s="323"/>
      <c r="AL36" s="322"/>
      <c r="AM36" s="323"/>
      <c r="AN36" s="1208"/>
      <c r="AO36" s="322"/>
      <c r="AP36" s="322"/>
      <c r="AQ36" s="1207"/>
      <c r="AR36" s="1207"/>
      <c r="AS36" s="1211"/>
    </row>
    <row r="37" spans="1:45" ht="17.45" customHeight="1" thickTop="1">
      <c r="A37" s="480">
        <v>10</v>
      </c>
      <c r="B37" s="1201"/>
      <c r="C37" s="319"/>
      <c r="D37" s="316"/>
      <c r="E37" s="318"/>
      <c r="F37" s="318"/>
      <c r="G37" s="1202"/>
      <c r="H37" s="1202"/>
      <c r="I37" s="319"/>
      <c r="J37" s="318"/>
      <c r="K37" s="317"/>
      <c r="L37" s="809"/>
      <c r="M37" s="809"/>
      <c r="N37" s="1203"/>
      <c r="O37" s="318"/>
      <c r="P37" s="318"/>
      <c r="Q37" s="1202"/>
      <c r="R37" s="1202"/>
      <c r="S37" s="319"/>
      <c r="T37" s="318"/>
      <c r="U37" s="1202"/>
      <c r="V37" s="1202"/>
      <c r="W37" s="319"/>
      <c r="X37" s="1204"/>
      <c r="Y37" s="809"/>
      <c r="Z37" s="318"/>
      <c r="AA37" s="319"/>
      <c r="AB37" s="319"/>
      <c r="AC37" s="318"/>
      <c r="AD37" s="318"/>
      <c r="AE37" s="1202"/>
      <c r="AF37" s="1202"/>
      <c r="AG37" s="319"/>
      <c r="AH37" s="318"/>
      <c r="AI37" s="1202"/>
      <c r="AJ37" s="1202"/>
      <c r="AK37" s="319"/>
      <c r="AL37" s="318"/>
      <c r="AM37" s="319"/>
      <c r="AN37" s="1203"/>
      <c r="AO37" s="318"/>
      <c r="AP37" s="318"/>
      <c r="AQ37" s="1202"/>
      <c r="AR37" s="1202"/>
      <c r="AS37" s="1205"/>
    </row>
    <row r="38" spans="1:45" ht="17.45" customHeight="1">
      <c r="A38" s="480">
        <v>11</v>
      </c>
      <c r="B38" s="1201"/>
      <c r="C38" s="319"/>
      <c r="D38" s="316"/>
      <c r="E38" s="318"/>
      <c r="F38" s="318"/>
      <c r="G38" s="1202"/>
      <c r="H38" s="1202"/>
      <c r="I38" s="319"/>
      <c r="J38" s="318"/>
      <c r="K38" s="317"/>
      <c r="L38" s="809"/>
      <c r="M38" s="809"/>
      <c r="N38" s="1203"/>
      <c r="O38" s="318"/>
      <c r="P38" s="318"/>
      <c r="Q38" s="1202"/>
      <c r="R38" s="1202"/>
      <c r="S38" s="319"/>
      <c r="T38" s="318"/>
      <c r="U38" s="1202"/>
      <c r="V38" s="1202"/>
      <c r="W38" s="319"/>
      <c r="X38" s="1204"/>
      <c r="Y38" s="809"/>
      <c r="Z38" s="318"/>
      <c r="AA38" s="319"/>
      <c r="AB38" s="319"/>
      <c r="AC38" s="318"/>
      <c r="AD38" s="318"/>
      <c r="AE38" s="1202"/>
      <c r="AF38" s="1202"/>
      <c r="AG38" s="319"/>
      <c r="AH38" s="318"/>
      <c r="AI38" s="1202"/>
      <c r="AJ38" s="1202"/>
      <c r="AK38" s="319"/>
      <c r="AL38" s="318"/>
      <c r="AM38" s="319"/>
      <c r="AN38" s="1203"/>
      <c r="AO38" s="318"/>
      <c r="AP38" s="318"/>
      <c r="AQ38" s="1202"/>
      <c r="AR38" s="1202"/>
      <c r="AS38" s="319"/>
    </row>
    <row r="39" spans="1:45" ht="17.45" customHeight="1" thickBot="1">
      <c r="A39" s="481">
        <v>12</v>
      </c>
      <c r="B39" s="1206"/>
      <c r="C39" s="323"/>
      <c r="D39" s="320"/>
      <c r="E39" s="322"/>
      <c r="F39" s="322"/>
      <c r="G39" s="1207"/>
      <c r="H39" s="1207"/>
      <c r="I39" s="323"/>
      <c r="J39" s="322"/>
      <c r="K39" s="321"/>
      <c r="L39" s="810"/>
      <c r="M39" s="810"/>
      <c r="N39" s="1208"/>
      <c r="O39" s="322"/>
      <c r="P39" s="322"/>
      <c r="Q39" s="1207"/>
      <c r="R39" s="1207"/>
      <c r="S39" s="323"/>
      <c r="T39" s="322"/>
      <c r="U39" s="1207"/>
      <c r="V39" s="1207"/>
      <c r="W39" s="323"/>
      <c r="X39" s="1209"/>
      <c r="Y39" s="810"/>
      <c r="Z39" s="322"/>
      <c r="AA39" s="323"/>
      <c r="AB39" s="323"/>
      <c r="AC39" s="322"/>
      <c r="AD39" s="322"/>
      <c r="AE39" s="1207"/>
      <c r="AF39" s="1207"/>
      <c r="AG39" s="323"/>
      <c r="AH39" s="322"/>
      <c r="AI39" s="1207"/>
      <c r="AJ39" s="1207"/>
      <c r="AK39" s="323"/>
      <c r="AL39" s="322"/>
      <c r="AM39" s="323"/>
      <c r="AN39" s="1208"/>
      <c r="AO39" s="322"/>
      <c r="AP39" s="322"/>
      <c r="AQ39" s="1207"/>
      <c r="AR39" s="1207"/>
      <c r="AS39" s="323"/>
    </row>
    <row r="40" spans="1:45" ht="17.45" customHeight="1" thickTop="1">
      <c r="A40" s="480">
        <v>13</v>
      </c>
      <c r="B40" s="1201"/>
      <c r="C40" s="319"/>
      <c r="D40" s="316"/>
      <c r="E40" s="318"/>
      <c r="F40" s="318"/>
      <c r="G40" s="1202"/>
      <c r="H40" s="1202"/>
      <c r="I40" s="319"/>
      <c r="J40" s="318"/>
      <c r="K40" s="317"/>
      <c r="L40" s="809"/>
      <c r="M40" s="809"/>
      <c r="N40" s="1203"/>
      <c r="O40" s="318"/>
      <c r="P40" s="318"/>
      <c r="Q40" s="1202"/>
      <c r="R40" s="1202"/>
      <c r="S40" s="319"/>
      <c r="T40" s="318"/>
      <c r="U40" s="1202"/>
      <c r="V40" s="1202"/>
      <c r="W40" s="319"/>
      <c r="X40" s="1204"/>
      <c r="Y40" s="809"/>
      <c r="Z40" s="318"/>
      <c r="AA40" s="319"/>
      <c r="AB40" s="319"/>
      <c r="AC40" s="318"/>
      <c r="AD40" s="318"/>
      <c r="AE40" s="1202"/>
      <c r="AF40" s="1202"/>
      <c r="AG40" s="319"/>
      <c r="AH40" s="318"/>
      <c r="AI40" s="1202"/>
      <c r="AJ40" s="1202"/>
      <c r="AK40" s="319"/>
      <c r="AL40" s="318"/>
      <c r="AM40" s="319"/>
      <c r="AN40" s="1203"/>
      <c r="AO40" s="318"/>
      <c r="AP40" s="318"/>
      <c r="AQ40" s="1202"/>
      <c r="AR40" s="1202"/>
      <c r="AS40" s="319"/>
    </row>
    <row r="41" spans="1:45" ht="17.45" customHeight="1">
      <c r="A41" s="480">
        <v>14</v>
      </c>
      <c r="B41" s="1201"/>
      <c r="C41" s="319"/>
      <c r="D41" s="316"/>
      <c r="E41" s="318"/>
      <c r="F41" s="318"/>
      <c r="G41" s="1202"/>
      <c r="H41" s="1202"/>
      <c r="I41" s="319"/>
      <c r="J41" s="318"/>
      <c r="K41" s="317"/>
      <c r="L41" s="809"/>
      <c r="M41" s="809"/>
      <c r="N41" s="1203"/>
      <c r="O41" s="318"/>
      <c r="P41" s="318"/>
      <c r="Q41" s="1202"/>
      <c r="R41" s="1202"/>
      <c r="S41" s="319"/>
      <c r="T41" s="318"/>
      <c r="U41" s="1202"/>
      <c r="V41" s="1202"/>
      <c r="W41" s="319"/>
      <c r="X41" s="1204"/>
      <c r="Y41" s="809"/>
      <c r="Z41" s="318"/>
      <c r="AA41" s="319"/>
      <c r="AB41" s="319"/>
      <c r="AC41" s="318"/>
      <c r="AD41" s="318"/>
      <c r="AE41" s="1202"/>
      <c r="AF41" s="1202"/>
      <c r="AG41" s="319"/>
      <c r="AH41" s="318"/>
      <c r="AI41" s="1202"/>
      <c r="AJ41" s="1202"/>
      <c r="AK41" s="319"/>
      <c r="AL41" s="318"/>
      <c r="AM41" s="319"/>
      <c r="AN41" s="1203"/>
      <c r="AO41" s="318"/>
      <c r="AP41" s="318"/>
      <c r="AQ41" s="1202"/>
      <c r="AR41" s="1202"/>
      <c r="AS41" s="319"/>
    </row>
    <row r="42" spans="1:45" ht="17.45" customHeight="1">
      <c r="A42" s="480">
        <v>15</v>
      </c>
      <c r="B42" s="1201"/>
      <c r="C42" s="319"/>
      <c r="D42" s="316"/>
      <c r="E42" s="318"/>
      <c r="F42" s="318"/>
      <c r="G42" s="1202"/>
      <c r="H42" s="1202"/>
      <c r="I42" s="319"/>
      <c r="J42" s="318"/>
      <c r="K42" s="317"/>
      <c r="L42" s="809"/>
      <c r="M42" s="809"/>
      <c r="N42" s="1203"/>
      <c r="O42" s="318"/>
      <c r="P42" s="318"/>
      <c r="Q42" s="1202"/>
      <c r="R42" s="1202"/>
      <c r="S42" s="319"/>
      <c r="T42" s="318"/>
      <c r="U42" s="1202"/>
      <c r="V42" s="1202"/>
      <c r="W42" s="319"/>
      <c r="X42" s="1204"/>
      <c r="Y42" s="809"/>
      <c r="Z42" s="318"/>
      <c r="AA42" s="319"/>
      <c r="AB42" s="319"/>
      <c r="AC42" s="318"/>
      <c r="AD42" s="318"/>
      <c r="AE42" s="1202"/>
      <c r="AF42" s="1202"/>
      <c r="AG42" s="319"/>
      <c r="AH42" s="318"/>
      <c r="AI42" s="1202"/>
      <c r="AJ42" s="1202"/>
      <c r="AK42" s="319"/>
      <c r="AL42" s="318"/>
      <c r="AM42" s="319"/>
      <c r="AN42" s="1203"/>
      <c r="AO42" s="318"/>
      <c r="AP42" s="318"/>
      <c r="AQ42" s="1202"/>
      <c r="AR42" s="1202"/>
      <c r="AS42" s="319"/>
    </row>
    <row r="43" spans="1:45" ht="15.95" customHeight="1"/>
  </sheetData>
  <mergeCells count="70">
    <mergeCell ref="J24:J25"/>
    <mergeCell ref="K24:K25"/>
    <mergeCell ref="AN26:AN27"/>
    <mergeCell ref="AO26:AO27"/>
    <mergeCell ref="N26:N27"/>
    <mergeCell ref="O26:O27"/>
    <mergeCell ref="P26:S27"/>
    <mergeCell ref="T26:W27"/>
    <mergeCell ref="T18:W25"/>
    <mergeCell ref="X26:Y26"/>
    <mergeCell ref="AN15:AS20"/>
    <mergeCell ref="AP26:AS27"/>
    <mergeCell ref="AB26:AB27"/>
    <mergeCell ref="AC26:AC27"/>
    <mergeCell ref="AD26:AG27"/>
    <mergeCell ref="AH26:AK27"/>
    <mergeCell ref="J17:J18"/>
    <mergeCell ref="K17:K18"/>
    <mergeCell ref="K13:K14"/>
    <mergeCell ref="N15:S18"/>
    <mergeCell ref="L4:M14"/>
    <mergeCell ref="N4:S14"/>
    <mergeCell ref="AN3:AS3"/>
    <mergeCell ref="AB4:AG14"/>
    <mergeCell ref="X3:Y3"/>
    <mergeCell ref="Z3:AA3"/>
    <mergeCell ref="AB3:AG3"/>
    <mergeCell ref="AH3:AK3"/>
    <mergeCell ref="AL3:AM3"/>
    <mergeCell ref="Z4:AA10"/>
    <mergeCell ref="Z11:AA21"/>
    <mergeCell ref="AM15:AM16"/>
    <mergeCell ref="AN4:AS14"/>
    <mergeCell ref="AL10:AL11"/>
    <mergeCell ref="AM10:AM11"/>
    <mergeCell ref="AL13:AL14"/>
    <mergeCell ref="AM13:AM14"/>
    <mergeCell ref="AL4:AM7"/>
    <mergeCell ref="T3:W3"/>
    <mergeCell ref="AL24:AL25"/>
    <mergeCell ref="AM24:AM25"/>
    <mergeCell ref="AM22:AM23"/>
    <mergeCell ref="AB15:AG17"/>
    <mergeCell ref="AL15:AL16"/>
    <mergeCell ref="T4:W10"/>
    <mergeCell ref="AB18:AG20"/>
    <mergeCell ref="AH18:AK25"/>
    <mergeCell ref="AL18:AL19"/>
    <mergeCell ref="AM18:AM19"/>
    <mergeCell ref="AH4:AK15"/>
    <mergeCell ref="AL20:AL21"/>
    <mergeCell ref="AM20:AM21"/>
    <mergeCell ref="X4:Y10"/>
    <mergeCell ref="AL22:AL23"/>
    <mergeCell ref="N3:S3"/>
    <mergeCell ref="A3:A27"/>
    <mergeCell ref="B3:C3"/>
    <mergeCell ref="D3:I3"/>
    <mergeCell ref="J3:K3"/>
    <mergeCell ref="L3:M3"/>
    <mergeCell ref="J22:J23"/>
    <mergeCell ref="K22:K23"/>
    <mergeCell ref="D26:D27"/>
    <mergeCell ref="E26:E27"/>
    <mergeCell ref="F26:I27"/>
    <mergeCell ref="D15:I18"/>
    <mergeCell ref="B4:C17"/>
    <mergeCell ref="D4:I14"/>
    <mergeCell ref="J4:K6"/>
    <mergeCell ref="J13:J14"/>
  </mergeCells>
  <pageMargins left="0.45" right="0.45" top="0.75" bottom="0.5" header="0.3" footer="0.3"/>
  <pageSetup paperSize="9" scale="80" orientation="landscape" r:id="rId1"/>
  <colBreaks count="1" manualBreakCount="1">
    <brk id="23" max="41" man="1"/>
  </col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R33"/>
  <sheetViews>
    <sheetView showGridLines="0" view="pageBreakPreview" zoomScaleSheetLayoutView="100" workbookViewId="0">
      <selection activeCell="N4" sqref="N4:R6"/>
    </sheetView>
  </sheetViews>
  <sheetFormatPr defaultColWidth="9.140625" defaultRowHeight="11.25"/>
  <cols>
    <col min="1" max="1" width="3.7109375" style="2" customWidth="1"/>
    <col min="2" max="2" width="5.85546875" style="2" customWidth="1"/>
    <col min="3" max="4" width="2.7109375" style="2" customWidth="1"/>
    <col min="5" max="5" width="2.42578125" style="2" customWidth="1"/>
    <col min="6" max="6" width="9.5703125" style="2" customWidth="1"/>
    <col min="7" max="7" width="6" style="2" customWidth="1"/>
    <col min="8" max="8" width="2.85546875" style="2" customWidth="1"/>
    <col min="9" max="9" width="3" style="2" customWidth="1"/>
    <col min="10" max="10" width="27.28515625" style="2" customWidth="1"/>
    <col min="11" max="11" width="3.85546875" style="177" customWidth="1"/>
    <col min="12" max="12" width="8.28515625" style="2" customWidth="1"/>
    <col min="13" max="13" width="2.42578125" style="2" customWidth="1"/>
    <col min="14" max="18" width="13.42578125" style="2" customWidth="1"/>
    <col min="19" max="16384" width="9.140625" style="2"/>
  </cols>
  <sheetData>
    <row r="1" spans="1:18" ht="17.25" customHeight="1">
      <c r="A1" s="3" t="s">
        <v>158</v>
      </c>
      <c r="N1" s="3"/>
      <c r="O1" s="2068" t="s">
        <v>159</v>
      </c>
      <c r="P1" s="2068"/>
      <c r="Q1" s="2068"/>
      <c r="R1" s="2068"/>
    </row>
    <row r="2" spans="1:18" ht="16.5" customHeight="1">
      <c r="A2" s="3"/>
      <c r="B2" s="1586" t="s">
        <v>62</v>
      </c>
      <c r="N2" s="3"/>
      <c r="O2" s="233"/>
      <c r="P2" s="233"/>
      <c r="Q2" s="233"/>
      <c r="R2" s="264" t="s">
        <v>160</v>
      </c>
    </row>
    <row r="3" spans="1:18" s="97" customFormat="1" ht="14.25" customHeight="1">
      <c r="A3" s="1961" t="s">
        <v>64</v>
      </c>
      <c r="B3" s="2100">
        <v>-2.0099999999999998</v>
      </c>
      <c r="C3" s="2101"/>
      <c r="D3" s="2101"/>
      <c r="E3" s="2102"/>
      <c r="F3" s="447">
        <f>B3-0.01</f>
        <v>-2.0199999999999996</v>
      </c>
      <c r="G3" s="1952">
        <f>F3-0.01</f>
        <v>-2.0299999999999994</v>
      </c>
      <c r="H3" s="1954"/>
      <c r="I3" s="1953"/>
      <c r="J3" s="1952">
        <f>G3-0.01</f>
        <v>-2.0399999999999991</v>
      </c>
      <c r="K3" s="1953"/>
      <c r="L3" s="1952">
        <f>J3-0.01</f>
        <v>-2.0499999999999989</v>
      </c>
      <c r="M3" s="1953"/>
      <c r="N3" s="279">
        <f>L3-0.01</f>
        <v>-2.0599999999999987</v>
      </c>
      <c r="O3" s="265"/>
      <c r="P3" s="265"/>
      <c r="Q3" s="265"/>
      <c r="R3" s="268"/>
    </row>
    <row r="4" spans="1:18" ht="9" customHeight="1">
      <c r="A4" s="1961"/>
      <c r="B4" s="2103" t="s">
        <v>161</v>
      </c>
      <c r="C4" s="2104"/>
      <c r="D4" s="2104"/>
      <c r="E4" s="2105"/>
      <c r="F4" s="2096" t="s">
        <v>162</v>
      </c>
      <c r="G4" s="1955" t="s">
        <v>163</v>
      </c>
      <c r="H4" s="1956"/>
      <c r="I4" s="1957"/>
      <c r="J4" s="1955" t="s">
        <v>164</v>
      </c>
      <c r="K4" s="1957"/>
      <c r="L4" s="2087" t="s">
        <v>165</v>
      </c>
      <c r="M4" s="2088"/>
      <c r="N4" s="1955" t="s">
        <v>166</v>
      </c>
      <c r="O4" s="1956"/>
      <c r="P4" s="1956"/>
      <c r="Q4" s="1956"/>
      <c r="R4" s="1957"/>
    </row>
    <row r="5" spans="1:18" ht="9" customHeight="1">
      <c r="A5" s="1961"/>
      <c r="B5" s="2103"/>
      <c r="C5" s="2104"/>
      <c r="D5" s="2104"/>
      <c r="E5" s="2105"/>
      <c r="F5" s="2096"/>
      <c r="G5" s="1955"/>
      <c r="H5" s="1956"/>
      <c r="I5" s="1957"/>
      <c r="J5" s="1955"/>
      <c r="K5" s="1957"/>
      <c r="L5" s="2087"/>
      <c r="M5" s="2088"/>
      <c r="N5" s="1955"/>
      <c r="O5" s="1956"/>
      <c r="P5" s="1956"/>
      <c r="Q5" s="1956"/>
      <c r="R5" s="1957"/>
    </row>
    <row r="6" spans="1:18" ht="14.1" customHeight="1">
      <c r="A6" s="1961"/>
      <c r="B6" s="2103"/>
      <c r="C6" s="2104"/>
      <c r="D6" s="2104"/>
      <c r="E6" s="2105"/>
      <c r="F6" s="2096"/>
      <c r="G6" s="1955"/>
      <c r="H6" s="1956"/>
      <c r="I6" s="1957"/>
      <c r="J6" s="2108"/>
      <c r="K6" s="2109"/>
      <c r="L6" s="2087"/>
      <c r="M6" s="2088"/>
      <c r="N6" s="1955"/>
      <c r="O6" s="1956"/>
      <c r="P6" s="1956"/>
      <c r="Q6" s="1956"/>
      <c r="R6" s="1957"/>
    </row>
    <row r="7" spans="1:18" ht="14.25" customHeight="1">
      <c r="A7" s="1961"/>
      <c r="B7" s="2103"/>
      <c r="C7" s="2104"/>
      <c r="D7" s="2104"/>
      <c r="E7" s="2105"/>
      <c r="F7" s="2096"/>
      <c r="G7" s="2084"/>
      <c r="H7" s="2085"/>
      <c r="I7" s="2086"/>
      <c r="J7" s="621" t="s">
        <v>167</v>
      </c>
      <c r="K7" s="641">
        <v>1</v>
      </c>
      <c r="L7" s="2089"/>
      <c r="M7" s="2090"/>
      <c r="N7" s="2071"/>
      <c r="O7" s="2072"/>
      <c r="P7" s="2072"/>
      <c r="Q7" s="2072"/>
      <c r="R7" s="2073"/>
    </row>
    <row r="8" spans="1:18" ht="15.75" customHeight="1">
      <c r="A8" s="1961"/>
      <c r="B8" s="2103"/>
      <c r="C8" s="2104"/>
      <c r="D8" s="2104"/>
      <c r="E8" s="2105"/>
      <c r="F8" s="2096"/>
      <c r="G8" s="2084"/>
      <c r="H8" s="2085"/>
      <c r="I8" s="2086"/>
      <c r="J8" s="621" t="s">
        <v>168</v>
      </c>
      <c r="K8" s="641">
        <v>2</v>
      </c>
      <c r="L8" s="2089"/>
      <c r="M8" s="2090"/>
      <c r="N8" s="6"/>
      <c r="P8" s="177"/>
      <c r="R8" s="5"/>
    </row>
    <row r="9" spans="1:18" ht="15.75" customHeight="1">
      <c r="A9" s="1961"/>
      <c r="B9" s="2103"/>
      <c r="C9" s="2104"/>
      <c r="D9" s="2104"/>
      <c r="E9" s="2105"/>
      <c r="F9" s="2096"/>
      <c r="G9" s="2084"/>
      <c r="H9" s="2085"/>
      <c r="I9" s="2086"/>
      <c r="J9" s="621" t="s">
        <v>169</v>
      </c>
      <c r="K9" s="642">
        <v>3</v>
      </c>
      <c r="L9" s="2089"/>
      <c r="M9" s="2090"/>
      <c r="N9" s="6"/>
      <c r="R9" s="5"/>
    </row>
    <row r="10" spans="1:18" ht="15.75" customHeight="1">
      <c r="A10" s="1961"/>
      <c r="B10" s="450"/>
      <c r="C10" s="449"/>
      <c r="D10" s="449"/>
      <c r="E10" s="469"/>
      <c r="F10" s="470"/>
      <c r="G10" s="6"/>
      <c r="I10" s="5"/>
      <c r="J10" s="621" t="s">
        <v>170</v>
      </c>
      <c r="K10" s="641">
        <v>4</v>
      </c>
      <c r="L10" s="2089"/>
      <c r="M10" s="2090"/>
      <c r="N10" s="1964" t="s">
        <v>171</v>
      </c>
      <c r="O10" s="1965"/>
      <c r="P10" s="1965"/>
      <c r="Q10" s="1965"/>
      <c r="R10" s="2079"/>
    </row>
    <row r="11" spans="1:18" ht="27.75" customHeight="1">
      <c r="A11" s="1961"/>
      <c r="B11" s="1973"/>
      <c r="C11" s="2097"/>
      <c r="D11" s="2097"/>
      <c r="E11" s="2098"/>
      <c r="F11" s="2099"/>
      <c r="J11" s="623" t="s">
        <v>172</v>
      </c>
      <c r="K11" s="642">
        <v>5</v>
      </c>
      <c r="L11" s="2089"/>
      <c r="M11" s="2090"/>
      <c r="N11" s="1964"/>
      <c r="O11" s="1965"/>
      <c r="P11" s="1965"/>
      <c r="Q11" s="1965"/>
      <c r="R11" s="2079"/>
    </row>
    <row r="12" spans="1:18" ht="16.5" customHeight="1">
      <c r="A12" s="1961"/>
      <c r="B12" s="1973"/>
      <c r="C12" s="2097"/>
      <c r="D12" s="2097"/>
      <c r="E12" s="2098"/>
      <c r="F12" s="2099"/>
      <c r="J12" s="621" t="s">
        <v>173</v>
      </c>
      <c r="K12" s="641">
        <v>6</v>
      </c>
      <c r="N12" s="2071" t="s">
        <v>174</v>
      </c>
      <c r="O12" s="2072"/>
      <c r="P12" s="2072"/>
      <c r="Q12" s="2072"/>
      <c r="R12" s="2073"/>
    </row>
    <row r="13" spans="1:18" ht="16.5" customHeight="1">
      <c r="A13" s="1961"/>
      <c r="B13" s="448"/>
      <c r="C13" s="448"/>
      <c r="D13" s="448"/>
      <c r="E13" s="471"/>
      <c r="F13" s="472"/>
      <c r="J13" s="621" t="s">
        <v>175</v>
      </c>
      <c r="K13" s="641">
        <v>7</v>
      </c>
      <c r="L13" s="7"/>
      <c r="M13" s="232"/>
      <c r="N13" s="2074"/>
      <c r="O13" s="2075"/>
      <c r="P13" s="2075"/>
      <c r="Q13" s="2075"/>
      <c r="R13" s="2076"/>
    </row>
    <row r="14" spans="1:18" ht="18" customHeight="1">
      <c r="A14" s="1961"/>
      <c r="B14" s="630" t="s">
        <v>104</v>
      </c>
      <c r="C14" s="631">
        <v>1</v>
      </c>
      <c r="D14" s="631"/>
      <c r="E14" s="473"/>
      <c r="F14" s="472"/>
      <c r="G14" s="636" t="s">
        <v>104</v>
      </c>
      <c r="H14" s="625">
        <v>1</v>
      </c>
      <c r="I14" s="635" t="s">
        <v>91</v>
      </c>
      <c r="J14" s="621" t="s">
        <v>176</v>
      </c>
      <c r="K14" s="281">
        <v>8</v>
      </c>
      <c r="L14" s="636" t="s">
        <v>177</v>
      </c>
      <c r="M14" s="640">
        <v>1</v>
      </c>
      <c r="N14" s="638">
        <v>1</v>
      </c>
      <c r="O14" s="639">
        <v>2</v>
      </c>
      <c r="P14" s="638">
        <v>3</v>
      </c>
      <c r="Q14" s="639">
        <v>4</v>
      </c>
      <c r="R14" s="638">
        <v>5</v>
      </c>
    </row>
    <row r="15" spans="1:18" ht="18" customHeight="1">
      <c r="A15" s="1961"/>
      <c r="B15" s="632" t="s">
        <v>108</v>
      </c>
      <c r="C15" s="633">
        <v>2</v>
      </c>
      <c r="D15" s="634" t="s">
        <v>91</v>
      </c>
      <c r="E15" s="474"/>
      <c r="F15" s="455"/>
      <c r="G15" s="760"/>
      <c r="H15" s="2094">
        <f>L3</f>
        <v>-2.0499999999999989</v>
      </c>
      <c r="I15" s="2095"/>
      <c r="J15" s="47" t="s">
        <v>178</v>
      </c>
      <c r="K15" s="639">
        <v>9</v>
      </c>
      <c r="L15" s="636" t="s">
        <v>179</v>
      </c>
      <c r="M15" s="640">
        <v>2</v>
      </c>
      <c r="N15" s="2077" t="s">
        <v>180</v>
      </c>
      <c r="O15" s="2080" t="s">
        <v>181</v>
      </c>
      <c r="P15" s="2077" t="s">
        <v>182</v>
      </c>
      <c r="Q15" s="2080" t="s">
        <v>112</v>
      </c>
      <c r="R15" s="2082" t="s">
        <v>183</v>
      </c>
    </row>
    <row r="16" spans="1:18" ht="18" customHeight="1">
      <c r="A16" s="1961"/>
      <c r="B16" s="2091" t="s">
        <v>184</v>
      </c>
      <c r="C16" s="2092"/>
      <c r="D16" s="2092"/>
      <c r="E16" s="2093"/>
      <c r="F16" s="2106" t="s">
        <v>185</v>
      </c>
      <c r="G16" s="637" t="s">
        <v>108</v>
      </c>
      <c r="H16" s="561">
        <v>2</v>
      </c>
      <c r="I16" s="283"/>
      <c r="J16" s="621" t="s">
        <v>112</v>
      </c>
      <c r="K16" s="641">
        <v>10</v>
      </c>
      <c r="L16" s="621" t="s">
        <v>112</v>
      </c>
      <c r="M16" s="641">
        <v>3</v>
      </c>
      <c r="N16" s="2077"/>
      <c r="O16" s="2080"/>
      <c r="P16" s="2077"/>
      <c r="Q16" s="2080"/>
      <c r="R16" s="2082"/>
    </row>
    <row r="17" spans="1:18" ht="18" customHeight="1">
      <c r="A17" s="1961"/>
      <c r="B17" s="451"/>
      <c r="C17" s="448"/>
      <c r="D17" s="448"/>
      <c r="E17" s="475"/>
      <c r="F17" s="2107"/>
      <c r="G17" s="179"/>
      <c r="H17" s="230"/>
      <c r="I17" s="178"/>
      <c r="J17" s="2069" t="s">
        <v>184</v>
      </c>
      <c r="K17" s="2070"/>
      <c r="L17" s="180"/>
      <c r="M17" s="22"/>
      <c r="N17" s="2078"/>
      <c r="O17" s="2081"/>
      <c r="P17" s="2078"/>
      <c r="Q17" s="2081"/>
      <c r="R17" s="2083"/>
    </row>
    <row r="18" spans="1:18" ht="19.149999999999999" customHeight="1">
      <c r="A18" s="477">
        <v>1</v>
      </c>
      <c r="B18" s="457"/>
      <c r="C18" s="458"/>
      <c r="D18" s="459"/>
      <c r="E18" s="461"/>
      <c r="F18" s="462"/>
      <c r="G18" s="12"/>
      <c r="H18" s="14"/>
      <c r="I18" s="13"/>
      <c r="J18" s="12"/>
      <c r="K18" s="231"/>
      <c r="L18" s="12"/>
      <c r="M18" s="13"/>
      <c r="N18" s="12"/>
      <c r="O18" s="11"/>
      <c r="P18" s="11"/>
      <c r="Q18" s="11"/>
      <c r="R18" s="11"/>
    </row>
    <row r="19" spans="1:18" ht="19.149999999999999" customHeight="1">
      <c r="A19" s="477">
        <v>2</v>
      </c>
      <c r="B19" s="457"/>
      <c r="C19" s="458"/>
      <c r="D19" s="459"/>
      <c r="E19" s="461"/>
      <c r="F19" s="462"/>
      <c r="G19" s="12"/>
      <c r="H19" s="14"/>
      <c r="I19" s="13"/>
      <c r="J19" s="12"/>
      <c r="K19" s="231"/>
      <c r="L19" s="12"/>
      <c r="M19" s="13"/>
      <c r="N19" s="12"/>
      <c r="O19" s="11"/>
      <c r="P19" s="11"/>
      <c r="Q19" s="11"/>
      <c r="R19" s="11"/>
    </row>
    <row r="20" spans="1:18" ht="19.149999999999999" customHeight="1" thickBot="1">
      <c r="A20" s="478">
        <v>3</v>
      </c>
      <c r="B20" s="463"/>
      <c r="C20" s="464"/>
      <c r="D20" s="465"/>
      <c r="E20" s="467"/>
      <c r="F20" s="468"/>
      <c r="G20" s="16"/>
      <c r="H20" s="176"/>
      <c r="I20" s="175"/>
      <c r="J20" s="16"/>
      <c r="K20" s="181"/>
      <c r="L20" s="16"/>
      <c r="M20" s="175"/>
      <c r="N20" s="16"/>
      <c r="O20" s="15"/>
      <c r="P20" s="15"/>
      <c r="Q20" s="15"/>
      <c r="R20" s="15"/>
    </row>
    <row r="21" spans="1:18" ht="19.149999999999999" customHeight="1" thickTop="1">
      <c r="A21" s="477">
        <v>4</v>
      </c>
      <c r="B21" s="457"/>
      <c r="C21" s="458"/>
      <c r="D21" s="459"/>
      <c r="E21" s="461"/>
      <c r="F21" s="462"/>
      <c r="G21" s="12"/>
      <c r="H21" s="14"/>
      <c r="I21" s="13"/>
      <c r="J21" s="12"/>
      <c r="K21" s="231"/>
      <c r="L21" s="12"/>
      <c r="M21" s="13"/>
      <c r="N21" s="12"/>
      <c r="O21" s="11"/>
      <c r="P21" s="11"/>
      <c r="Q21" s="11"/>
      <c r="R21" s="11"/>
    </row>
    <row r="22" spans="1:18" ht="19.149999999999999" customHeight="1">
      <c r="A22" s="477">
        <v>5</v>
      </c>
      <c r="B22" s="457"/>
      <c r="C22" s="458"/>
      <c r="D22" s="459"/>
      <c r="E22" s="461"/>
      <c r="F22" s="462"/>
      <c r="G22" s="12"/>
      <c r="H22" s="14"/>
      <c r="I22" s="13"/>
      <c r="J22" s="12"/>
      <c r="K22" s="231"/>
      <c r="L22" s="12"/>
      <c r="M22" s="13"/>
      <c r="N22" s="12"/>
      <c r="O22" s="11"/>
      <c r="P22" s="11"/>
      <c r="Q22" s="11"/>
      <c r="R22" s="11"/>
    </row>
    <row r="23" spans="1:18" ht="19.149999999999999" customHeight="1" thickBot="1">
      <c r="A23" s="478">
        <v>6</v>
      </c>
      <c r="B23" s="463"/>
      <c r="C23" s="464"/>
      <c r="D23" s="465"/>
      <c r="E23" s="467"/>
      <c r="F23" s="468"/>
      <c r="G23" s="16"/>
      <c r="H23" s="176"/>
      <c r="I23" s="175"/>
      <c r="J23" s="16"/>
      <c r="K23" s="181"/>
      <c r="L23" s="16"/>
      <c r="M23" s="175"/>
      <c r="N23" s="16"/>
      <c r="O23" s="15"/>
      <c r="P23" s="15"/>
      <c r="Q23" s="15"/>
      <c r="R23" s="15"/>
    </row>
    <row r="24" spans="1:18" ht="19.149999999999999" customHeight="1" thickTop="1">
      <c r="A24" s="477">
        <v>7</v>
      </c>
      <c r="B24" s="457"/>
      <c r="C24" s="458"/>
      <c r="D24" s="459"/>
      <c r="E24" s="461"/>
      <c r="F24" s="462"/>
      <c r="G24" s="12"/>
      <c r="H24" s="14"/>
      <c r="I24" s="13"/>
      <c r="J24" s="12"/>
      <c r="K24" s="231"/>
      <c r="L24" s="12"/>
      <c r="M24" s="13"/>
      <c r="N24" s="12"/>
      <c r="O24" s="11"/>
      <c r="P24" s="11"/>
      <c r="Q24" s="11"/>
      <c r="R24" s="11"/>
    </row>
    <row r="25" spans="1:18" ht="19.149999999999999" customHeight="1">
      <c r="A25" s="477">
        <v>8</v>
      </c>
      <c r="B25" s="457"/>
      <c r="C25" s="458"/>
      <c r="D25" s="459"/>
      <c r="E25" s="461"/>
      <c r="F25" s="462"/>
      <c r="G25" s="12"/>
      <c r="H25" s="14"/>
      <c r="I25" s="13"/>
      <c r="J25" s="12"/>
      <c r="K25" s="231"/>
      <c r="L25" s="12"/>
      <c r="M25" s="13"/>
      <c r="N25" s="12"/>
      <c r="O25" s="11"/>
      <c r="P25" s="11"/>
      <c r="Q25" s="11"/>
      <c r="R25" s="11"/>
    </row>
    <row r="26" spans="1:18" ht="19.149999999999999" customHeight="1" thickBot="1">
      <c r="A26" s="478">
        <v>9</v>
      </c>
      <c r="B26" s="463"/>
      <c r="C26" s="464"/>
      <c r="D26" s="465"/>
      <c r="E26" s="467"/>
      <c r="F26" s="468"/>
      <c r="G26" s="16"/>
      <c r="H26" s="176"/>
      <c r="I26" s="175"/>
      <c r="J26" s="16"/>
      <c r="K26" s="181"/>
      <c r="L26" s="16"/>
      <c r="M26" s="175"/>
      <c r="N26" s="16"/>
      <c r="O26" s="15"/>
      <c r="P26" s="15"/>
      <c r="Q26" s="15"/>
      <c r="R26" s="15"/>
    </row>
    <row r="27" spans="1:18" ht="19.149999999999999" customHeight="1" thickTop="1">
      <c r="A27" s="477">
        <v>10</v>
      </c>
      <c r="B27" s="457"/>
      <c r="C27" s="458"/>
      <c r="D27" s="459"/>
      <c r="E27" s="461"/>
      <c r="F27" s="462"/>
      <c r="G27" s="12"/>
      <c r="H27" s="14"/>
      <c r="I27" s="13"/>
      <c r="J27" s="12"/>
      <c r="K27" s="231"/>
      <c r="L27" s="12"/>
      <c r="M27" s="13"/>
      <c r="N27" s="12"/>
      <c r="O27" s="11"/>
      <c r="P27" s="11"/>
      <c r="Q27" s="11"/>
      <c r="R27" s="11"/>
    </row>
    <row r="28" spans="1:18" ht="19.149999999999999" customHeight="1">
      <c r="A28" s="477">
        <v>11</v>
      </c>
      <c r="B28" s="457"/>
      <c r="C28" s="458"/>
      <c r="D28" s="459"/>
      <c r="E28" s="461"/>
      <c r="F28" s="462"/>
      <c r="G28" s="12"/>
      <c r="H28" s="14"/>
      <c r="I28" s="13"/>
      <c r="J28" s="12"/>
      <c r="K28" s="231"/>
      <c r="L28" s="12"/>
      <c r="M28" s="13"/>
      <c r="N28" s="12"/>
      <c r="O28" s="11"/>
      <c r="P28" s="11"/>
      <c r="Q28" s="11"/>
      <c r="R28" s="11"/>
    </row>
    <row r="29" spans="1:18" ht="19.149999999999999" customHeight="1" thickBot="1">
      <c r="A29" s="478">
        <v>12</v>
      </c>
      <c r="B29" s="463"/>
      <c r="C29" s="464"/>
      <c r="D29" s="465"/>
      <c r="E29" s="467"/>
      <c r="F29" s="468"/>
      <c r="G29" s="16"/>
      <c r="H29" s="176"/>
      <c r="I29" s="175"/>
      <c r="J29" s="16"/>
      <c r="K29" s="181"/>
      <c r="L29" s="16"/>
      <c r="M29" s="175"/>
      <c r="N29" s="16"/>
      <c r="O29" s="15"/>
      <c r="P29" s="15"/>
      <c r="Q29" s="15"/>
      <c r="R29" s="15"/>
    </row>
    <row r="30" spans="1:18" ht="19.149999999999999" customHeight="1" thickTop="1">
      <c r="A30" s="477">
        <v>13</v>
      </c>
      <c r="B30" s="457"/>
      <c r="C30" s="458"/>
      <c r="D30" s="459"/>
      <c r="E30" s="461"/>
      <c r="F30" s="462"/>
      <c r="G30" s="12"/>
      <c r="H30" s="14"/>
      <c r="I30" s="13"/>
      <c r="J30" s="12"/>
      <c r="K30" s="231"/>
      <c r="L30" s="12"/>
      <c r="M30" s="13"/>
      <c r="N30" s="12"/>
      <c r="O30" s="11"/>
      <c r="P30" s="11"/>
      <c r="Q30" s="11"/>
      <c r="R30" s="11"/>
    </row>
    <row r="31" spans="1:18" ht="19.149999999999999" customHeight="1">
      <c r="A31" s="477">
        <v>14</v>
      </c>
      <c r="B31" s="457"/>
      <c r="C31" s="458"/>
      <c r="D31" s="459"/>
      <c r="E31" s="461"/>
      <c r="F31" s="462"/>
      <c r="G31" s="12"/>
      <c r="H31" s="14"/>
      <c r="I31" s="13"/>
      <c r="J31" s="12"/>
      <c r="K31" s="231"/>
      <c r="L31" s="12"/>
      <c r="M31" s="13"/>
      <c r="N31" s="12"/>
      <c r="O31" s="11"/>
      <c r="P31" s="11"/>
      <c r="Q31" s="11"/>
      <c r="R31" s="11"/>
    </row>
    <row r="32" spans="1:18" ht="19.149999999999999" customHeight="1">
      <c r="A32" s="477">
        <v>15</v>
      </c>
      <c r="B32" s="457"/>
      <c r="C32" s="458"/>
      <c r="D32" s="459"/>
      <c r="E32" s="461"/>
      <c r="F32" s="462"/>
      <c r="G32" s="12"/>
      <c r="H32" s="14"/>
      <c r="I32" s="13"/>
      <c r="J32" s="12"/>
      <c r="K32" s="231"/>
      <c r="L32" s="12"/>
      <c r="M32" s="13"/>
      <c r="N32" s="12"/>
      <c r="O32" s="11"/>
      <c r="P32" s="11"/>
      <c r="Q32" s="11"/>
      <c r="R32" s="11"/>
    </row>
    <row r="33" ht="16.5" customHeight="1"/>
  </sheetData>
  <mergeCells count="27">
    <mergeCell ref="A3:A17"/>
    <mergeCell ref="G4:I9"/>
    <mergeCell ref="L4:M11"/>
    <mergeCell ref="B16:E16"/>
    <mergeCell ref="H15:I15"/>
    <mergeCell ref="F4:F9"/>
    <mergeCell ref="B11:E12"/>
    <mergeCell ref="F11:F12"/>
    <mergeCell ref="B3:E3"/>
    <mergeCell ref="G3:I3"/>
    <mergeCell ref="J3:K3"/>
    <mergeCell ref="L3:M3"/>
    <mergeCell ref="B4:E9"/>
    <mergeCell ref="F16:F17"/>
    <mergeCell ref="J4:K6"/>
    <mergeCell ref="O1:R1"/>
    <mergeCell ref="J17:K17"/>
    <mergeCell ref="N4:R6"/>
    <mergeCell ref="N7:R7"/>
    <mergeCell ref="N13:R13"/>
    <mergeCell ref="N15:N17"/>
    <mergeCell ref="N10:R11"/>
    <mergeCell ref="O15:O17"/>
    <mergeCell ref="N12:R12"/>
    <mergeCell ref="P15:P17"/>
    <mergeCell ref="Q15:Q17"/>
    <mergeCell ref="R15:R17"/>
  </mergeCells>
  <printOptions horizontalCentered="1"/>
  <pageMargins left="0.45" right="0.45" top="0.75" bottom="0.5" header="0.3" footer="0.3"/>
  <pageSetup paperSize="9" scale="95" orientation="landscape" r:id="rId1"/>
  <headerFooter alignWithMargins="0">
    <oddFooter>&amp;C&amp;P</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BM39"/>
  <sheetViews>
    <sheetView showGridLines="0" view="pageBreakPreview" topLeftCell="AM1" zoomScaleNormal="100" zoomScaleSheetLayoutView="100" workbookViewId="0">
      <selection activeCell="BN4" sqref="BN4"/>
    </sheetView>
  </sheetViews>
  <sheetFormatPr defaultColWidth="9.140625" defaultRowHeight="11.25"/>
  <cols>
    <col min="1" max="1" width="3.42578125" style="2" customWidth="1"/>
    <col min="2" max="2" width="6.7109375" style="2" customWidth="1"/>
    <col min="3" max="3" width="3.42578125" style="2" customWidth="1"/>
    <col min="4" max="4" width="2.7109375" style="2" customWidth="1"/>
    <col min="5" max="6" width="5.42578125" style="2" customWidth="1"/>
    <col min="7" max="7" width="9.42578125" style="2" customWidth="1"/>
    <col min="8" max="8" width="18.28515625" style="2" customWidth="1"/>
    <col min="9" max="9" width="3.28515625" style="2" customWidth="1"/>
    <col min="10" max="10" width="1.7109375" style="2" customWidth="1"/>
    <col min="11" max="11" width="5" style="2" customWidth="1"/>
    <col min="12" max="12" width="6.85546875" style="2" customWidth="1"/>
    <col min="13" max="13" width="4.42578125" style="2" customWidth="1"/>
    <col min="14" max="14" width="6.28515625" style="2" customWidth="1"/>
    <col min="15" max="15" width="5.5703125" style="2" customWidth="1"/>
    <col min="16" max="16" width="11" style="2" customWidth="1"/>
    <col min="17" max="17" width="9.7109375" style="2" customWidth="1"/>
    <col min="18" max="18" width="1.85546875" style="2" customWidth="1"/>
    <col min="19" max="19" width="5.28515625" style="2" customWidth="1"/>
    <col min="20" max="20" width="7.28515625" style="2" customWidth="1"/>
    <col min="21" max="21" width="5.28515625" style="2" customWidth="1"/>
    <col min="22" max="22" width="11.42578125" style="2" customWidth="1"/>
    <col min="23" max="23" width="14.7109375" style="2" customWidth="1"/>
    <col min="24" max="24" width="10.7109375" style="2" customWidth="1"/>
    <col min="25" max="25" width="3" style="2" customWidth="1"/>
    <col min="26" max="26" width="6.7109375" style="2" customWidth="1"/>
    <col min="27" max="27" width="13.42578125" style="2" customWidth="1"/>
    <col min="28" max="28" width="10.7109375" style="2" customWidth="1"/>
    <col min="29" max="29" width="3.7109375" style="2" customWidth="1"/>
    <col min="30" max="30" width="7" style="2" customWidth="1"/>
    <col min="31" max="31" width="14.5703125" style="2" customWidth="1"/>
    <col min="32" max="32" width="2.7109375" style="2" customWidth="1"/>
    <col min="33" max="33" width="5.7109375" style="2" customWidth="1"/>
    <col min="34" max="34" width="8.140625" style="2" customWidth="1"/>
    <col min="35" max="35" width="3.140625" style="2" customWidth="1"/>
    <col min="36" max="36" width="12.28515625" style="2" customWidth="1"/>
    <col min="37" max="37" width="3.140625" style="177" customWidth="1"/>
    <col min="38" max="38" width="18.42578125" style="2" customWidth="1"/>
    <col min="39" max="39" width="2.85546875" style="177" customWidth="1"/>
    <col min="40" max="40" width="15.42578125" style="177" customWidth="1"/>
    <col min="41" max="41" width="2.85546875" style="177" customWidth="1"/>
    <col min="42" max="42" width="5.85546875" style="2" customWidth="1"/>
    <col min="43" max="43" width="3.140625" style="2" customWidth="1"/>
    <col min="44" max="44" width="2.85546875" style="2" customWidth="1"/>
    <col min="45" max="45" width="5.7109375" style="2" customWidth="1"/>
    <col min="46" max="47" width="3" style="2" customWidth="1"/>
    <col min="48" max="48" width="21" style="2" customWidth="1"/>
    <col min="49" max="49" width="3.140625" style="177" customWidth="1"/>
    <col min="50" max="50" width="15.140625" style="2" customWidth="1"/>
    <col min="51" max="51" width="6.85546875" style="2" customWidth="1"/>
    <col min="52" max="53" width="3.42578125" style="2" customWidth="1"/>
    <col min="54" max="54" width="21.42578125" style="2" customWidth="1"/>
    <col min="55" max="55" width="4.140625" style="2" customWidth="1"/>
    <col min="56" max="56" width="11.7109375" style="2" customWidth="1"/>
    <col min="57" max="57" width="11.42578125" style="2" customWidth="1"/>
    <col min="58" max="58" width="3.85546875" style="2" customWidth="1"/>
    <col min="59" max="59" width="14.42578125" style="2" customWidth="1"/>
    <col min="60" max="60" width="13.7109375" style="2" customWidth="1"/>
    <col min="61" max="65" width="12.42578125" style="2" customWidth="1"/>
    <col min="66" max="16384" width="9.140625" style="2"/>
  </cols>
  <sheetData>
    <row r="1" spans="1:65" ht="17.25" customHeight="1">
      <c r="B1" s="586" t="s">
        <v>158</v>
      </c>
      <c r="H1" s="18"/>
      <c r="Q1" s="171"/>
      <c r="X1" s="3"/>
      <c r="Y1" s="3"/>
      <c r="Z1" s="233" t="s">
        <v>186</v>
      </c>
      <c r="AA1" s="3" t="s">
        <v>187</v>
      </c>
      <c r="AL1" s="18"/>
      <c r="AV1" s="171"/>
      <c r="AW1" s="233" t="s">
        <v>186</v>
      </c>
      <c r="AX1" s="3" t="s">
        <v>187</v>
      </c>
      <c r="AY1" s="171"/>
      <c r="AZ1" s="171"/>
      <c r="BC1" s="171"/>
      <c r="BD1" s="171"/>
      <c r="BE1" s="171"/>
      <c r="BF1" s="171"/>
      <c r="BH1" s="3"/>
      <c r="BM1" s="233" t="s">
        <v>188</v>
      </c>
    </row>
    <row r="2" spans="1:65" ht="14.25" customHeight="1">
      <c r="B2" s="1332"/>
      <c r="C2" s="1332"/>
      <c r="D2" s="1332"/>
      <c r="E2" s="767"/>
      <c r="F2" s="767"/>
      <c r="G2" s="767"/>
      <c r="H2" s="767"/>
      <c r="I2" s="767"/>
      <c r="J2" s="767"/>
      <c r="K2" s="767"/>
      <c r="L2" s="147"/>
      <c r="M2" s="147"/>
      <c r="N2" s="147"/>
      <c r="O2" s="147"/>
      <c r="P2" s="147"/>
      <c r="Q2" s="147"/>
      <c r="R2" s="147"/>
      <c r="S2" s="147"/>
      <c r="T2" s="2194" t="s">
        <v>189</v>
      </c>
      <c r="U2" s="2194"/>
      <c r="V2" s="2194"/>
      <c r="W2" s="2194"/>
      <c r="X2" s="2194"/>
      <c r="Y2" s="2194"/>
      <c r="Z2" s="2194"/>
      <c r="AA2" s="2110"/>
      <c r="AB2" s="2110"/>
      <c r="AC2" s="2110"/>
      <c r="AD2" s="2110"/>
      <c r="AE2" s="147" t="s">
        <v>190</v>
      </c>
      <c r="AF2" s="242"/>
      <c r="AG2" s="242"/>
      <c r="AH2" s="242"/>
      <c r="AI2" s="242"/>
      <c r="AJ2" s="242"/>
      <c r="AK2" s="242"/>
      <c r="AL2" s="242"/>
      <c r="AM2" s="242"/>
      <c r="AN2" s="242"/>
      <c r="AO2" s="242"/>
      <c r="AP2" s="242"/>
      <c r="AQ2" s="242"/>
      <c r="AR2" s="242"/>
      <c r="AS2" s="242"/>
      <c r="AT2" s="242"/>
      <c r="AU2" s="242"/>
      <c r="AV2" s="242"/>
      <c r="AW2" s="242"/>
      <c r="AX2" s="147" t="s">
        <v>191</v>
      </c>
      <c r="AY2" s="242"/>
      <c r="AZ2" s="242"/>
      <c r="BA2" s="242"/>
      <c r="BB2" s="9"/>
      <c r="BC2" s="242"/>
      <c r="BD2" s="242"/>
      <c r="BE2" s="147"/>
      <c r="BF2" s="1018"/>
      <c r="BG2" s="9"/>
      <c r="BH2" s="585"/>
      <c r="BI2" s="585"/>
      <c r="BJ2" s="585"/>
      <c r="BK2" s="585"/>
      <c r="BL2" s="585"/>
      <c r="BM2" s="1590" t="s">
        <v>63</v>
      </c>
    </row>
    <row r="3" spans="1:65" s="97" customFormat="1" ht="14.25" customHeight="1">
      <c r="A3" s="2161" t="s">
        <v>64</v>
      </c>
      <c r="B3" s="2169">
        <v>-2.0699999999999998</v>
      </c>
      <c r="C3" s="2170"/>
      <c r="D3" s="2171"/>
      <c r="E3" s="2101">
        <f>B3-0.01</f>
        <v>-2.0799999999999996</v>
      </c>
      <c r="F3" s="2102"/>
      <c r="G3" s="447">
        <f>E3-0.01</f>
        <v>-2.0899999999999994</v>
      </c>
      <c r="H3" s="1952">
        <f>G3-0.01</f>
        <v>-2.0999999999999992</v>
      </c>
      <c r="I3" s="1954"/>
      <c r="J3" s="1954"/>
      <c r="K3" s="1953"/>
      <c r="L3" s="1952">
        <f>H3-0.01</f>
        <v>-2.109999999999999</v>
      </c>
      <c r="M3" s="1953"/>
      <c r="N3" s="1952">
        <f>L3-0.01</f>
        <v>-2.1199999999999988</v>
      </c>
      <c r="O3" s="1953"/>
      <c r="P3" s="278">
        <f>N3-0.01</f>
        <v>-2.1299999999999986</v>
      </c>
      <c r="Q3" s="1952">
        <f>P3-0.01</f>
        <v>-2.1399999999999983</v>
      </c>
      <c r="R3" s="1954"/>
      <c r="S3" s="1953"/>
      <c r="T3" s="1952">
        <f>Q3-0.01</f>
        <v>-2.1499999999999981</v>
      </c>
      <c r="U3" s="1953"/>
      <c r="V3" s="278">
        <f>T3-0.01</f>
        <v>-2.1599999999999979</v>
      </c>
      <c r="W3" s="1952">
        <f>V3-0.01</f>
        <v>-2.1699999999999977</v>
      </c>
      <c r="X3" s="1954"/>
      <c r="Y3" s="1954"/>
      <c r="Z3" s="1953"/>
      <c r="AA3" s="1952">
        <f>W3-0.01</f>
        <v>-2.1799999999999975</v>
      </c>
      <c r="AB3" s="1954"/>
      <c r="AC3" s="1954"/>
      <c r="AD3" s="1953"/>
      <c r="AE3" s="1952">
        <f>AA3-0.01</f>
        <v>-2.1899999999999973</v>
      </c>
      <c r="AF3" s="1954"/>
      <c r="AG3" s="1953"/>
      <c r="AH3" s="1952">
        <f>AE3-0.01</f>
        <v>-2.1999999999999971</v>
      </c>
      <c r="AI3" s="1953"/>
      <c r="AJ3" s="1952">
        <f>AH3-0.01</f>
        <v>-2.2099999999999969</v>
      </c>
      <c r="AK3" s="1953"/>
      <c r="AL3" s="1952">
        <f>AJ3-0.01</f>
        <v>-2.2199999999999966</v>
      </c>
      <c r="AM3" s="1953"/>
      <c r="AN3" s="1952">
        <f>AL3-0.01</f>
        <v>-2.2299999999999964</v>
      </c>
      <c r="AO3" s="1953"/>
      <c r="AP3" s="1954">
        <f>AN3-0.01</f>
        <v>-2.2399999999999962</v>
      </c>
      <c r="AQ3" s="1954"/>
      <c r="AR3" s="1954"/>
      <c r="AS3" s="2126">
        <f>AP3-0.01</f>
        <v>-2.249999999999996</v>
      </c>
      <c r="AT3" s="1954"/>
      <c r="AU3" s="1953"/>
      <c r="AV3" s="1952">
        <f>AS3-0.01</f>
        <v>-2.2599999999999958</v>
      </c>
      <c r="AW3" s="1953"/>
      <c r="AX3" s="278">
        <f>AV3-0.01</f>
        <v>-2.2699999999999956</v>
      </c>
      <c r="AY3" s="1952">
        <f>AX3-0.01</f>
        <v>-2.2799999999999954</v>
      </c>
      <c r="AZ3" s="1954"/>
      <c r="BA3" s="1953"/>
      <c r="BB3" s="1952">
        <f>AY3-0.01</f>
        <v>-2.2899999999999952</v>
      </c>
      <c r="BC3" s="1953"/>
      <c r="BD3" s="278">
        <f>BB3-0.01</f>
        <v>-2.2999999999999949</v>
      </c>
      <c r="BE3" s="1952">
        <f>BD3-0.01</f>
        <v>-2.3099999999999947</v>
      </c>
      <c r="BF3" s="1953"/>
      <c r="BG3" s="279">
        <f>BE3-0.01</f>
        <v>-2.3199999999999945</v>
      </c>
      <c r="BH3" s="265"/>
      <c r="BI3" s="265"/>
      <c r="BJ3" s="265"/>
      <c r="BK3" s="265"/>
      <c r="BL3" s="265"/>
      <c r="BM3" s="268"/>
    </row>
    <row r="4" spans="1:65" ht="14.25" customHeight="1">
      <c r="A4" s="2162"/>
      <c r="B4" s="2176" t="s">
        <v>192</v>
      </c>
      <c r="C4" s="2104"/>
      <c r="D4" s="2177"/>
      <c r="E4" s="2172" t="s">
        <v>193</v>
      </c>
      <c r="F4" s="2115"/>
      <c r="G4" s="2115" t="s">
        <v>194</v>
      </c>
      <c r="H4" s="1955" t="s">
        <v>195</v>
      </c>
      <c r="I4" s="1956"/>
      <c r="J4" s="1956"/>
      <c r="K4" s="1957"/>
      <c r="L4" s="1955" t="s">
        <v>196</v>
      </c>
      <c r="M4" s="1957"/>
      <c r="N4" s="1955" t="s">
        <v>197</v>
      </c>
      <c r="O4" s="1957"/>
      <c r="P4" s="2118" t="s">
        <v>198</v>
      </c>
      <c r="Q4" s="1955" t="s">
        <v>199</v>
      </c>
      <c r="R4" s="1956"/>
      <c r="S4" s="1957"/>
      <c r="T4" s="1955" t="s">
        <v>200</v>
      </c>
      <c r="U4" s="1957"/>
      <c r="V4" s="2118" t="s">
        <v>201</v>
      </c>
      <c r="W4" s="1955" t="s">
        <v>202</v>
      </c>
      <c r="X4" s="1956"/>
      <c r="Y4" s="1956"/>
      <c r="Z4" s="1957"/>
      <c r="AA4" s="1955" t="s">
        <v>203</v>
      </c>
      <c r="AB4" s="1956"/>
      <c r="AC4" s="1956"/>
      <c r="AD4" s="1957"/>
      <c r="AE4" s="1955" t="s">
        <v>204</v>
      </c>
      <c r="AF4" s="1956"/>
      <c r="AG4" s="1957"/>
      <c r="AH4" s="2087" t="s">
        <v>205</v>
      </c>
      <c r="AI4" s="2088"/>
      <c r="AJ4" s="1955" t="s">
        <v>206</v>
      </c>
      <c r="AK4" s="1957"/>
      <c r="AL4" s="2087" t="s">
        <v>207</v>
      </c>
      <c r="AM4" s="2124"/>
      <c r="AN4" s="1955" t="s">
        <v>208</v>
      </c>
      <c r="AO4" s="1957"/>
      <c r="AP4" s="2124" t="s">
        <v>209</v>
      </c>
      <c r="AQ4" s="2124"/>
      <c r="AR4" s="2124"/>
      <c r="AS4" s="2127" t="s">
        <v>210</v>
      </c>
      <c r="AT4" s="1956"/>
      <c r="AU4" s="1957"/>
      <c r="AV4" s="1955" t="s">
        <v>211</v>
      </c>
      <c r="AW4" s="1957"/>
      <c r="AX4" s="2118" t="s">
        <v>212</v>
      </c>
      <c r="AY4" s="1955" t="s">
        <v>213</v>
      </c>
      <c r="AZ4" s="1956"/>
      <c r="BA4" s="1957"/>
      <c r="BB4" s="1955" t="s">
        <v>214</v>
      </c>
      <c r="BC4" s="1957"/>
      <c r="BD4" s="2140" t="s">
        <v>215</v>
      </c>
      <c r="BE4" s="1955" t="s">
        <v>216</v>
      </c>
      <c r="BF4" s="1957"/>
      <c r="BG4" s="1955" t="s">
        <v>217</v>
      </c>
      <c r="BH4" s="1956"/>
      <c r="BI4" s="1956"/>
      <c r="BJ4" s="1956"/>
      <c r="BK4" s="1956"/>
      <c r="BL4" s="1956"/>
      <c r="BM4" s="1957"/>
    </row>
    <row r="5" spans="1:65" ht="14.25" customHeight="1">
      <c r="A5" s="2162"/>
      <c r="B5" s="2176"/>
      <c r="C5" s="2104"/>
      <c r="D5" s="2177"/>
      <c r="E5" s="2172"/>
      <c r="F5" s="2115"/>
      <c r="G5" s="2115"/>
      <c r="H5" s="1955"/>
      <c r="I5" s="1956"/>
      <c r="J5" s="1956"/>
      <c r="K5" s="1957"/>
      <c r="L5" s="1955"/>
      <c r="M5" s="1957"/>
      <c r="N5" s="1955"/>
      <c r="O5" s="1957"/>
      <c r="P5" s="2118"/>
      <c r="Q5" s="1955"/>
      <c r="R5" s="1956"/>
      <c r="S5" s="1957"/>
      <c r="T5" s="1955"/>
      <c r="U5" s="1957"/>
      <c r="V5" s="2118"/>
      <c r="W5" s="1955"/>
      <c r="X5" s="1956"/>
      <c r="Y5" s="1956"/>
      <c r="Z5" s="1957"/>
      <c r="AA5" s="1955"/>
      <c r="AB5" s="1956"/>
      <c r="AC5" s="1956"/>
      <c r="AD5" s="1957"/>
      <c r="AE5" s="1955"/>
      <c r="AF5" s="1956"/>
      <c r="AG5" s="1957"/>
      <c r="AH5" s="2087"/>
      <c r="AI5" s="2088"/>
      <c r="AJ5" s="1955"/>
      <c r="AK5" s="1957"/>
      <c r="AL5" s="2087"/>
      <c r="AM5" s="2124"/>
      <c r="AN5" s="1955"/>
      <c r="AO5" s="1957"/>
      <c r="AP5" s="2124"/>
      <c r="AQ5" s="2124"/>
      <c r="AR5" s="2124"/>
      <c r="AS5" s="2127"/>
      <c r="AT5" s="1956"/>
      <c r="AU5" s="1957"/>
      <c r="AV5" s="1955"/>
      <c r="AW5" s="1957"/>
      <c r="AX5" s="2118"/>
      <c r="AY5" s="1955"/>
      <c r="AZ5" s="1956"/>
      <c r="BA5" s="1957"/>
      <c r="BB5" s="1955"/>
      <c r="BC5" s="1957"/>
      <c r="BD5" s="2140"/>
      <c r="BE5" s="1955"/>
      <c r="BF5" s="1957"/>
      <c r="BG5" s="1955"/>
      <c r="BH5" s="1956"/>
      <c r="BI5" s="1956"/>
      <c r="BJ5" s="1956"/>
      <c r="BK5" s="1956"/>
      <c r="BL5" s="1956"/>
      <c r="BM5" s="1957"/>
    </row>
    <row r="6" spans="1:65" ht="14.25" customHeight="1">
      <c r="A6" s="2162"/>
      <c r="B6" s="2176"/>
      <c r="C6" s="2104"/>
      <c r="D6" s="2177"/>
      <c r="E6" s="2172"/>
      <c r="F6" s="2115"/>
      <c r="G6" s="2115"/>
      <c r="H6" s="1955"/>
      <c r="I6" s="1956"/>
      <c r="J6" s="1956"/>
      <c r="K6" s="1957"/>
      <c r="L6" s="1955"/>
      <c r="M6" s="1957"/>
      <c r="N6" s="1955"/>
      <c r="O6" s="1957"/>
      <c r="P6" s="2118"/>
      <c r="Q6" s="1955"/>
      <c r="R6" s="1956"/>
      <c r="S6" s="1957"/>
      <c r="T6" s="1955"/>
      <c r="U6" s="1957"/>
      <c r="V6" s="2118"/>
      <c r="W6" s="1955"/>
      <c r="X6" s="1956"/>
      <c r="Y6" s="1956"/>
      <c r="Z6" s="1957"/>
      <c r="AA6" s="1955"/>
      <c r="AB6" s="1956"/>
      <c r="AC6" s="1956"/>
      <c r="AD6" s="1957"/>
      <c r="AE6" s="1955"/>
      <c r="AF6" s="1956"/>
      <c r="AG6" s="1957"/>
      <c r="AH6" s="2087"/>
      <c r="AI6" s="2088"/>
      <c r="AJ6" s="1955"/>
      <c r="AK6" s="1957"/>
      <c r="AL6" s="2087"/>
      <c r="AM6" s="2124"/>
      <c r="AN6" s="1955"/>
      <c r="AO6" s="1957"/>
      <c r="AP6" s="2124"/>
      <c r="AQ6" s="2124"/>
      <c r="AR6" s="2124"/>
      <c r="AS6" s="2127"/>
      <c r="AT6" s="1956"/>
      <c r="AU6" s="1957"/>
      <c r="AV6" s="1955"/>
      <c r="AW6" s="1957"/>
      <c r="AX6" s="2118"/>
      <c r="AY6" s="1955"/>
      <c r="AZ6" s="1956"/>
      <c r="BA6" s="1957"/>
      <c r="BB6" s="1955"/>
      <c r="BC6" s="1957"/>
      <c r="BD6" s="2140"/>
      <c r="BE6" s="1955"/>
      <c r="BF6" s="1957"/>
      <c r="BG6" s="1955"/>
      <c r="BH6" s="1956"/>
      <c r="BI6" s="1956"/>
      <c r="BJ6" s="1956"/>
      <c r="BK6" s="1956"/>
      <c r="BL6" s="1956"/>
      <c r="BM6" s="1957"/>
    </row>
    <row r="7" spans="1:65" ht="14.25" customHeight="1">
      <c r="A7" s="2162"/>
      <c r="B7" s="2176"/>
      <c r="C7" s="2104"/>
      <c r="D7" s="2177"/>
      <c r="E7" s="2172"/>
      <c r="F7" s="2115"/>
      <c r="G7" s="2115"/>
      <c r="H7" s="1955"/>
      <c r="I7" s="1956"/>
      <c r="J7" s="1956"/>
      <c r="K7" s="1957"/>
      <c r="L7" s="1955"/>
      <c r="M7" s="1957"/>
      <c r="N7" s="1955"/>
      <c r="O7" s="1957"/>
      <c r="P7" s="2118"/>
      <c r="Q7" s="1955"/>
      <c r="R7" s="1956"/>
      <c r="S7" s="1957"/>
      <c r="T7" s="1955"/>
      <c r="U7" s="1957"/>
      <c r="V7" s="2118"/>
      <c r="W7" s="2158" t="s">
        <v>218</v>
      </c>
      <c r="X7" s="2157"/>
      <c r="Y7" s="665">
        <v>1</v>
      </c>
      <c r="Z7" s="1140"/>
      <c r="AA7" s="261"/>
      <c r="AB7" s="46"/>
      <c r="AC7" s="46"/>
      <c r="AD7" s="262"/>
      <c r="AE7" s="1955"/>
      <c r="AF7" s="1956"/>
      <c r="AG7" s="1957"/>
      <c r="AH7" s="2087"/>
      <c r="AI7" s="2088"/>
      <c r="AJ7" s="1955"/>
      <c r="AK7" s="1957"/>
      <c r="AL7" s="2087"/>
      <c r="AM7" s="2124"/>
      <c r="AN7" s="1955"/>
      <c r="AO7" s="1957"/>
      <c r="AP7" s="2124"/>
      <c r="AQ7" s="2124"/>
      <c r="AR7" s="2124"/>
      <c r="AS7" s="2127"/>
      <c r="AT7" s="1956"/>
      <c r="AU7" s="1957"/>
      <c r="AV7" s="1955"/>
      <c r="AW7" s="1957"/>
      <c r="AX7" s="2118"/>
      <c r="AY7" s="1955"/>
      <c r="AZ7" s="1956"/>
      <c r="BA7" s="1957"/>
      <c r="BB7" s="1955"/>
      <c r="BC7" s="1957"/>
      <c r="BD7" s="2140"/>
      <c r="BE7" s="1955"/>
      <c r="BF7" s="1957"/>
      <c r="BG7" s="1955"/>
      <c r="BH7" s="1956"/>
      <c r="BI7" s="1956"/>
      <c r="BJ7" s="1956"/>
      <c r="BK7" s="1956"/>
      <c r="BL7" s="1956"/>
      <c r="BM7" s="1957"/>
    </row>
    <row r="8" spans="1:65" ht="14.25" customHeight="1">
      <c r="A8" s="2162"/>
      <c r="B8" s="2176"/>
      <c r="C8" s="2104"/>
      <c r="D8" s="2177"/>
      <c r="E8" s="2172"/>
      <c r="F8" s="2115"/>
      <c r="G8" s="2116"/>
      <c r="H8" s="1978" t="s">
        <v>219</v>
      </c>
      <c r="I8" s="1979"/>
      <c r="J8" s="1979"/>
      <c r="K8" s="1980"/>
      <c r="L8" s="1955"/>
      <c r="M8" s="1957"/>
      <c r="N8" s="1955"/>
      <c r="O8" s="1957"/>
      <c r="P8" s="2118"/>
      <c r="Q8" s="1955"/>
      <c r="R8" s="1956"/>
      <c r="S8" s="1957"/>
      <c r="T8" s="1955"/>
      <c r="U8" s="1957"/>
      <c r="V8" s="2118"/>
      <c r="W8" s="2158" t="s">
        <v>220</v>
      </c>
      <c r="X8" s="2157"/>
      <c r="Y8" s="2151">
        <v>2</v>
      </c>
      <c r="Z8" s="2123"/>
      <c r="AA8" s="2120" t="s">
        <v>221</v>
      </c>
      <c r="AB8" s="2157"/>
      <c r="AC8" s="786">
        <v>1</v>
      </c>
      <c r="AD8" s="1137"/>
      <c r="AE8" s="1955"/>
      <c r="AF8" s="1956"/>
      <c r="AG8" s="1957"/>
      <c r="AH8" s="2087"/>
      <c r="AI8" s="2088"/>
      <c r="AJ8" s="1955"/>
      <c r="AK8" s="1957"/>
      <c r="AL8" s="2087"/>
      <c r="AM8" s="2124"/>
      <c r="AN8" s="1955"/>
      <c r="AO8" s="1957"/>
      <c r="AP8" s="2124"/>
      <c r="AQ8" s="2124"/>
      <c r="AR8" s="2124"/>
      <c r="AS8" s="2127"/>
      <c r="AT8" s="1956"/>
      <c r="AU8" s="1957"/>
      <c r="AV8" s="1955"/>
      <c r="AW8" s="1957"/>
      <c r="AX8" s="2118"/>
      <c r="AY8" s="1955"/>
      <c r="AZ8" s="1956"/>
      <c r="BA8" s="1957"/>
      <c r="BB8" s="1955"/>
      <c r="BC8" s="1957"/>
      <c r="BD8" s="2140"/>
      <c r="BE8" s="1955"/>
      <c r="BF8" s="1957"/>
      <c r="BG8" s="1955"/>
      <c r="BH8" s="1956"/>
      <c r="BI8" s="1956"/>
      <c r="BJ8" s="1956"/>
      <c r="BK8" s="1956"/>
      <c r="BL8" s="1956"/>
      <c r="BM8" s="1957"/>
    </row>
    <row r="9" spans="1:65" ht="14.25" customHeight="1">
      <c r="A9" s="2162"/>
      <c r="B9" s="2176"/>
      <c r="C9" s="2104"/>
      <c r="D9" s="2177"/>
      <c r="E9" s="2172"/>
      <c r="F9" s="2115"/>
      <c r="G9" s="2116"/>
      <c r="H9" s="1978"/>
      <c r="I9" s="1979"/>
      <c r="J9" s="1979"/>
      <c r="K9" s="1980"/>
      <c r="L9" s="1955"/>
      <c r="M9" s="1957"/>
      <c r="N9" s="1955"/>
      <c r="O9" s="1957"/>
      <c r="P9" s="2118"/>
      <c r="Q9" s="1955"/>
      <c r="R9" s="1956"/>
      <c r="S9" s="1957"/>
      <c r="T9" s="1955"/>
      <c r="U9" s="1957"/>
      <c r="V9" s="2118"/>
      <c r="W9" s="2120"/>
      <c r="X9" s="2157"/>
      <c r="Y9" s="2154"/>
      <c r="Z9" s="2123"/>
      <c r="AA9" s="2120" t="s">
        <v>222</v>
      </c>
      <c r="AB9" s="2157"/>
      <c r="AC9" s="786">
        <v>2</v>
      </c>
      <c r="AD9" s="1137"/>
      <c r="AE9" s="1955"/>
      <c r="AF9" s="1956"/>
      <c r="AG9" s="1957"/>
      <c r="AH9" s="2087"/>
      <c r="AI9" s="2088"/>
      <c r="AJ9" s="1955"/>
      <c r="AK9" s="1957"/>
      <c r="AL9" s="2087"/>
      <c r="AM9" s="2124"/>
      <c r="AN9" s="1955"/>
      <c r="AO9" s="1957"/>
      <c r="AP9" s="2124"/>
      <c r="AQ9" s="2124"/>
      <c r="AR9" s="2124"/>
      <c r="AS9" s="2127"/>
      <c r="AT9" s="1956"/>
      <c r="AU9" s="1957"/>
      <c r="AV9" s="1955"/>
      <c r="AW9" s="1957"/>
      <c r="AX9" s="2118"/>
      <c r="AY9" s="1955"/>
      <c r="AZ9" s="1956"/>
      <c r="BA9" s="1957"/>
      <c r="BB9" s="1955"/>
      <c r="BC9" s="1957"/>
      <c r="BD9" s="2140"/>
      <c r="BE9" s="1955"/>
      <c r="BF9" s="1957"/>
      <c r="BG9" s="1955"/>
      <c r="BH9" s="1956"/>
      <c r="BI9" s="1956"/>
      <c r="BJ9" s="1956"/>
      <c r="BK9" s="1956"/>
      <c r="BL9" s="1956"/>
      <c r="BM9" s="1957"/>
    </row>
    <row r="10" spans="1:65" ht="14.25" customHeight="1">
      <c r="A10" s="2162"/>
      <c r="B10" s="2176"/>
      <c r="C10" s="2104"/>
      <c r="D10" s="2177"/>
      <c r="E10" s="2172"/>
      <c r="F10" s="2115"/>
      <c r="G10" s="2116"/>
      <c r="H10" s="1978"/>
      <c r="I10" s="1979"/>
      <c r="J10" s="1979"/>
      <c r="K10" s="1980"/>
      <c r="L10" s="1955"/>
      <c r="M10" s="1957"/>
      <c r="N10" s="1955"/>
      <c r="O10" s="1957"/>
      <c r="P10" s="2118"/>
      <c r="Q10" s="2084"/>
      <c r="R10" s="2085"/>
      <c r="S10" s="2086"/>
      <c r="T10" s="1955"/>
      <c r="U10" s="1957"/>
      <c r="V10" s="2118"/>
      <c r="W10" s="2158" t="s">
        <v>223</v>
      </c>
      <c r="X10" s="2157"/>
      <c r="Y10" s="2151">
        <v>3</v>
      </c>
      <c r="Z10" s="2123"/>
      <c r="AA10" s="2145" t="s">
        <v>224</v>
      </c>
      <c r="AB10" s="2159"/>
      <c r="AC10" s="2147">
        <v>3</v>
      </c>
      <c r="AD10" s="2122"/>
      <c r="AE10" s="1955"/>
      <c r="AF10" s="1956"/>
      <c r="AG10" s="1957"/>
      <c r="AH10" s="2089"/>
      <c r="AI10" s="2090"/>
      <c r="AJ10" s="1955"/>
      <c r="AK10" s="1957"/>
      <c r="AL10" s="2089"/>
      <c r="AM10" s="2193"/>
      <c r="AN10" s="1955"/>
      <c r="AO10" s="1957"/>
      <c r="AP10" s="2124"/>
      <c r="AQ10" s="2124"/>
      <c r="AR10" s="2124"/>
      <c r="AS10" s="2127"/>
      <c r="AT10" s="1956"/>
      <c r="AU10" s="1957"/>
      <c r="AV10" s="261"/>
      <c r="AW10" s="243"/>
      <c r="AX10" s="2118"/>
      <c r="AY10" s="1955"/>
      <c r="AZ10" s="1956"/>
      <c r="BA10" s="1957"/>
      <c r="BB10" s="1955"/>
      <c r="BC10" s="1957"/>
      <c r="BD10" s="2140"/>
      <c r="BE10" s="1955"/>
      <c r="BF10" s="1957"/>
      <c r="BG10" s="6"/>
      <c r="BM10" s="5"/>
    </row>
    <row r="11" spans="1:65" ht="14.25" customHeight="1">
      <c r="A11" s="2162"/>
      <c r="B11" s="2176"/>
      <c r="C11" s="2104"/>
      <c r="D11" s="2177"/>
      <c r="E11" s="2172"/>
      <c r="F11" s="2115"/>
      <c r="G11" s="2116"/>
      <c r="H11" s="1978"/>
      <c r="I11" s="1979"/>
      <c r="J11" s="1979"/>
      <c r="K11" s="1980"/>
      <c r="L11" s="1955"/>
      <c r="M11" s="1957"/>
      <c r="N11" s="1955"/>
      <c r="O11" s="1957"/>
      <c r="Q11" s="2084"/>
      <c r="R11" s="2085"/>
      <c r="S11" s="2086"/>
      <c r="T11" s="1955"/>
      <c r="U11" s="1957"/>
      <c r="V11" s="2118"/>
      <c r="W11" s="2120"/>
      <c r="X11" s="2157"/>
      <c r="Y11" s="2154"/>
      <c r="Z11" s="2123"/>
      <c r="AA11" s="2146"/>
      <c r="AB11" s="2160"/>
      <c r="AC11" s="2148"/>
      <c r="AD11" s="2122"/>
      <c r="AE11" s="1955"/>
      <c r="AF11" s="1956"/>
      <c r="AG11" s="1957"/>
      <c r="AH11" s="2089"/>
      <c r="AI11" s="2090"/>
      <c r="AJ11" s="1955"/>
      <c r="AK11" s="1957"/>
      <c r="AL11" s="2089"/>
      <c r="AM11" s="2193"/>
      <c r="AN11" s="754"/>
      <c r="AO11" s="753"/>
      <c r="AP11" s="2124"/>
      <c r="AQ11" s="2124"/>
      <c r="AR11" s="2124"/>
      <c r="AS11" s="2127"/>
      <c r="AT11" s="1956"/>
      <c r="AU11" s="1957"/>
      <c r="AW11" s="756"/>
      <c r="AX11" s="2118"/>
      <c r="AY11" s="1955"/>
      <c r="AZ11" s="1956"/>
      <c r="BA11" s="1957"/>
      <c r="BB11" s="6"/>
      <c r="BD11" s="2140"/>
      <c r="BE11" s="1955"/>
      <c r="BF11" s="1957"/>
      <c r="BG11" s="6"/>
      <c r="BM11" s="5"/>
    </row>
    <row r="12" spans="1:65" ht="14.25" customHeight="1">
      <c r="A12" s="2162"/>
      <c r="B12" s="1316"/>
      <c r="C12" s="449"/>
      <c r="D12" s="1317"/>
      <c r="E12" s="2173"/>
      <c r="F12" s="2116"/>
      <c r="G12" s="2116"/>
      <c r="H12" s="621" t="s">
        <v>225</v>
      </c>
      <c r="I12" s="765">
        <v>1</v>
      </c>
      <c r="J12" s="762"/>
      <c r="K12" s="761"/>
      <c r="L12" s="1955"/>
      <c r="M12" s="1957"/>
      <c r="N12" s="1955"/>
      <c r="O12" s="1957"/>
      <c r="Q12" s="2084"/>
      <c r="R12" s="2085"/>
      <c r="S12" s="2086"/>
      <c r="T12" s="1955"/>
      <c r="U12" s="1957"/>
      <c r="V12" s="2119"/>
      <c r="W12" s="2158" t="s">
        <v>226</v>
      </c>
      <c r="X12" s="2157"/>
      <c r="Y12" s="665">
        <v>4</v>
      </c>
      <c r="Z12" s="1140"/>
      <c r="AA12" s="2120" t="s">
        <v>227</v>
      </c>
      <c r="AB12" s="2157"/>
      <c r="AC12" s="786">
        <v>4</v>
      </c>
      <c r="AD12" s="1137"/>
      <c r="AE12" s="6"/>
      <c r="AH12" s="2089"/>
      <c r="AI12" s="2090"/>
      <c r="AJ12" s="1955"/>
      <c r="AK12" s="1957"/>
      <c r="AL12" s="2089"/>
      <c r="AM12" s="2193"/>
      <c r="AN12" s="754"/>
      <c r="AO12" s="753"/>
      <c r="AP12" s="234"/>
      <c r="AQ12" s="234"/>
      <c r="AR12" s="234"/>
      <c r="AS12" s="2127"/>
      <c r="AT12" s="1956"/>
      <c r="AU12" s="1957"/>
      <c r="AW12" s="756"/>
      <c r="AX12" s="2118"/>
      <c r="AY12" s="1955"/>
      <c r="AZ12" s="1956"/>
      <c r="BA12" s="1957"/>
      <c r="BB12" s="6"/>
      <c r="BD12" s="2140"/>
      <c r="BE12" s="1955"/>
      <c r="BF12" s="1957"/>
      <c r="BG12" s="6"/>
      <c r="BM12" s="5"/>
    </row>
    <row r="13" spans="1:65" ht="14.25" customHeight="1">
      <c r="A13" s="2162"/>
      <c r="B13" s="1318"/>
      <c r="C13" s="449"/>
      <c r="D13" s="1317"/>
      <c r="E13" s="448"/>
      <c r="F13" s="452"/>
      <c r="G13" s="2117"/>
      <c r="H13" s="623" t="s">
        <v>228</v>
      </c>
      <c r="I13" s="763">
        <v>2</v>
      </c>
      <c r="J13" s="762"/>
      <c r="K13" s="761"/>
      <c r="L13" s="1955"/>
      <c r="M13" s="1957"/>
      <c r="N13" s="1955"/>
      <c r="O13" s="1957"/>
      <c r="Q13" s="6"/>
      <c r="S13" s="5"/>
      <c r="T13" s="1955"/>
      <c r="U13" s="1957"/>
      <c r="V13" s="2119"/>
      <c r="W13" s="2158" t="s">
        <v>227</v>
      </c>
      <c r="X13" s="2157"/>
      <c r="Y13" s="665">
        <v>5</v>
      </c>
      <c r="Z13" s="1140"/>
      <c r="AA13" s="2120" t="s">
        <v>229</v>
      </c>
      <c r="AB13" s="2157"/>
      <c r="AC13" s="2190">
        <v>5</v>
      </c>
      <c r="AD13" s="2122"/>
      <c r="AE13" s="6"/>
      <c r="AH13" s="2089"/>
      <c r="AI13" s="2090"/>
      <c r="AJ13" s="1955"/>
      <c r="AK13" s="1957"/>
      <c r="AL13" s="6"/>
      <c r="AN13" s="755"/>
      <c r="AO13" s="756"/>
      <c r="AP13" s="234"/>
      <c r="AQ13" s="234"/>
      <c r="AR13" s="234"/>
      <c r="AS13" s="2127"/>
      <c r="AT13" s="1956"/>
      <c r="AU13" s="1957"/>
      <c r="AV13" s="6"/>
      <c r="AW13" s="756"/>
      <c r="AX13" s="2118"/>
      <c r="AY13" s="1955"/>
      <c r="AZ13" s="1956"/>
      <c r="BA13" s="1957"/>
      <c r="BB13" s="406"/>
      <c r="BC13" s="5"/>
      <c r="BD13" s="2119"/>
      <c r="BE13" s="1955"/>
      <c r="BF13" s="1957"/>
      <c r="BG13" s="6"/>
      <c r="BM13" s="5"/>
    </row>
    <row r="14" spans="1:65" ht="14.25" customHeight="1">
      <c r="A14" s="2162"/>
      <c r="B14" s="1316"/>
      <c r="C14" s="449"/>
      <c r="D14" s="1317"/>
      <c r="E14" s="448"/>
      <c r="F14" s="452"/>
      <c r="G14" s="2117"/>
      <c r="H14" s="623" t="s">
        <v>230</v>
      </c>
      <c r="I14" s="786">
        <v>3</v>
      </c>
      <c r="J14" s="762"/>
      <c r="K14" s="761"/>
      <c r="L14" s="1955"/>
      <c r="M14" s="1957"/>
      <c r="N14" s="1955"/>
      <c r="O14" s="1957"/>
      <c r="Q14" s="6"/>
      <c r="S14" s="5"/>
      <c r="T14" s="6"/>
      <c r="U14" s="5"/>
      <c r="V14" s="2090"/>
      <c r="W14" s="2158" t="s">
        <v>229</v>
      </c>
      <c r="X14" s="2157"/>
      <c r="Y14" s="2151">
        <v>6</v>
      </c>
      <c r="Z14" s="2195">
        <f>+BE3</f>
        <v>-2.3099999999999947</v>
      </c>
      <c r="AA14" s="2120"/>
      <c r="AB14" s="2157"/>
      <c r="AC14" s="2190"/>
      <c r="AD14" s="2122"/>
      <c r="AE14" s="2155" t="s">
        <v>231</v>
      </c>
      <c r="AF14" s="2156"/>
      <c r="AG14" s="235" t="s">
        <v>232</v>
      </c>
      <c r="AH14" s="2089"/>
      <c r="AI14" s="2090"/>
      <c r="AL14" s="6"/>
      <c r="AN14" s="624" t="s">
        <v>233</v>
      </c>
      <c r="AO14" s="641">
        <v>1</v>
      </c>
      <c r="AP14" s="1965" t="s">
        <v>234</v>
      </c>
      <c r="AQ14" s="1965"/>
      <c r="AR14" s="1965"/>
      <c r="AS14" s="2131" t="s">
        <v>235</v>
      </c>
      <c r="AT14" s="1965"/>
      <c r="AU14" s="2079"/>
      <c r="AV14" s="656"/>
      <c r="AW14" s="657"/>
      <c r="AX14" s="2118"/>
      <c r="AY14" s="1964" t="s">
        <v>236</v>
      </c>
      <c r="AZ14" s="1965"/>
      <c r="BA14" s="2079"/>
      <c r="BB14" s="658"/>
      <c r="BC14" s="22"/>
      <c r="BD14" s="2119"/>
      <c r="BE14" s="1955"/>
      <c r="BF14" s="1957"/>
      <c r="BG14" s="1964" t="s">
        <v>237</v>
      </c>
      <c r="BH14" s="1965"/>
      <c r="BI14" s="1965"/>
      <c r="BJ14" s="1965"/>
      <c r="BK14" s="1965"/>
      <c r="BL14" s="1965"/>
      <c r="BM14" s="2079"/>
    </row>
    <row r="15" spans="1:65" ht="14.25" customHeight="1">
      <c r="A15" s="2162"/>
      <c r="B15" s="1316"/>
      <c r="C15" s="1319"/>
      <c r="D15" s="1320"/>
      <c r="E15" s="448"/>
      <c r="F15" s="452"/>
      <c r="G15" s="453"/>
      <c r="H15" s="643" t="s">
        <v>238</v>
      </c>
      <c r="I15" s="702">
        <v>4</v>
      </c>
      <c r="J15" s="762"/>
      <c r="K15" s="761"/>
      <c r="L15" s="1955"/>
      <c r="M15" s="1957"/>
      <c r="O15" s="1141"/>
      <c r="Q15" s="7"/>
      <c r="R15" s="21"/>
      <c r="S15" s="22"/>
      <c r="T15" s="6"/>
      <c r="U15" s="5"/>
      <c r="V15" s="2119"/>
      <c r="W15" s="2120"/>
      <c r="X15" s="2157"/>
      <c r="Y15" s="2154"/>
      <c r="Z15" s="2196"/>
      <c r="AA15" s="2120" t="s">
        <v>168</v>
      </c>
      <c r="AB15" s="2157"/>
      <c r="AC15" s="786">
        <v>6</v>
      </c>
      <c r="AD15" s="2191">
        <f>+BE3</f>
        <v>-2.3099999999999947</v>
      </c>
      <c r="AE15" s="621" t="s">
        <v>239</v>
      </c>
      <c r="AF15" s="651">
        <v>1</v>
      </c>
      <c r="AG15" s="648" t="s">
        <v>240</v>
      </c>
      <c r="AH15" s="6"/>
      <c r="AJ15" s="6"/>
      <c r="AK15" s="756"/>
      <c r="AN15" s="624" t="s">
        <v>241</v>
      </c>
      <c r="AO15" s="641">
        <v>2</v>
      </c>
      <c r="AP15" s="1965"/>
      <c r="AQ15" s="1965"/>
      <c r="AR15" s="1965"/>
      <c r="AS15" s="2131"/>
      <c r="AT15" s="1965"/>
      <c r="AU15" s="2079"/>
      <c r="AV15" s="643" t="s">
        <v>242</v>
      </c>
      <c r="AW15" s="641">
        <v>1</v>
      </c>
      <c r="AX15" s="172"/>
      <c r="AY15" s="1964"/>
      <c r="AZ15" s="1965"/>
      <c r="BA15" s="2079"/>
      <c r="BB15" s="643" t="s">
        <v>242</v>
      </c>
      <c r="BC15" s="641">
        <v>1</v>
      </c>
      <c r="BD15" s="2119"/>
      <c r="BE15" s="1955"/>
      <c r="BF15" s="1957"/>
      <c r="BG15" s="1964"/>
      <c r="BH15" s="1965"/>
      <c r="BI15" s="1965"/>
      <c r="BJ15" s="1965"/>
      <c r="BK15" s="1965"/>
      <c r="BL15" s="1965"/>
      <c r="BM15" s="2079"/>
    </row>
    <row r="16" spans="1:65" ht="14.25" customHeight="1">
      <c r="A16" s="2162"/>
      <c r="B16" s="2164"/>
      <c r="C16" s="2165"/>
      <c r="D16" s="2166"/>
      <c r="E16" s="448"/>
      <c r="F16" s="452"/>
      <c r="G16" s="2167"/>
      <c r="H16" s="2145" t="s">
        <v>243</v>
      </c>
      <c r="I16" s="2147">
        <v>5</v>
      </c>
      <c r="J16" s="2178"/>
      <c r="K16" s="2179"/>
      <c r="L16" s="1964" t="s">
        <v>244</v>
      </c>
      <c r="M16" s="2079"/>
      <c r="N16" s="1964" t="s">
        <v>245</v>
      </c>
      <c r="O16" s="2079"/>
      <c r="P16" s="2143" t="s">
        <v>246</v>
      </c>
      <c r="Q16" s="47" t="s">
        <v>104</v>
      </c>
      <c r="R16" s="639"/>
      <c r="S16" s="1138" t="s">
        <v>151</v>
      </c>
      <c r="T16" s="1134"/>
      <c r="U16" s="1135"/>
      <c r="V16" s="2119"/>
      <c r="W16" s="2158" t="s">
        <v>168</v>
      </c>
      <c r="X16" s="2157"/>
      <c r="Y16" s="665">
        <v>7</v>
      </c>
      <c r="Z16" s="1140"/>
      <c r="AA16" s="2120" t="s">
        <v>247</v>
      </c>
      <c r="AB16" s="2157"/>
      <c r="AC16" s="786">
        <v>7</v>
      </c>
      <c r="AD16" s="2192"/>
      <c r="AE16" s="621" t="s">
        <v>248</v>
      </c>
      <c r="AF16" s="757">
        <v>2</v>
      </c>
      <c r="AG16" s="649" t="s">
        <v>249</v>
      </c>
      <c r="AH16" s="6"/>
      <c r="AJ16" s="6"/>
      <c r="AK16" s="756"/>
      <c r="AN16" s="2120" t="s">
        <v>250</v>
      </c>
      <c r="AO16" s="2133">
        <v>3</v>
      </c>
      <c r="AP16" s="1965"/>
      <c r="AQ16" s="1965"/>
      <c r="AR16" s="1965"/>
      <c r="AS16" s="2131"/>
      <c r="AT16" s="1965"/>
      <c r="AU16" s="2079"/>
      <c r="AV16" s="624" t="s">
        <v>251</v>
      </c>
      <c r="AW16" s="641">
        <v>2</v>
      </c>
      <c r="AX16" s="172"/>
      <c r="AY16" s="1964"/>
      <c r="AZ16" s="1965"/>
      <c r="BA16" s="2079"/>
      <c r="BB16" s="624" t="s">
        <v>251</v>
      </c>
      <c r="BC16" s="641">
        <v>2</v>
      </c>
      <c r="BD16" s="2119"/>
      <c r="BE16" s="1955"/>
      <c r="BF16" s="1957"/>
      <c r="BG16" s="1964"/>
      <c r="BH16" s="1965"/>
      <c r="BI16" s="1965"/>
      <c r="BJ16" s="1965"/>
      <c r="BK16" s="1965"/>
      <c r="BL16" s="1965"/>
      <c r="BM16" s="2079"/>
    </row>
    <row r="17" spans="1:65" ht="14.25" customHeight="1">
      <c r="A17" s="2162"/>
      <c r="B17" s="2164"/>
      <c r="C17" s="2165"/>
      <c r="D17" s="2166"/>
      <c r="E17" s="448"/>
      <c r="F17" s="452"/>
      <c r="G17" s="2167"/>
      <c r="H17" s="2146"/>
      <c r="I17" s="2148"/>
      <c r="J17" s="2178"/>
      <c r="K17" s="2179"/>
      <c r="L17" s="1964"/>
      <c r="M17" s="2079"/>
      <c r="N17" s="1964"/>
      <c r="O17" s="2079"/>
      <c r="P17" s="2143"/>
      <c r="Q17" s="47"/>
      <c r="R17" s="644"/>
      <c r="S17" s="953">
        <f>AE3</f>
        <v>-2.1899999999999973</v>
      </c>
      <c r="T17" s="911"/>
      <c r="U17" s="912"/>
      <c r="V17" s="2119"/>
      <c r="W17" s="2158" t="s">
        <v>247</v>
      </c>
      <c r="X17" s="2157"/>
      <c r="Y17" s="665">
        <v>8</v>
      </c>
      <c r="Z17" s="1140"/>
      <c r="AA17" s="2158" t="s">
        <v>252</v>
      </c>
      <c r="AB17" s="2157"/>
      <c r="AC17" s="2190">
        <v>8</v>
      </c>
      <c r="AD17" s="2122"/>
      <c r="AE17" s="2149" t="s">
        <v>253</v>
      </c>
      <c r="AF17" s="2150"/>
      <c r="AG17" s="2151"/>
      <c r="AI17" s="236"/>
      <c r="AJ17" s="6"/>
      <c r="AK17" s="156"/>
      <c r="AL17" s="623" t="s">
        <v>254</v>
      </c>
      <c r="AM17" s="653">
        <v>1</v>
      </c>
      <c r="AN17" s="2120"/>
      <c r="AO17" s="2133"/>
      <c r="AP17" s="1965"/>
      <c r="AQ17" s="1965"/>
      <c r="AR17" s="1965"/>
      <c r="AS17" s="2131"/>
      <c r="AT17" s="1965"/>
      <c r="AU17" s="2079"/>
      <c r="AV17" s="637" t="s">
        <v>255</v>
      </c>
      <c r="AW17" s="641">
        <v>3</v>
      </c>
      <c r="AX17" s="172"/>
      <c r="AY17" s="1964"/>
      <c r="AZ17" s="1965"/>
      <c r="BA17" s="2079"/>
      <c r="BB17" s="637" t="s">
        <v>255</v>
      </c>
      <c r="BC17" s="641">
        <v>3</v>
      </c>
      <c r="BD17" s="2119"/>
      <c r="BE17" s="1955"/>
      <c r="BF17" s="1957"/>
      <c r="BG17" s="2071" t="s">
        <v>256</v>
      </c>
      <c r="BH17" s="2072"/>
      <c r="BI17" s="2072"/>
      <c r="BJ17" s="2072"/>
      <c r="BK17" s="2072"/>
      <c r="BL17" s="2072"/>
      <c r="BM17" s="2073"/>
    </row>
    <row r="18" spans="1:65" ht="14.25" customHeight="1">
      <c r="A18" s="2162"/>
      <c r="B18" s="2164"/>
      <c r="C18" s="2165"/>
      <c r="D18" s="2166"/>
      <c r="E18" s="448"/>
      <c r="F18" s="452"/>
      <c r="G18" s="2167"/>
      <c r="H18" s="2145" t="s">
        <v>257</v>
      </c>
      <c r="I18" s="2147">
        <v>6</v>
      </c>
      <c r="J18" s="766"/>
      <c r="K18" s="2180">
        <f>P3</f>
        <v>-2.1299999999999986</v>
      </c>
      <c r="L18" s="1964"/>
      <c r="M18" s="2079"/>
      <c r="N18" s="1964"/>
      <c r="O18" s="2079"/>
      <c r="P18" s="2143"/>
      <c r="Q18" s="2145" t="s">
        <v>258</v>
      </c>
      <c r="R18" s="2159"/>
      <c r="S18" s="1135">
        <v>2</v>
      </c>
      <c r="T18" s="1136"/>
      <c r="U18" s="1136"/>
      <c r="V18" s="2119"/>
      <c r="W18" s="2158" t="s">
        <v>252</v>
      </c>
      <c r="X18" s="2157"/>
      <c r="Y18" s="2151">
        <v>9</v>
      </c>
      <c r="Z18" s="2123"/>
      <c r="AA18" s="2120"/>
      <c r="AB18" s="2157"/>
      <c r="AC18" s="2190"/>
      <c r="AD18" s="2122"/>
      <c r="AE18" s="2152"/>
      <c r="AF18" s="2153"/>
      <c r="AG18" s="2154"/>
      <c r="AJ18" s="6"/>
      <c r="AK18" s="756"/>
      <c r="AL18" s="2189" t="s">
        <v>259</v>
      </c>
      <c r="AM18" s="2187">
        <v>2</v>
      </c>
      <c r="AN18" s="624" t="s">
        <v>260</v>
      </c>
      <c r="AO18" s="641">
        <v>4</v>
      </c>
      <c r="AP18" s="177"/>
      <c r="AQ18" s="177"/>
      <c r="AR18" s="177"/>
      <c r="AS18" s="2131"/>
      <c r="AT18" s="1965"/>
      <c r="AU18" s="2079"/>
      <c r="AV18" s="643" t="s">
        <v>261</v>
      </c>
      <c r="AW18" s="641">
        <v>4</v>
      </c>
      <c r="AX18" s="172"/>
      <c r="AY18" s="1964"/>
      <c r="AZ18" s="1965"/>
      <c r="BA18" s="2079"/>
      <c r="BB18" s="643" t="s">
        <v>261</v>
      </c>
      <c r="BC18" s="641">
        <v>4</v>
      </c>
      <c r="BD18" s="2119"/>
      <c r="BE18" s="1955"/>
      <c r="BF18" s="1957"/>
      <c r="BG18" s="6"/>
      <c r="BM18" s="5"/>
    </row>
    <row r="19" spans="1:65" ht="14.25" customHeight="1">
      <c r="A19" s="2162"/>
      <c r="B19" s="1316"/>
      <c r="C19" s="448"/>
      <c r="D19" s="1321"/>
      <c r="E19" s="448"/>
      <c r="F19" s="452"/>
      <c r="G19" s="454"/>
      <c r="H19" s="2146"/>
      <c r="I19" s="2148"/>
      <c r="J19" s="766"/>
      <c r="K19" s="2180"/>
      <c r="L19" s="1964"/>
      <c r="M19" s="2079"/>
      <c r="N19" s="1964"/>
      <c r="O19" s="2079"/>
      <c r="P19" s="2143"/>
      <c r="Q19" s="2146"/>
      <c r="R19" s="2160"/>
      <c r="S19" s="907"/>
      <c r="T19" s="904"/>
      <c r="U19" s="904"/>
      <c r="V19" s="2119"/>
      <c r="W19" s="2120"/>
      <c r="X19" s="2157"/>
      <c r="Y19" s="2154"/>
      <c r="Z19" s="2123"/>
      <c r="AA19" s="2158" t="s">
        <v>262</v>
      </c>
      <c r="AB19" s="2157"/>
      <c r="AC19" s="786">
        <v>9</v>
      </c>
      <c r="AD19" s="1137"/>
      <c r="AE19" s="652" t="s">
        <v>263</v>
      </c>
      <c r="AF19" s="639">
        <v>3</v>
      </c>
      <c r="AG19" s="650" t="s">
        <v>264</v>
      </c>
      <c r="AJ19" s="7"/>
      <c r="AL19" s="2189"/>
      <c r="AM19" s="2187"/>
      <c r="AN19" s="624" t="s">
        <v>265</v>
      </c>
      <c r="AO19" s="641">
        <v>5</v>
      </c>
      <c r="AP19" s="177"/>
      <c r="AQ19" s="177"/>
      <c r="AR19" s="177"/>
      <c r="AS19" s="2131"/>
      <c r="AT19" s="1965"/>
      <c r="AU19" s="2079"/>
      <c r="AV19" s="637" t="s">
        <v>266</v>
      </c>
      <c r="AW19" s="641">
        <v>5</v>
      </c>
      <c r="AX19" s="172"/>
      <c r="AY19" s="1964"/>
      <c r="AZ19" s="1965"/>
      <c r="BA19" s="2079"/>
      <c r="BB19" s="637" t="s">
        <v>266</v>
      </c>
      <c r="BC19" s="641">
        <v>5</v>
      </c>
      <c r="BD19" s="2119"/>
      <c r="BE19" s="1955"/>
      <c r="BF19" s="1957"/>
      <c r="BG19" s="2136" t="s">
        <v>267</v>
      </c>
      <c r="BH19" s="2137"/>
      <c r="BI19" s="2137"/>
      <c r="BJ19" s="2137"/>
      <c r="BK19" s="2137"/>
      <c r="BL19" s="2137"/>
      <c r="BM19" s="2138"/>
    </row>
    <row r="20" spans="1:65" ht="14.25" customHeight="1">
      <c r="A20" s="2162"/>
      <c r="B20" s="1316"/>
      <c r="C20" s="448"/>
      <c r="D20" s="1321"/>
      <c r="E20" s="1328"/>
      <c r="F20" s="448"/>
      <c r="G20" s="453"/>
      <c r="H20" s="621" t="s">
        <v>268</v>
      </c>
      <c r="I20" s="786">
        <v>7</v>
      </c>
      <c r="J20" s="762"/>
      <c r="K20" s="761"/>
      <c r="L20" s="1964"/>
      <c r="M20" s="2079"/>
      <c r="N20" s="1964"/>
      <c r="O20" s="2079"/>
      <c r="P20" s="2144"/>
      <c r="Q20" s="2145" t="s">
        <v>269</v>
      </c>
      <c r="R20" s="645"/>
      <c r="S20" s="1138" t="s">
        <v>270</v>
      </c>
      <c r="T20" s="1136"/>
      <c r="U20" s="1136"/>
      <c r="V20" s="237"/>
      <c r="W20" s="2158" t="s">
        <v>262</v>
      </c>
      <c r="X20" s="2157"/>
      <c r="Y20" s="665">
        <v>10</v>
      </c>
      <c r="Z20" s="1140"/>
      <c r="AA20" s="2158" t="s">
        <v>271</v>
      </c>
      <c r="AB20" s="2157"/>
      <c r="AC20" s="786">
        <v>10</v>
      </c>
      <c r="AD20" s="1137"/>
      <c r="AE20" s="621" t="s">
        <v>272</v>
      </c>
      <c r="AF20" s="651">
        <v>4</v>
      </c>
      <c r="AG20" s="758">
        <v>0</v>
      </c>
      <c r="AJ20" s="636" t="s">
        <v>15</v>
      </c>
      <c r="AK20" s="640">
        <v>1</v>
      </c>
      <c r="AL20" s="2146"/>
      <c r="AM20" s="2188"/>
      <c r="AN20" s="624" t="s">
        <v>273</v>
      </c>
      <c r="AO20" s="641">
        <v>6</v>
      </c>
      <c r="AP20" s="177"/>
      <c r="AQ20" s="177"/>
      <c r="AR20" s="177"/>
      <c r="AS20" s="2132"/>
      <c r="AT20" s="2129"/>
      <c r="AU20" s="2130"/>
      <c r="AV20" s="2120" t="s">
        <v>274</v>
      </c>
      <c r="AW20" s="2121">
        <v>6</v>
      </c>
      <c r="AX20" s="619"/>
      <c r="AY20" s="2128"/>
      <c r="AZ20" s="2129"/>
      <c r="BA20" s="2130"/>
      <c r="BB20" s="2120" t="s">
        <v>274</v>
      </c>
      <c r="BC20" s="2121">
        <v>6</v>
      </c>
      <c r="BD20" s="174"/>
      <c r="BE20" s="2108"/>
      <c r="BF20" s="2109"/>
      <c r="BG20" s="6"/>
      <c r="BM20" s="5"/>
    </row>
    <row r="21" spans="1:65" ht="14.25" customHeight="1">
      <c r="A21" s="2162"/>
      <c r="B21" s="1322" t="s">
        <v>104</v>
      </c>
      <c r="C21" s="633">
        <v>1</v>
      </c>
      <c r="D21" s="1323"/>
      <c r="E21" s="1329" t="s">
        <v>104</v>
      </c>
      <c r="F21" s="908" t="s">
        <v>151</v>
      </c>
      <c r="G21" s="453" t="s">
        <v>275</v>
      </c>
      <c r="H21" s="643" t="s">
        <v>263</v>
      </c>
      <c r="I21" s="786">
        <v>8</v>
      </c>
      <c r="J21" s="762"/>
      <c r="K21" s="761"/>
      <c r="M21" s="22"/>
      <c r="P21" s="2141" t="s">
        <v>276</v>
      </c>
      <c r="Q21" s="2146"/>
      <c r="R21" s="646"/>
      <c r="S21" s="956">
        <f>AA3</f>
        <v>-2.1799999999999975</v>
      </c>
      <c r="T21" s="636" t="s">
        <v>104</v>
      </c>
      <c r="U21" s="759">
        <v>1</v>
      </c>
      <c r="V21" s="239"/>
      <c r="W21" s="2158" t="s">
        <v>271</v>
      </c>
      <c r="X21" s="2157"/>
      <c r="Y21" s="665">
        <v>11</v>
      </c>
      <c r="Z21" s="1140"/>
      <c r="AA21" s="2158" t="s">
        <v>175</v>
      </c>
      <c r="AB21" s="2157"/>
      <c r="AC21" s="786">
        <v>11</v>
      </c>
      <c r="AD21" s="1137"/>
      <c r="AE21" s="266" t="s">
        <v>277</v>
      </c>
      <c r="AF21" s="757">
        <v>5</v>
      </c>
      <c r="AG21" s="758">
        <v>0</v>
      </c>
      <c r="AH21" s="636" t="s">
        <v>177</v>
      </c>
      <c r="AI21" s="625">
        <v>1</v>
      </c>
      <c r="AJ21" s="636" t="s">
        <v>16</v>
      </c>
      <c r="AK21" s="640">
        <v>2</v>
      </c>
      <c r="AL21" s="654" t="s">
        <v>278</v>
      </c>
      <c r="AM21" s="639">
        <v>3</v>
      </c>
      <c r="AN21" s="2120" t="s">
        <v>279</v>
      </c>
      <c r="AO21" s="2133">
        <v>7</v>
      </c>
      <c r="AP21" s="560" t="s">
        <v>104</v>
      </c>
      <c r="AQ21" s="713">
        <v>1</v>
      </c>
      <c r="AR21" s="641"/>
      <c r="AS21" s="560" t="s">
        <v>104</v>
      </c>
      <c r="AT21" s="561">
        <v>1</v>
      </c>
      <c r="AU21" s="641"/>
      <c r="AV21" s="2120"/>
      <c r="AW21" s="2121"/>
      <c r="AX21" s="619"/>
      <c r="AY21" s="621" t="s">
        <v>104</v>
      </c>
      <c r="AZ21" s="561">
        <v>1</v>
      </c>
      <c r="BA21" s="641"/>
      <c r="BB21" s="2120"/>
      <c r="BC21" s="2121"/>
      <c r="BD21" s="174"/>
      <c r="BE21" s="624" t="s">
        <v>104</v>
      </c>
      <c r="BF21" s="641">
        <v>1</v>
      </c>
      <c r="BG21" s="299">
        <v>1</v>
      </c>
      <c r="BH21" s="299">
        <v>2</v>
      </c>
      <c r="BI21" s="299">
        <v>3</v>
      </c>
      <c r="BJ21" s="299">
        <v>4</v>
      </c>
      <c r="BK21" s="299">
        <v>5</v>
      </c>
      <c r="BL21" s="299">
        <v>6</v>
      </c>
      <c r="BM21" s="299">
        <v>7</v>
      </c>
    </row>
    <row r="22" spans="1:65" ht="14.25" customHeight="1">
      <c r="A22" s="2162"/>
      <c r="B22" s="1322" t="s">
        <v>108</v>
      </c>
      <c r="C22" s="633">
        <v>2</v>
      </c>
      <c r="D22" s="1324" t="s">
        <v>91</v>
      </c>
      <c r="E22" s="1330"/>
      <c r="F22" s="909">
        <f>H3</f>
        <v>-2.0999999999999992</v>
      </c>
      <c r="G22" s="456"/>
      <c r="H22" s="621" t="s">
        <v>272</v>
      </c>
      <c r="I22" s="786">
        <v>9</v>
      </c>
      <c r="J22" s="762"/>
      <c r="K22" s="761"/>
      <c r="L22" s="655" t="s">
        <v>104</v>
      </c>
      <c r="M22" s="640">
        <v>1</v>
      </c>
      <c r="N22" s="636" t="s">
        <v>104</v>
      </c>
      <c r="O22" s="640">
        <v>1</v>
      </c>
      <c r="P22" s="2141"/>
      <c r="Q22" s="2145" t="s">
        <v>280</v>
      </c>
      <c r="R22" s="645"/>
      <c r="S22" s="1138" t="s">
        <v>281</v>
      </c>
      <c r="T22" s="636" t="s">
        <v>108</v>
      </c>
      <c r="U22" s="759" t="s">
        <v>282</v>
      </c>
      <c r="V22" s="237"/>
      <c r="W22" s="2158" t="s">
        <v>175</v>
      </c>
      <c r="X22" s="2157"/>
      <c r="Y22" s="665">
        <v>12</v>
      </c>
      <c r="Z22" s="1140"/>
      <c r="AA22" s="2120" t="s">
        <v>283</v>
      </c>
      <c r="AB22" s="2157"/>
      <c r="AC22" s="786">
        <v>12</v>
      </c>
      <c r="AD22" s="1137"/>
      <c r="AE22" s="2145" t="s">
        <v>284</v>
      </c>
      <c r="AF22" s="2185">
        <v>6</v>
      </c>
      <c r="AG22" s="2183">
        <v>0</v>
      </c>
      <c r="AH22" s="636" t="s">
        <v>179</v>
      </c>
      <c r="AI22" s="625">
        <v>2</v>
      </c>
      <c r="AJ22" s="636" t="s">
        <v>18</v>
      </c>
      <c r="AK22" s="640">
        <v>3</v>
      </c>
      <c r="AL22" s="560" t="s">
        <v>285</v>
      </c>
      <c r="AM22" s="561">
        <v>4</v>
      </c>
      <c r="AN22" s="2120"/>
      <c r="AO22" s="2133"/>
      <c r="AP22" s="655" t="s">
        <v>108</v>
      </c>
      <c r="AQ22" s="759">
        <v>2</v>
      </c>
      <c r="AR22" s="957" t="s">
        <v>91</v>
      </c>
      <c r="AS22" s="655" t="s">
        <v>108</v>
      </c>
      <c r="AT22" s="625">
        <v>2</v>
      </c>
      <c r="AU22" s="957" t="s">
        <v>91</v>
      </c>
      <c r="AV22" s="2120"/>
      <c r="AW22" s="2121"/>
      <c r="AX22" s="2125"/>
      <c r="AY22" s="636" t="s">
        <v>108</v>
      </c>
      <c r="AZ22" s="625">
        <v>2</v>
      </c>
      <c r="BA22" s="957" t="s">
        <v>91</v>
      </c>
      <c r="BB22" s="2120"/>
      <c r="BC22" s="2121"/>
      <c r="BD22" s="2125"/>
      <c r="BE22" s="706" t="s">
        <v>108</v>
      </c>
      <c r="BF22" s="640">
        <v>2</v>
      </c>
      <c r="BG22" s="2134" t="s">
        <v>286</v>
      </c>
      <c r="BH22" s="2134" t="s">
        <v>287</v>
      </c>
      <c r="BI22" s="2134" t="s">
        <v>288</v>
      </c>
      <c r="BJ22" s="2134" t="s">
        <v>289</v>
      </c>
      <c r="BK22" s="2134" t="s">
        <v>290</v>
      </c>
      <c r="BL22" s="2134" t="s">
        <v>112</v>
      </c>
      <c r="BM22" s="2113" t="s">
        <v>183</v>
      </c>
    </row>
    <row r="23" spans="1:65" ht="14.25" customHeight="1">
      <c r="A23" s="2162"/>
      <c r="B23" s="2174" t="s">
        <v>113</v>
      </c>
      <c r="C23" s="2092"/>
      <c r="D23" s="2175"/>
      <c r="E23" s="1331" t="s">
        <v>108</v>
      </c>
      <c r="F23" s="910">
        <v>2</v>
      </c>
      <c r="G23" s="2168" t="s">
        <v>185</v>
      </c>
      <c r="H23" s="621" t="s">
        <v>277</v>
      </c>
      <c r="I23" s="641">
        <v>10</v>
      </c>
      <c r="J23" s="701"/>
      <c r="K23" s="281"/>
      <c r="L23" s="560" t="s">
        <v>108</v>
      </c>
      <c r="M23" s="641">
        <v>2</v>
      </c>
      <c r="N23" s="621" t="s">
        <v>108</v>
      </c>
      <c r="O23" s="641">
        <v>2</v>
      </c>
      <c r="P23" s="2142"/>
      <c r="Q23" s="2146"/>
      <c r="R23" s="644"/>
      <c r="S23" s="956">
        <f>BE3</f>
        <v>-2.3099999999999947</v>
      </c>
      <c r="T23" s="913"/>
      <c r="U23" s="914">
        <f>+BE3</f>
        <v>-2.3099999999999947</v>
      </c>
      <c r="V23" s="238"/>
      <c r="W23" s="2158" t="s">
        <v>112</v>
      </c>
      <c r="X23" s="2157"/>
      <c r="Y23" s="665">
        <v>13</v>
      </c>
      <c r="Z23" s="1140"/>
      <c r="AA23" s="2120" t="s">
        <v>112</v>
      </c>
      <c r="AB23" s="2157"/>
      <c r="AC23" s="786">
        <v>13</v>
      </c>
      <c r="AD23" s="1137"/>
      <c r="AE23" s="2146"/>
      <c r="AF23" s="2186"/>
      <c r="AG23" s="2184"/>
      <c r="AH23" s="621" t="s">
        <v>112</v>
      </c>
      <c r="AI23" s="641">
        <v>3</v>
      </c>
      <c r="AJ23" s="621" t="s">
        <v>157</v>
      </c>
      <c r="AK23" s="641">
        <v>4</v>
      </c>
      <c r="AL23" s="560" t="s">
        <v>112</v>
      </c>
      <c r="AM23" s="561">
        <v>5</v>
      </c>
      <c r="AN23" s="637" t="s">
        <v>112</v>
      </c>
      <c r="AO23" s="641">
        <v>8</v>
      </c>
      <c r="AP23" s="769"/>
      <c r="AQ23" s="2111">
        <f>BE3</f>
        <v>-2.3099999999999947</v>
      </c>
      <c r="AR23" s="2112"/>
      <c r="AS23" s="769"/>
      <c r="AT23" s="2111">
        <f>AY3</f>
        <v>-2.2799999999999954</v>
      </c>
      <c r="AU23" s="2112"/>
      <c r="AV23" s="621" t="s">
        <v>112</v>
      </c>
      <c r="AW23" s="641">
        <v>7</v>
      </c>
      <c r="AX23" s="2125"/>
      <c r="AY23" s="769"/>
      <c r="AZ23" s="2111">
        <f>BE3</f>
        <v>-2.3099999999999947</v>
      </c>
      <c r="BA23" s="2112"/>
      <c r="BB23" s="621" t="s">
        <v>112</v>
      </c>
      <c r="BC23" s="641">
        <v>7</v>
      </c>
      <c r="BD23" s="2139"/>
      <c r="BE23" s="7"/>
      <c r="BF23" s="22"/>
      <c r="BG23" s="2134"/>
      <c r="BH23" s="2134"/>
      <c r="BI23" s="2134"/>
      <c r="BJ23" s="2134"/>
      <c r="BK23" s="2134"/>
      <c r="BL23" s="2134"/>
      <c r="BM23" s="2113"/>
    </row>
    <row r="24" spans="1:65" ht="14.25" customHeight="1">
      <c r="A24" s="2163"/>
      <c r="B24" s="1325"/>
      <c r="C24" s="1326"/>
      <c r="D24" s="1327"/>
      <c r="E24" s="448"/>
      <c r="F24" s="448"/>
      <c r="G24" s="2107"/>
      <c r="H24" s="288"/>
      <c r="I24" s="764"/>
      <c r="J24" s="764"/>
      <c r="K24" s="764"/>
      <c r="L24" s="285"/>
      <c r="M24" s="286"/>
      <c r="N24" s="285"/>
      <c r="O24" s="287"/>
      <c r="P24" s="661" t="s">
        <v>291</v>
      </c>
      <c r="Q24" s="297"/>
      <c r="R24" s="297"/>
      <c r="S24" s="905"/>
      <c r="T24" s="906"/>
      <c r="U24" s="906"/>
      <c r="V24" s="1139" t="s">
        <v>292</v>
      </c>
      <c r="W24" s="647"/>
      <c r="X24" s="2181"/>
      <c r="Y24" s="2181"/>
      <c r="Z24" s="2182"/>
      <c r="AA24" s="647"/>
      <c r="AB24" s="2181"/>
      <c r="AC24" s="2181"/>
      <c r="AD24" s="2182"/>
      <c r="AE24" s="8"/>
      <c r="AF24" s="768"/>
      <c r="AG24" s="10"/>
      <c r="AH24" s="8"/>
      <c r="AI24" s="9"/>
      <c r="AJ24" s="8"/>
      <c r="AK24" s="388"/>
      <c r="AL24" s="9"/>
      <c r="AM24" s="386"/>
      <c r="AN24" s="620"/>
      <c r="AO24" s="388"/>
      <c r="AP24" s="386"/>
      <c r="AQ24" s="9"/>
      <c r="AR24" s="9"/>
      <c r="AS24" s="241"/>
      <c r="AT24" s="242"/>
      <c r="AU24" s="242"/>
      <c r="AV24" s="8"/>
      <c r="AW24" s="756"/>
      <c r="AX24" s="661" t="s">
        <v>293</v>
      </c>
      <c r="AY24" s="241"/>
      <c r="AZ24" s="242"/>
      <c r="BA24" s="587"/>
      <c r="BB24" s="8"/>
      <c r="BD24" s="662" t="s">
        <v>293</v>
      </c>
      <c r="BE24" s="620"/>
      <c r="BF24" s="388"/>
      <c r="BG24" s="2135"/>
      <c r="BH24" s="2135"/>
      <c r="BI24" s="2135"/>
      <c r="BJ24" s="2135"/>
      <c r="BK24" s="2135"/>
      <c r="BL24" s="2135"/>
      <c r="BM24" s="2114"/>
    </row>
    <row r="25" spans="1:65" ht="21.6" customHeight="1">
      <c r="A25" s="477">
        <v>1</v>
      </c>
      <c r="B25" s="1333"/>
      <c r="C25" s="1334"/>
      <c r="D25" s="1252"/>
      <c r="E25" s="460"/>
      <c r="F25" s="461"/>
      <c r="G25" s="462"/>
      <c r="H25" s="12"/>
      <c r="I25" s="14"/>
      <c r="J25" s="14"/>
      <c r="K25" s="14"/>
      <c r="L25" s="12"/>
      <c r="M25" s="13"/>
      <c r="N25" s="12"/>
      <c r="O25" s="13"/>
      <c r="P25" s="12"/>
      <c r="Q25" s="12"/>
      <c r="R25" s="14"/>
      <c r="S25" s="13"/>
      <c r="T25" s="14"/>
      <c r="U25" s="14"/>
      <c r="V25" s="14"/>
      <c r="W25" s="12"/>
      <c r="X25" s="14"/>
      <c r="Y25" s="14"/>
      <c r="Z25" s="13"/>
      <c r="AA25" s="12"/>
      <c r="AB25" s="14"/>
      <c r="AC25" s="14"/>
      <c r="AD25" s="13"/>
      <c r="AE25" s="8"/>
      <c r="AF25" s="10"/>
      <c r="AG25" s="17"/>
      <c r="AH25" s="12"/>
      <c r="AI25" s="13"/>
      <c r="AJ25" s="8"/>
      <c r="AK25" s="231"/>
      <c r="AL25" s="12"/>
      <c r="AM25" s="231"/>
      <c r="AN25" s="169"/>
      <c r="AO25" s="231"/>
      <c r="AP25" s="14"/>
      <c r="AQ25" s="14"/>
      <c r="AR25" s="14"/>
      <c r="AS25" s="12"/>
      <c r="AT25" s="14"/>
      <c r="AU25" s="14"/>
      <c r="AV25" s="12"/>
      <c r="AW25" s="231"/>
      <c r="AX25" s="11"/>
      <c r="AY25" s="12"/>
      <c r="AZ25" s="14"/>
      <c r="BA25" s="13"/>
      <c r="BB25" s="12"/>
      <c r="BC25" s="13"/>
      <c r="BD25" s="11"/>
      <c r="BE25" s="12"/>
      <c r="BF25" s="13"/>
      <c r="BG25" s="12"/>
      <c r="BH25" s="11"/>
      <c r="BI25" s="11"/>
      <c r="BJ25" s="11"/>
      <c r="BK25" s="11"/>
      <c r="BL25" s="11"/>
      <c r="BM25" s="11"/>
    </row>
    <row r="26" spans="1:65" ht="21.6" customHeight="1">
      <c r="A26" s="477">
        <v>2</v>
      </c>
      <c r="B26" s="457"/>
      <c r="C26" s="458"/>
      <c r="D26" s="459"/>
      <c r="E26" s="460"/>
      <c r="F26" s="461"/>
      <c r="G26" s="462"/>
      <c r="H26" s="12"/>
      <c r="I26" s="14"/>
      <c r="J26" s="14"/>
      <c r="K26" s="14"/>
      <c r="L26" s="12"/>
      <c r="M26" s="13"/>
      <c r="N26" s="12"/>
      <c r="O26" s="13"/>
      <c r="P26" s="12"/>
      <c r="Q26" s="12"/>
      <c r="R26" s="14"/>
      <c r="S26" s="13"/>
      <c r="T26" s="14"/>
      <c r="U26" s="14"/>
      <c r="V26" s="14"/>
      <c r="W26" s="12"/>
      <c r="X26" s="14"/>
      <c r="Y26" s="14"/>
      <c r="Z26" s="13"/>
      <c r="AA26" s="12"/>
      <c r="AB26" s="14"/>
      <c r="AC26" s="14"/>
      <c r="AD26" s="13"/>
      <c r="AE26" s="12"/>
      <c r="AF26" s="13"/>
      <c r="AG26" s="11"/>
      <c r="AH26" s="12"/>
      <c r="AI26" s="13"/>
      <c r="AJ26" s="12"/>
      <c r="AK26" s="231"/>
      <c r="AL26" s="12"/>
      <c r="AM26" s="231"/>
      <c r="AN26" s="169"/>
      <c r="AO26" s="231"/>
      <c r="AP26" s="14"/>
      <c r="AQ26" s="14"/>
      <c r="AR26" s="14"/>
      <c r="AS26" s="12"/>
      <c r="AT26" s="14"/>
      <c r="AU26" s="14"/>
      <c r="AV26" s="12"/>
      <c r="AW26" s="231"/>
      <c r="AX26" s="11"/>
      <c r="AY26" s="12"/>
      <c r="AZ26" s="14"/>
      <c r="BA26" s="13"/>
      <c r="BB26" s="12"/>
      <c r="BC26" s="13"/>
      <c r="BD26" s="11"/>
      <c r="BE26" s="12"/>
      <c r="BF26" s="13"/>
      <c r="BG26" s="12"/>
      <c r="BH26" s="11"/>
      <c r="BI26" s="11"/>
      <c r="BJ26" s="11"/>
      <c r="BK26" s="11"/>
      <c r="BL26" s="11"/>
      <c r="BM26" s="11"/>
    </row>
    <row r="27" spans="1:65" ht="21.6" customHeight="1" thickBot="1">
      <c r="A27" s="478">
        <v>3</v>
      </c>
      <c r="B27" s="463"/>
      <c r="C27" s="464"/>
      <c r="D27" s="465"/>
      <c r="E27" s="466"/>
      <c r="F27" s="467"/>
      <c r="G27" s="468"/>
      <c r="H27" s="16"/>
      <c r="I27" s="176"/>
      <c r="J27" s="176"/>
      <c r="K27" s="176"/>
      <c r="L27" s="16"/>
      <c r="M27" s="175"/>
      <c r="N27" s="16"/>
      <c r="O27" s="175"/>
      <c r="P27" s="16"/>
      <c r="Q27" s="16"/>
      <c r="R27" s="176"/>
      <c r="S27" s="175"/>
      <c r="T27" s="176"/>
      <c r="U27" s="176"/>
      <c r="V27" s="176"/>
      <c r="W27" s="16"/>
      <c r="X27" s="176"/>
      <c r="Y27" s="176"/>
      <c r="Z27" s="175"/>
      <c r="AA27" s="16"/>
      <c r="AB27" s="176"/>
      <c r="AC27" s="176"/>
      <c r="AD27" s="175"/>
      <c r="AE27" s="16"/>
      <c r="AF27" s="175"/>
      <c r="AG27" s="15"/>
      <c r="AH27" s="16"/>
      <c r="AI27" s="175"/>
      <c r="AJ27" s="16"/>
      <c r="AK27" s="181"/>
      <c r="AL27" s="16"/>
      <c r="AM27" s="181"/>
      <c r="AN27" s="244"/>
      <c r="AO27" s="181"/>
      <c r="AP27" s="176"/>
      <c r="AQ27" s="176"/>
      <c r="AR27" s="176"/>
      <c r="AS27" s="16"/>
      <c r="AT27" s="176"/>
      <c r="AU27" s="176"/>
      <c r="AV27" s="16"/>
      <c r="AW27" s="181"/>
      <c r="AX27" s="15"/>
      <c r="AY27" s="16"/>
      <c r="AZ27" s="176"/>
      <c r="BA27" s="175"/>
      <c r="BB27" s="16"/>
      <c r="BC27" s="175"/>
      <c r="BD27" s="15"/>
      <c r="BE27" s="16"/>
      <c r="BF27" s="175"/>
      <c r="BG27" s="16"/>
      <c r="BH27" s="15"/>
      <c r="BI27" s="15"/>
      <c r="BJ27" s="15"/>
      <c r="BK27" s="15"/>
      <c r="BL27" s="15"/>
      <c r="BM27" s="15"/>
    </row>
    <row r="28" spans="1:65" ht="21.6" customHeight="1" thickTop="1">
      <c r="A28" s="477">
        <v>4</v>
      </c>
      <c r="B28" s="457"/>
      <c r="C28" s="458"/>
      <c r="D28" s="459"/>
      <c r="E28" s="460"/>
      <c r="F28" s="461"/>
      <c r="G28" s="462"/>
      <c r="H28" s="12"/>
      <c r="I28" s="14"/>
      <c r="J28" s="14"/>
      <c r="K28" s="14"/>
      <c r="L28" s="12"/>
      <c r="M28" s="13"/>
      <c r="N28" s="12"/>
      <c r="O28" s="13"/>
      <c r="P28" s="12"/>
      <c r="Q28" s="12"/>
      <c r="R28" s="14"/>
      <c r="S28" s="13"/>
      <c r="T28" s="14"/>
      <c r="U28" s="14"/>
      <c r="V28" s="14"/>
      <c r="W28" s="12"/>
      <c r="X28" s="14"/>
      <c r="Y28" s="14"/>
      <c r="Z28" s="13"/>
      <c r="AA28" s="12"/>
      <c r="AB28" s="14"/>
      <c r="AC28" s="14"/>
      <c r="AD28" s="13"/>
      <c r="AE28" s="12"/>
      <c r="AF28" s="13"/>
      <c r="AG28" s="11"/>
      <c r="AH28" s="12"/>
      <c r="AI28" s="13"/>
      <c r="AJ28" s="12"/>
      <c r="AK28" s="231"/>
      <c r="AL28" s="12"/>
      <c r="AM28" s="231"/>
      <c r="AN28" s="169"/>
      <c r="AO28" s="231"/>
      <c r="AP28" s="14"/>
      <c r="AQ28" s="14"/>
      <c r="AR28" s="14"/>
      <c r="AS28" s="12"/>
      <c r="AT28" s="14"/>
      <c r="AU28" s="14"/>
      <c r="AV28" s="12"/>
      <c r="AW28" s="231"/>
      <c r="AX28" s="11"/>
      <c r="AY28" s="12"/>
      <c r="AZ28" s="14"/>
      <c r="BA28" s="13"/>
      <c r="BB28" s="12"/>
      <c r="BC28" s="13"/>
      <c r="BD28" s="11"/>
      <c r="BE28" s="12"/>
      <c r="BF28" s="13"/>
      <c r="BG28" s="12"/>
      <c r="BH28" s="11"/>
      <c r="BI28" s="11"/>
      <c r="BJ28" s="11"/>
      <c r="BK28" s="11"/>
      <c r="BL28" s="11"/>
      <c r="BM28" s="11"/>
    </row>
    <row r="29" spans="1:65" ht="21.6" customHeight="1">
      <c r="A29" s="477">
        <v>5</v>
      </c>
      <c r="B29" s="457"/>
      <c r="C29" s="458"/>
      <c r="D29" s="459"/>
      <c r="E29" s="460"/>
      <c r="F29" s="461"/>
      <c r="G29" s="462"/>
      <c r="H29" s="12"/>
      <c r="I29" s="14"/>
      <c r="J29" s="14"/>
      <c r="K29" s="14"/>
      <c r="L29" s="12"/>
      <c r="M29" s="13"/>
      <c r="N29" s="12"/>
      <c r="O29" s="13"/>
      <c r="P29" s="12"/>
      <c r="Q29" s="12"/>
      <c r="R29" s="14"/>
      <c r="S29" s="13"/>
      <c r="T29" s="14"/>
      <c r="U29" s="14"/>
      <c r="V29" s="14"/>
      <c r="W29" s="12"/>
      <c r="X29" s="14"/>
      <c r="Y29" s="14"/>
      <c r="Z29" s="13"/>
      <c r="AA29" s="12"/>
      <c r="AB29" s="14"/>
      <c r="AC29" s="14"/>
      <c r="AD29" s="13"/>
      <c r="AE29" s="12"/>
      <c r="AF29" s="13"/>
      <c r="AG29" s="11"/>
      <c r="AH29" s="12"/>
      <c r="AI29" s="13"/>
      <c r="AJ29" s="12"/>
      <c r="AK29" s="231"/>
      <c r="AL29" s="12"/>
      <c r="AM29" s="231"/>
      <c r="AN29" s="169"/>
      <c r="AO29" s="231"/>
      <c r="AP29" s="14"/>
      <c r="AQ29" s="14"/>
      <c r="AR29" s="14"/>
      <c r="AS29" s="12"/>
      <c r="AT29" s="14"/>
      <c r="AU29" s="14"/>
      <c r="AV29" s="12"/>
      <c r="AW29" s="231"/>
      <c r="AX29" s="11"/>
      <c r="AY29" s="12"/>
      <c r="AZ29" s="14"/>
      <c r="BA29" s="13"/>
      <c r="BB29" s="12"/>
      <c r="BC29" s="13"/>
      <c r="BD29" s="11"/>
      <c r="BE29" s="12"/>
      <c r="BF29" s="13"/>
      <c r="BG29" s="12"/>
      <c r="BH29" s="11"/>
      <c r="BI29" s="11"/>
      <c r="BJ29" s="11"/>
      <c r="BK29" s="11"/>
      <c r="BL29" s="11"/>
      <c r="BM29" s="11"/>
    </row>
    <row r="30" spans="1:65" ht="21.6" customHeight="1" thickBot="1">
      <c r="A30" s="478">
        <v>6</v>
      </c>
      <c r="B30" s="463"/>
      <c r="C30" s="464"/>
      <c r="D30" s="465"/>
      <c r="E30" s="466"/>
      <c r="F30" s="467"/>
      <c r="G30" s="468"/>
      <c r="H30" s="16"/>
      <c r="I30" s="176"/>
      <c r="J30" s="176"/>
      <c r="K30" s="176"/>
      <c r="L30" s="16"/>
      <c r="M30" s="175"/>
      <c r="N30" s="16"/>
      <c r="O30" s="175"/>
      <c r="P30" s="16"/>
      <c r="Q30" s="16"/>
      <c r="R30" s="176"/>
      <c r="S30" s="175"/>
      <c r="T30" s="176"/>
      <c r="U30" s="176"/>
      <c r="V30" s="176"/>
      <c r="W30" s="16"/>
      <c r="X30" s="176"/>
      <c r="Y30" s="176"/>
      <c r="Z30" s="175"/>
      <c r="AA30" s="16"/>
      <c r="AB30" s="176"/>
      <c r="AC30" s="176"/>
      <c r="AD30" s="175"/>
      <c r="AE30" s="16"/>
      <c r="AF30" s="175"/>
      <c r="AG30" s="15"/>
      <c r="AH30" s="16"/>
      <c r="AI30" s="175"/>
      <c r="AJ30" s="16"/>
      <c r="AK30" s="181"/>
      <c r="AL30" s="16"/>
      <c r="AM30" s="181"/>
      <c r="AN30" s="244"/>
      <c r="AO30" s="244"/>
      <c r="AP30" s="16"/>
      <c r="AQ30" s="176"/>
      <c r="AR30" s="176"/>
      <c r="AS30" s="16"/>
      <c r="AT30" s="176"/>
      <c r="AU30" s="176"/>
      <c r="AV30" s="16"/>
      <c r="AW30" s="181"/>
      <c r="AX30" s="15"/>
      <c r="AY30" s="16"/>
      <c r="AZ30" s="176"/>
      <c r="BA30" s="175"/>
      <c r="BB30" s="16"/>
      <c r="BC30" s="175"/>
      <c r="BD30" s="15"/>
      <c r="BE30" s="16"/>
      <c r="BF30" s="175"/>
      <c r="BG30" s="16"/>
      <c r="BH30" s="15"/>
      <c r="BI30" s="15"/>
      <c r="BJ30" s="15"/>
      <c r="BK30" s="15"/>
      <c r="BL30" s="15"/>
      <c r="BM30" s="15"/>
    </row>
    <row r="31" spans="1:65" ht="21.6" customHeight="1" thickTop="1">
      <c r="A31" s="477">
        <v>7</v>
      </c>
      <c r="B31" s="457"/>
      <c r="C31" s="458"/>
      <c r="D31" s="459"/>
      <c r="E31" s="460"/>
      <c r="F31" s="461"/>
      <c r="G31" s="462"/>
      <c r="H31" s="12"/>
      <c r="I31" s="14"/>
      <c r="J31" s="14"/>
      <c r="K31" s="14"/>
      <c r="L31" s="12"/>
      <c r="M31" s="13"/>
      <c r="N31" s="12"/>
      <c r="O31" s="13"/>
      <c r="P31" s="12"/>
      <c r="Q31" s="12"/>
      <c r="R31" s="14"/>
      <c r="S31" s="13"/>
      <c r="T31" s="14"/>
      <c r="U31" s="14"/>
      <c r="V31" s="14"/>
      <c r="W31" s="12"/>
      <c r="X31" s="14"/>
      <c r="Y31" s="14"/>
      <c r="Z31" s="13"/>
      <c r="AA31" s="12"/>
      <c r="AB31" s="14"/>
      <c r="AC31" s="14"/>
      <c r="AD31" s="13"/>
      <c r="AE31" s="12"/>
      <c r="AF31" s="13"/>
      <c r="AG31" s="11"/>
      <c r="AH31" s="12"/>
      <c r="AI31" s="13"/>
      <c r="AJ31" s="12"/>
      <c r="AK31" s="231"/>
      <c r="AL31" s="12"/>
      <c r="AM31" s="231"/>
      <c r="AN31" s="169"/>
      <c r="AO31" s="169"/>
      <c r="AP31" s="12"/>
      <c r="AQ31" s="14"/>
      <c r="AR31" s="14"/>
      <c r="AS31" s="12"/>
      <c r="AT31" s="14"/>
      <c r="AU31" s="14"/>
      <c r="AV31" s="12"/>
      <c r="AW31" s="231"/>
      <c r="AX31" s="11"/>
      <c r="AY31" s="12"/>
      <c r="AZ31" s="14"/>
      <c r="BA31" s="13"/>
      <c r="BB31" s="12"/>
      <c r="BC31" s="13"/>
      <c r="BD31" s="11"/>
      <c r="BE31" s="12"/>
      <c r="BF31" s="13"/>
      <c r="BG31" s="12"/>
      <c r="BH31" s="11"/>
      <c r="BI31" s="11"/>
      <c r="BJ31" s="11"/>
      <c r="BK31" s="11"/>
      <c r="BL31" s="11"/>
      <c r="BM31" s="11"/>
    </row>
    <row r="32" spans="1:65" ht="21.6" customHeight="1">
      <c r="A32" s="477">
        <v>8</v>
      </c>
      <c r="B32" s="457"/>
      <c r="C32" s="458"/>
      <c r="D32" s="459"/>
      <c r="E32" s="460"/>
      <c r="F32" s="461"/>
      <c r="G32" s="462"/>
      <c r="H32" s="12"/>
      <c r="I32" s="14"/>
      <c r="J32" s="14"/>
      <c r="K32" s="14"/>
      <c r="L32" s="12"/>
      <c r="M32" s="13"/>
      <c r="N32" s="12"/>
      <c r="O32" s="13"/>
      <c r="P32" s="12"/>
      <c r="Q32" s="12"/>
      <c r="R32" s="14"/>
      <c r="S32" s="13"/>
      <c r="T32" s="14"/>
      <c r="U32" s="14"/>
      <c r="V32" s="14"/>
      <c r="W32" s="12"/>
      <c r="X32" s="14"/>
      <c r="Y32" s="14"/>
      <c r="Z32" s="13"/>
      <c r="AA32" s="12"/>
      <c r="AB32" s="14"/>
      <c r="AC32" s="14"/>
      <c r="AD32" s="13"/>
      <c r="AE32" s="12"/>
      <c r="AF32" s="13"/>
      <c r="AG32" s="11"/>
      <c r="AH32" s="12"/>
      <c r="AI32" s="13"/>
      <c r="AJ32" s="12"/>
      <c r="AK32" s="231"/>
      <c r="AL32" s="12"/>
      <c r="AM32" s="231"/>
      <c r="AN32" s="169"/>
      <c r="AO32" s="169"/>
      <c r="AP32" s="12"/>
      <c r="AQ32" s="14"/>
      <c r="AR32" s="14"/>
      <c r="AS32" s="12"/>
      <c r="AT32" s="14"/>
      <c r="AU32" s="14"/>
      <c r="AV32" s="12"/>
      <c r="AW32" s="231"/>
      <c r="AX32" s="11"/>
      <c r="AY32" s="12"/>
      <c r="AZ32" s="14"/>
      <c r="BA32" s="13"/>
      <c r="BB32" s="12"/>
      <c r="BC32" s="13"/>
      <c r="BD32" s="11"/>
      <c r="BE32" s="12"/>
      <c r="BF32" s="13"/>
      <c r="BG32" s="12"/>
      <c r="BH32" s="11"/>
      <c r="BI32" s="11"/>
      <c r="BJ32" s="11"/>
      <c r="BK32" s="11"/>
      <c r="BL32" s="11"/>
      <c r="BM32" s="11"/>
    </row>
    <row r="33" spans="1:65" ht="21.6" customHeight="1" thickBot="1">
      <c r="A33" s="478">
        <v>9</v>
      </c>
      <c r="B33" s="463"/>
      <c r="C33" s="464"/>
      <c r="D33" s="465"/>
      <c r="E33" s="466"/>
      <c r="F33" s="467"/>
      <c r="G33" s="468"/>
      <c r="H33" s="16"/>
      <c r="I33" s="176"/>
      <c r="J33" s="176"/>
      <c r="K33" s="176"/>
      <c r="L33" s="16"/>
      <c r="M33" s="175"/>
      <c r="N33" s="16"/>
      <c r="O33" s="175"/>
      <c r="P33" s="16"/>
      <c r="Q33" s="16"/>
      <c r="R33" s="176"/>
      <c r="S33" s="175"/>
      <c r="T33" s="176"/>
      <c r="U33" s="176"/>
      <c r="V33" s="176"/>
      <c r="W33" s="16"/>
      <c r="X33" s="176"/>
      <c r="Y33" s="176"/>
      <c r="Z33" s="175"/>
      <c r="AA33" s="16"/>
      <c r="AB33" s="176"/>
      <c r="AC33" s="176"/>
      <c r="AD33" s="175"/>
      <c r="AE33" s="16"/>
      <c r="AF33" s="175"/>
      <c r="AG33" s="15"/>
      <c r="AH33" s="16"/>
      <c r="AI33" s="175"/>
      <c r="AJ33" s="16"/>
      <c r="AK33" s="181"/>
      <c r="AL33" s="16"/>
      <c r="AM33" s="181"/>
      <c r="AN33" s="244"/>
      <c r="AO33" s="244"/>
      <c r="AP33" s="16"/>
      <c r="AQ33" s="176"/>
      <c r="AR33" s="176"/>
      <c r="AS33" s="16"/>
      <c r="AT33" s="176"/>
      <c r="AU33" s="176"/>
      <c r="AV33" s="16"/>
      <c r="AW33" s="181"/>
      <c r="AX33" s="15"/>
      <c r="AY33" s="16"/>
      <c r="AZ33" s="176"/>
      <c r="BA33" s="175"/>
      <c r="BB33" s="16"/>
      <c r="BC33" s="175"/>
      <c r="BD33" s="15"/>
      <c r="BE33" s="16"/>
      <c r="BF33" s="175"/>
      <c r="BG33" s="16"/>
      <c r="BH33" s="15"/>
      <c r="BI33" s="15"/>
      <c r="BJ33" s="15"/>
      <c r="BK33" s="15"/>
      <c r="BL33" s="15"/>
      <c r="BM33" s="15"/>
    </row>
    <row r="34" spans="1:65" ht="21.6" customHeight="1" thickTop="1">
      <c r="A34" s="477">
        <v>10</v>
      </c>
      <c r="B34" s="457"/>
      <c r="C34" s="458"/>
      <c r="D34" s="459"/>
      <c r="E34" s="460"/>
      <c r="F34" s="461"/>
      <c r="G34" s="462"/>
      <c r="H34" s="12"/>
      <c r="I34" s="14"/>
      <c r="J34" s="14"/>
      <c r="K34" s="14"/>
      <c r="L34" s="12"/>
      <c r="M34" s="13"/>
      <c r="N34" s="12"/>
      <c r="O34" s="13"/>
      <c r="P34" s="12"/>
      <c r="Q34" s="12"/>
      <c r="R34" s="14"/>
      <c r="S34" s="13"/>
      <c r="T34" s="14"/>
      <c r="U34" s="14"/>
      <c r="V34" s="14"/>
      <c r="W34" s="12"/>
      <c r="X34" s="14"/>
      <c r="Y34" s="14"/>
      <c r="Z34" s="13"/>
      <c r="AA34" s="12"/>
      <c r="AB34" s="14"/>
      <c r="AC34" s="14"/>
      <c r="AD34" s="13"/>
      <c r="AE34" s="12"/>
      <c r="AF34" s="13"/>
      <c r="AG34" s="11"/>
      <c r="AH34" s="12"/>
      <c r="AI34" s="13"/>
      <c r="AJ34" s="12"/>
      <c r="AK34" s="231"/>
      <c r="AL34" s="12"/>
      <c r="AM34" s="231"/>
      <c r="AN34" s="169"/>
      <c r="AO34" s="169"/>
      <c r="AP34" s="12"/>
      <c r="AQ34" s="14"/>
      <c r="AR34" s="14"/>
      <c r="AS34" s="12"/>
      <c r="AT34" s="14"/>
      <c r="AU34" s="14"/>
      <c r="AV34" s="12"/>
      <c r="AW34" s="231"/>
      <c r="AX34" s="11"/>
      <c r="AY34" s="12"/>
      <c r="AZ34" s="14"/>
      <c r="BA34" s="13"/>
      <c r="BB34" s="12"/>
      <c r="BC34" s="13"/>
      <c r="BD34" s="11"/>
      <c r="BE34" s="12"/>
      <c r="BF34" s="13"/>
      <c r="BG34" s="12"/>
      <c r="BH34" s="11"/>
      <c r="BI34" s="11"/>
      <c r="BJ34" s="11"/>
      <c r="BK34" s="11"/>
      <c r="BL34" s="11"/>
      <c r="BM34" s="11"/>
    </row>
    <row r="35" spans="1:65" ht="21.6" customHeight="1">
      <c r="A35" s="477">
        <v>11</v>
      </c>
      <c r="B35" s="457"/>
      <c r="C35" s="458"/>
      <c r="D35" s="459"/>
      <c r="E35" s="460"/>
      <c r="F35" s="461"/>
      <c r="G35" s="462"/>
      <c r="H35" s="12"/>
      <c r="I35" s="14"/>
      <c r="J35" s="14"/>
      <c r="K35" s="14"/>
      <c r="L35" s="12"/>
      <c r="M35" s="13"/>
      <c r="N35" s="12"/>
      <c r="O35" s="13"/>
      <c r="P35" s="12"/>
      <c r="Q35" s="12"/>
      <c r="R35" s="14"/>
      <c r="S35" s="13"/>
      <c r="T35" s="14"/>
      <c r="U35" s="14"/>
      <c r="V35" s="14"/>
      <c r="W35" s="12"/>
      <c r="X35" s="14"/>
      <c r="Y35" s="14"/>
      <c r="Z35" s="13"/>
      <c r="AA35" s="12"/>
      <c r="AB35" s="14"/>
      <c r="AC35" s="14"/>
      <c r="AD35" s="13"/>
      <c r="AE35" s="12"/>
      <c r="AF35" s="13"/>
      <c r="AG35" s="11"/>
      <c r="AH35" s="12"/>
      <c r="AI35" s="13"/>
      <c r="AJ35" s="12"/>
      <c r="AK35" s="231"/>
      <c r="AL35" s="12"/>
      <c r="AM35" s="231"/>
      <c r="AN35" s="169"/>
      <c r="AO35" s="169"/>
      <c r="AP35" s="12"/>
      <c r="AQ35" s="14"/>
      <c r="AR35" s="14"/>
      <c r="AS35" s="12"/>
      <c r="AT35" s="14"/>
      <c r="AU35" s="14"/>
      <c r="AV35" s="12"/>
      <c r="AW35" s="231"/>
      <c r="AX35" s="11"/>
      <c r="AY35" s="12"/>
      <c r="AZ35" s="14"/>
      <c r="BA35" s="13"/>
      <c r="BB35" s="12"/>
      <c r="BC35" s="13"/>
      <c r="BD35" s="11"/>
      <c r="BE35" s="12"/>
      <c r="BF35" s="13"/>
      <c r="BG35" s="12"/>
      <c r="BH35" s="11"/>
      <c r="BI35" s="11"/>
      <c r="BJ35" s="11"/>
      <c r="BK35" s="11"/>
      <c r="BL35" s="11"/>
      <c r="BM35" s="11"/>
    </row>
    <row r="36" spans="1:65" ht="21.6" customHeight="1" thickBot="1">
      <c r="A36" s="478">
        <v>12</v>
      </c>
      <c r="B36" s="463"/>
      <c r="C36" s="464"/>
      <c r="D36" s="465"/>
      <c r="E36" s="466"/>
      <c r="F36" s="467"/>
      <c r="G36" s="468"/>
      <c r="H36" s="16"/>
      <c r="I36" s="176"/>
      <c r="J36" s="176"/>
      <c r="K36" s="176"/>
      <c r="L36" s="16"/>
      <c r="M36" s="175"/>
      <c r="N36" s="16"/>
      <c r="O36" s="175"/>
      <c r="P36" s="16"/>
      <c r="Q36" s="16"/>
      <c r="R36" s="176"/>
      <c r="S36" s="175"/>
      <c r="T36" s="176"/>
      <c r="U36" s="176"/>
      <c r="V36" s="176"/>
      <c r="W36" s="16"/>
      <c r="X36" s="176"/>
      <c r="Y36" s="176"/>
      <c r="Z36" s="175"/>
      <c r="AA36" s="16"/>
      <c r="AB36" s="176"/>
      <c r="AC36" s="176"/>
      <c r="AD36" s="175"/>
      <c r="AE36" s="16"/>
      <c r="AF36" s="175"/>
      <c r="AG36" s="15"/>
      <c r="AH36" s="16"/>
      <c r="AI36" s="175"/>
      <c r="AJ36" s="16"/>
      <c r="AK36" s="181"/>
      <c r="AL36" s="16"/>
      <c r="AM36" s="181"/>
      <c r="AN36" s="244"/>
      <c r="AO36" s="244"/>
      <c r="AP36" s="16"/>
      <c r="AQ36" s="176"/>
      <c r="AR36" s="176"/>
      <c r="AS36" s="16"/>
      <c r="AT36" s="176"/>
      <c r="AU36" s="176"/>
      <c r="AV36" s="16"/>
      <c r="AW36" s="181"/>
      <c r="AX36" s="15"/>
      <c r="AY36" s="16"/>
      <c r="AZ36" s="176"/>
      <c r="BA36" s="175"/>
      <c r="BB36" s="16"/>
      <c r="BC36" s="175"/>
      <c r="BD36" s="15"/>
      <c r="BE36" s="16"/>
      <c r="BF36" s="175"/>
      <c r="BG36" s="16"/>
      <c r="BH36" s="15"/>
      <c r="BI36" s="15"/>
      <c r="BJ36" s="15"/>
      <c r="BK36" s="15"/>
      <c r="BL36" s="15"/>
      <c r="BM36" s="15"/>
    </row>
    <row r="37" spans="1:65" ht="21.6" customHeight="1" thickTop="1">
      <c r="A37" s="477">
        <v>13</v>
      </c>
      <c r="B37" s="457"/>
      <c r="C37" s="458"/>
      <c r="D37" s="459"/>
      <c r="E37" s="460"/>
      <c r="F37" s="461"/>
      <c r="G37" s="462"/>
      <c r="H37" s="12"/>
      <c r="I37" s="14"/>
      <c r="J37" s="14"/>
      <c r="K37" s="14"/>
      <c r="L37" s="12"/>
      <c r="M37" s="13"/>
      <c r="N37" s="12"/>
      <c r="O37" s="13"/>
      <c r="P37" s="12"/>
      <c r="Q37" s="12"/>
      <c r="R37" s="14"/>
      <c r="S37" s="13"/>
      <c r="T37" s="14"/>
      <c r="U37" s="14"/>
      <c r="V37" s="14"/>
      <c r="W37" s="12"/>
      <c r="X37" s="14"/>
      <c r="Y37" s="14"/>
      <c r="Z37" s="13"/>
      <c r="AA37" s="12"/>
      <c r="AB37" s="14"/>
      <c r="AC37" s="14"/>
      <c r="AD37" s="13"/>
      <c r="AE37" s="12"/>
      <c r="AF37" s="13"/>
      <c r="AG37" s="11"/>
      <c r="AH37" s="12"/>
      <c r="AI37" s="13"/>
      <c r="AJ37" s="12"/>
      <c r="AK37" s="231"/>
      <c r="AL37" s="12"/>
      <c r="AM37" s="231"/>
      <c r="AN37" s="169"/>
      <c r="AO37" s="169"/>
      <c r="AP37" s="12"/>
      <c r="AQ37" s="14"/>
      <c r="AR37" s="14"/>
      <c r="AS37" s="12"/>
      <c r="AT37" s="14"/>
      <c r="AU37" s="14"/>
      <c r="AV37" s="12"/>
      <c r="AW37" s="231"/>
      <c r="AX37" s="11"/>
      <c r="AY37" s="12"/>
      <c r="AZ37" s="14"/>
      <c r="BA37" s="13"/>
      <c r="BB37" s="12"/>
      <c r="BC37" s="13"/>
      <c r="BD37" s="11"/>
      <c r="BE37" s="12"/>
      <c r="BF37" s="13"/>
      <c r="BG37" s="12"/>
      <c r="BH37" s="11"/>
      <c r="BI37" s="11"/>
      <c r="BJ37" s="11"/>
      <c r="BK37" s="11"/>
      <c r="BL37" s="11"/>
      <c r="BM37" s="11"/>
    </row>
    <row r="38" spans="1:65" ht="21.6" customHeight="1">
      <c r="A38" s="477">
        <v>14</v>
      </c>
      <c r="B38" s="457"/>
      <c r="C38" s="458"/>
      <c r="D38" s="459"/>
      <c r="E38" s="460"/>
      <c r="F38" s="461"/>
      <c r="G38" s="462"/>
      <c r="H38" s="12"/>
      <c r="I38" s="14"/>
      <c r="J38" s="14"/>
      <c r="K38" s="14"/>
      <c r="L38" s="12"/>
      <c r="M38" s="13"/>
      <c r="N38" s="12"/>
      <c r="O38" s="13"/>
      <c r="P38" s="12"/>
      <c r="Q38" s="12"/>
      <c r="R38" s="14"/>
      <c r="S38" s="13"/>
      <c r="T38" s="14"/>
      <c r="U38" s="14"/>
      <c r="V38" s="14"/>
      <c r="W38" s="12"/>
      <c r="X38" s="14"/>
      <c r="Y38" s="14"/>
      <c r="Z38" s="13"/>
      <c r="AA38" s="12"/>
      <c r="AB38" s="14"/>
      <c r="AC38" s="14"/>
      <c r="AD38" s="13"/>
      <c r="AE38" s="12"/>
      <c r="AF38" s="13"/>
      <c r="AG38" s="11"/>
      <c r="AH38" s="12"/>
      <c r="AI38" s="13"/>
      <c r="AJ38" s="12"/>
      <c r="AK38" s="231"/>
      <c r="AL38" s="12"/>
      <c r="AM38" s="231"/>
      <c r="AN38" s="169"/>
      <c r="AO38" s="169"/>
      <c r="AP38" s="12"/>
      <c r="AQ38" s="14"/>
      <c r="AR38" s="14"/>
      <c r="AS38" s="12"/>
      <c r="AT38" s="14"/>
      <c r="AU38" s="14"/>
      <c r="AV38" s="12"/>
      <c r="AW38" s="231"/>
      <c r="AX38" s="11"/>
      <c r="AY38" s="12"/>
      <c r="AZ38" s="14"/>
      <c r="BA38" s="13"/>
      <c r="BB38" s="12"/>
      <c r="BC38" s="13"/>
      <c r="BD38" s="11"/>
      <c r="BE38" s="12"/>
      <c r="BF38" s="13"/>
      <c r="BG38" s="12"/>
      <c r="BH38" s="11"/>
      <c r="BI38" s="11"/>
      <c r="BJ38" s="11"/>
      <c r="BK38" s="11"/>
      <c r="BL38" s="11"/>
      <c r="BM38" s="11"/>
    </row>
    <row r="39" spans="1:65" ht="21.6" customHeight="1">
      <c r="A39" s="477">
        <v>15</v>
      </c>
      <c r="B39" s="457"/>
      <c r="C39" s="458"/>
      <c r="D39" s="459"/>
      <c r="E39" s="460"/>
      <c r="F39" s="461"/>
      <c r="G39" s="462"/>
      <c r="H39" s="12"/>
      <c r="I39" s="14"/>
      <c r="J39" s="14"/>
      <c r="K39" s="14"/>
      <c r="L39" s="12"/>
      <c r="M39" s="13"/>
      <c r="N39" s="12"/>
      <c r="O39" s="13"/>
      <c r="P39" s="12"/>
      <c r="Q39" s="12"/>
      <c r="R39" s="14"/>
      <c r="S39" s="13"/>
      <c r="T39" s="14"/>
      <c r="U39" s="14"/>
      <c r="V39" s="14"/>
      <c r="W39" s="12"/>
      <c r="X39" s="14"/>
      <c r="Y39" s="14"/>
      <c r="Z39" s="13"/>
      <c r="AA39" s="12"/>
      <c r="AB39" s="14"/>
      <c r="AC39" s="14"/>
      <c r="AD39" s="13"/>
      <c r="AE39" s="12"/>
      <c r="AF39" s="13"/>
      <c r="AG39" s="11"/>
      <c r="AH39" s="12"/>
      <c r="AI39" s="13"/>
      <c r="AJ39" s="12"/>
      <c r="AK39" s="231"/>
      <c r="AL39" s="12"/>
      <c r="AM39" s="231"/>
      <c r="AN39" s="169"/>
      <c r="AO39" s="169"/>
      <c r="AP39" s="12"/>
      <c r="AQ39" s="14"/>
      <c r="AR39" s="14"/>
      <c r="AS39" s="12"/>
      <c r="AT39" s="14"/>
      <c r="AU39" s="14"/>
      <c r="AV39" s="12"/>
      <c r="AW39" s="231"/>
      <c r="AX39" s="11"/>
      <c r="AY39" s="12"/>
      <c r="AZ39" s="14"/>
      <c r="BA39" s="13"/>
      <c r="BB39" s="12"/>
      <c r="BC39" s="13"/>
      <c r="BD39" s="11"/>
      <c r="BE39" s="12"/>
      <c r="BF39" s="13"/>
      <c r="BG39" s="12"/>
      <c r="BH39" s="11"/>
      <c r="BI39" s="11"/>
      <c r="BJ39" s="11"/>
      <c r="BK39" s="11"/>
      <c r="BL39" s="11"/>
      <c r="BM39" s="11"/>
    </row>
  </sheetData>
  <customSheetViews>
    <customSheetView guid="{77361B37-359A-4BD7-AABE-B5C029043447}" showPageBreaks="1" showGridLines="0" topLeftCell="O1">
      <selection activeCell="X4" sqref="X4:Z7"/>
      <colBreaks count="2" manualBreakCount="2">
        <brk id="23" max="34" man="1"/>
        <brk id="46" max="1048575" man="1"/>
      </colBreaks>
      <pageMargins left="0" right="0" top="0" bottom="0" header="0" footer="0"/>
      <pageSetup paperSize="9" orientation="landscape" r:id="rId1"/>
      <headerFooter alignWithMargins="0">
        <oddFooter>&amp;C&amp;P</oddFooter>
      </headerFooter>
    </customSheetView>
  </customSheetViews>
  <mergeCells count="143">
    <mergeCell ref="T2:Z2"/>
    <mergeCell ref="Q3:S3"/>
    <mergeCell ref="Q18:R19"/>
    <mergeCell ref="Q20:Q21"/>
    <mergeCell ref="Q22:Q23"/>
    <mergeCell ref="Z14:Z15"/>
    <mergeCell ref="W7:X7"/>
    <mergeCell ref="W8:X9"/>
    <mergeCell ref="W10:X11"/>
    <mergeCell ref="W12:X12"/>
    <mergeCell ref="W13:X13"/>
    <mergeCell ref="W14:X15"/>
    <mergeCell ref="W16:X16"/>
    <mergeCell ref="W3:Z3"/>
    <mergeCell ref="W4:Z6"/>
    <mergeCell ref="W22:X22"/>
    <mergeCell ref="W23:X23"/>
    <mergeCell ref="Y14:Y15"/>
    <mergeCell ref="Y18:Y19"/>
    <mergeCell ref="T4:U13"/>
    <mergeCell ref="T3:U3"/>
    <mergeCell ref="AA3:AD3"/>
    <mergeCell ref="AN3:AO3"/>
    <mergeCell ref="AE22:AE23"/>
    <mergeCell ref="AF22:AF23"/>
    <mergeCell ref="AM18:AM20"/>
    <mergeCell ref="AL18:AL20"/>
    <mergeCell ref="AN16:AN17"/>
    <mergeCell ref="AE3:AG3"/>
    <mergeCell ref="AH3:AI3"/>
    <mergeCell ref="AL3:AM3"/>
    <mergeCell ref="AE4:AG11"/>
    <mergeCell ref="AD17:AD18"/>
    <mergeCell ref="AA8:AB8"/>
    <mergeCell ref="AA12:AB12"/>
    <mergeCell ref="AA13:AB14"/>
    <mergeCell ref="AA15:AB15"/>
    <mergeCell ref="AA16:AB16"/>
    <mergeCell ref="AC10:AC11"/>
    <mergeCell ref="AC13:AC14"/>
    <mergeCell ref="AC17:AC18"/>
    <mergeCell ref="AD15:AD16"/>
    <mergeCell ref="AO21:AO22"/>
    <mergeCell ref="AN21:AN22"/>
    <mergeCell ref="AL4:AM12"/>
    <mergeCell ref="X24:Z24"/>
    <mergeCell ref="AB24:AD24"/>
    <mergeCell ref="W17:X17"/>
    <mergeCell ref="W18:X19"/>
    <mergeCell ref="W20:X20"/>
    <mergeCell ref="W21:X21"/>
    <mergeCell ref="AG22:AG23"/>
    <mergeCell ref="AA19:AB19"/>
    <mergeCell ref="AA20:AB20"/>
    <mergeCell ref="L3:M3"/>
    <mergeCell ref="N3:O3"/>
    <mergeCell ref="H3:K3"/>
    <mergeCell ref="A3:A24"/>
    <mergeCell ref="B16:D18"/>
    <mergeCell ref="G16:G18"/>
    <mergeCell ref="G23:G24"/>
    <mergeCell ref="B3:D3"/>
    <mergeCell ref="E3:F3"/>
    <mergeCell ref="E4:F12"/>
    <mergeCell ref="B23:D23"/>
    <mergeCell ref="B4:D11"/>
    <mergeCell ref="L4:M15"/>
    <mergeCell ref="N4:O14"/>
    <mergeCell ref="L16:M20"/>
    <mergeCell ref="N16:O20"/>
    <mergeCell ref="H4:K7"/>
    <mergeCell ref="H8:K11"/>
    <mergeCell ref="J16:K17"/>
    <mergeCell ref="K18:K19"/>
    <mergeCell ref="P21:P23"/>
    <mergeCell ref="P16:P20"/>
    <mergeCell ref="H16:H17"/>
    <mergeCell ref="I16:I17"/>
    <mergeCell ref="H18:H19"/>
    <mergeCell ref="I18:I19"/>
    <mergeCell ref="P4:P10"/>
    <mergeCell ref="AE17:AG18"/>
    <mergeCell ref="AJ4:AK13"/>
    <mergeCell ref="AH4:AI14"/>
    <mergeCell ref="AE14:AF14"/>
    <mergeCell ref="AA23:AB23"/>
    <mergeCell ref="Z18:Z19"/>
    <mergeCell ref="AA17:AB18"/>
    <mergeCell ref="AA21:AB21"/>
    <mergeCell ref="AA22:AB22"/>
    <mergeCell ref="AA4:AD6"/>
    <mergeCell ref="AA9:AB9"/>
    <mergeCell ref="AA10:AB11"/>
    <mergeCell ref="AD10:AD11"/>
    <mergeCell ref="Y8:Y9"/>
    <mergeCell ref="Y10:Y11"/>
    <mergeCell ref="AW20:AW22"/>
    <mergeCell ref="BG4:BM9"/>
    <mergeCell ref="BE3:BF3"/>
    <mergeCell ref="BE4:BF20"/>
    <mergeCell ref="AS3:AU3"/>
    <mergeCell ref="AN4:AO10"/>
    <mergeCell ref="AS4:AU13"/>
    <mergeCell ref="AX4:AX14"/>
    <mergeCell ref="AY14:BA20"/>
    <mergeCell ref="AS14:AU20"/>
    <mergeCell ref="AO16:AO17"/>
    <mergeCell ref="AV3:AW3"/>
    <mergeCell ref="BH22:BH24"/>
    <mergeCell ref="BI22:BI24"/>
    <mergeCell ref="BJ22:BJ24"/>
    <mergeCell ref="BK22:BK24"/>
    <mergeCell ref="BL22:BL24"/>
    <mergeCell ref="BG19:BM19"/>
    <mergeCell ref="BG22:BG24"/>
    <mergeCell ref="BD22:BD23"/>
    <mergeCell ref="BD4:BD19"/>
    <mergeCell ref="AV4:AW9"/>
    <mergeCell ref="AV20:AV22"/>
    <mergeCell ref="AA2:AD2"/>
    <mergeCell ref="AQ23:AR23"/>
    <mergeCell ref="AT23:AU23"/>
    <mergeCell ref="AZ23:BA23"/>
    <mergeCell ref="BM22:BM24"/>
    <mergeCell ref="G4:G14"/>
    <mergeCell ref="V4:V19"/>
    <mergeCell ref="Q4:S12"/>
    <mergeCell ref="BB20:BB22"/>
    <mergeCell ref="BC20:BC22"/>
    <mergeCell ref="BB3:BC3"/>
    <mergeCell ref="BB4:BC10"/>
    <mergeCell ref="AY4:BA13"/>
    <mergeCell ref="AY3:BA3"/>
    <mergeCell ref="AD13:AD14"/>
    <mergeCell ref="Z10:Z11"/>
    <mergeCell ref="Z8:Z9"/>
    <mergeCell ref="AP3:AR3"/>
    <mergeCell ref="AP4:AR11"/>
    <mergeCell ref="AP14:AR17"/>
    <mergeCell ref="AJ3:AK3"/>
    <mergeCell ref="BG14:BM16"/>
    <mergeCell ref="BG17:BM17"/>
    <mergeCell ref="AX22:AX23"/>
  </mergeCells>
  <phoneticPr fontId="0" type="noConversion"/>
  <pageMargins left="0.45" right="0.45" top="0.75" bottom="0.5" header="0.3" footer="0.3"/>
  <pageSetup paperSize="9" scale="80" fitToWidth="3" fitToHeight="3" orientation="landscape" r:id="rId2"/>
  <headerFooter alignWithMargins="0">
    <oddFooter>&amp;C&amp;P</oddFooter>
  </headerFooter>
  <colBreaks count="2" manualBreakCount="2">
    <brk id="26" max="38" man="1"/>
    <brk id="49" max="38" man="1"/>
  </colBreaks>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Z41"/>
  <sheetViews>
    <sheetView showGridLines="0" view="pageBreakPreview" topLeftCell="AD1" zoomScaleSheetLayoutView="100" workbookViewId="0">
      <selection activeCell="AL35" sqref="AL35"/>
    </sheetView>
  </sheetViews>
  <sheetFormatPr defaultColWidth="9.140625" defaultRowHeight="11.25"/>
  <cols>
    <col min="1" max="1" width="4" style="24" customWidth="1"/>
    <col min="2" max="2" width="6" style="24" customWidth="1"/>
    <col min="3" max="3" width="5.42578125" style="24" customWidth="1"/>
    <col min="4" max="4" width="10" style="24" customWidth="1"/>
    <col min="5" max="5" width="6.140625" style="24" customWidth="1"/>
    <col min="6" max="6" width="5.7109375" style="24" customWidth="1"/>
    <col min="7" max="7" width="12" style="24" customWidth="1"/>
    <col min="8" max="8" width="10.7109375" style="24" customWidth="1"/>
    <col min="9" max="9" width="3.28515625" style="24" customWidth="1"/>
    <col min="10" max="10" width="5.85546875" style="24" customWidth="1"/>
    <col min="11" max="11" width="15.42578125" style="24" customWidth="1"/>
    <col min="12" max="12" width="2.85546875" style="24" customWidth="1"/>
    <col min="13" max="13" width="5.85546875" style="24" customWidth="1"/>
    <col min="14" max="14" width="3.85546875" style="24" customWidth="1"/>
    <col min="15" max="15" width="6.140625" style="589" customWidth="1"/>
    <col min="16" max="16" width="3.28515625" style="589" customWidth="1"/>
    <col min="17" max="17" width="5.85546875" style="589" customWidth="1"/>
    <col min="18" max="18" width="4.42578125" style="589" customWidth="1"/>
    <col min="19" max="19" width="3.140625" style="589" customWidth="1"/>
    <col min="20" max="20" width="5.42578125" style="589" customWidth="1"/>
    <col min="21" max="21" width="15.28515625" style="24" customWidth="1"/>
    <col min="22" max="22" width="12.28515625" style="24" customWidth="1"/>
    <col min="23" max="23" width="3.28515625" style="24" customWidth="1"/>
    <col min="24" max="24" width="2" style="24" customWidth="1"/>
    <col min="25" max="25" width="5.42578125" style="24" customWidth="1"/>
    <col min="26" max="26" width="17.140625" style="24" customWidth="1"/>
    <col min="27" max="27" width="13.5703125" style="24" customWidth="1"/>
    <col min="28" max="28" width="3.7109375" style="24" customWidth="1"/>
    <col min="29" max="29" width="21.5703125" style="24" customWidth="1"/>
    <col min="30" max="30" width="3.42578125" style="24" customWidth="1"/>
    <col min="31" max="31" width="15" style="24" customWidth="1"/>
    <col min="32" max="32" width="14.42578125" style="24" customWidth="1"/>
    <col min="33" max="33" width="14.140625" style="24" customWidth="1"/>
    <col min="34" max="34" width="11" style="24" customWidth="1"/>
    <col min="35" max="35" width="3.42578125" style="588" customWidth="1"/>
    <col min="36" max="36" width="8.140625" style="24" customWidth="1"/>
    <col min="37" max="37" width="6.85546875" style="24" customWidth="1"/>
    <col min="38" max="38" width="14.42578125" style="24" customWidth="1"/>
    <col min="39" max="39" width="7.7109375" style="24" customWidth="1"/>
    <col min="40" max="40" width="2.85546875" style="24" customWidth="1"/>
    <col min="41" max="41" width="3.85546875" style="24" customWidth="1"/>
    <col min="42" max="42" width="14" style="24" customWidth="1"/>
    <col min="43" max="43" width="17.140625" style="24" customWidth="1"/>
    <col min="44" max="44" width="13.28515625" style="24" customWidth="1"/>
    <col min="45" max="45" width="3.85546875" style="24" customWidth="1"/>
    <col min="46" max="46" width="23.42578125" style="24" customWidth="1"/>
    <col min="47" max="47" width="3.85546875" style="24" customWidth="1"/>
    <col min="48" max="49" width="16.7109375" style="24" customWidth="1"/>
    <col min="50" max="50" width="16.42578125" style="24" customWidth="1"/>
    <col min="51" max="51" width="12.5703125" style="24" customWidth="1"/>
    <col min="52" max="52" width="3.42578125" style="24" customWidth="1"/>
    <col min="53" max="16384" width="9.140625" style="24"/>
  </cols>
  <sheetData>
    <row r="1" spans="1:52" ht="15.75">
      <c r="A1" s="1"/>
      <c r="B1" s="1" t="s">
        <v>294</v>
      </c>
      <c r="M1" s="1"/>
      <c r="O1" s="604"/>
      <c r="R1" s="604"/>
      <c r="Y1" s="245" t="s">
        <v>295</v>
      </c>
      <c r="Z1" s="1" t="s">
        <v>294</v>
      </c>
      <c r="AA1" s="1"/>
      <c r="AN1" s="1"/>
      <c r="AO1" s="245" t="s">
        <v>295</v>
      </c>
      <c r="AP1" s="1" t="s">
        <v>294</v>
      </c>
      <c r="AZ1" s="245" t="s">
        <v>295</v>
      </c>
    </row>
    <row r="2" spans="1:52" ht="15.75">
      <c r="A2" s="1"/>
      <c r="B2" s="1587" t="s">
        <v>62</v>
      </c>
      <c r="M2" s="1"/>
      <c r="O2" s="604"/>
      <c r="R2" s="604"/>
      <c r="Y2" s="401" t="s">
        <v>296</v>
      </c>
      <c r="Z2" s="307" t="s">
        <v>296</v>
      </c>
      <c r="AA2" s="1"/>
      <c r="AN2" s="1"/>
      <c r="AO2" s="245"/>
      <c r="AP2" s="307" t="s">
        <v>296</v>
      </c>
      <c r="AZ2" s="245"/>
    </row>
    <row r="3" spans="1:52" s="302" customFormat="1" ht="14.25" customHeight="1">
      <c r="A3" s="2295" t="s">
        <v>64</v>
      </c>
      <c r="B3" s="2298">
        <v>-3.01</v>
      </c>
      <c r="C3" s="2299"/>
      <c r="D3" s="1021">
        <f>B3-0.01</f>
        <v>-3.0199999999999996</v>
      </c>
      <c r="E3" s="2273">
        <f>D3-0.01</f>
        <v>-3.0299999999999994</v>
      </c>
      <c r="F3" s="2274"/>
      <c r="G3" s="2273">
        <f>E3-0.01</f>
        <v>-3.0399999999999991</v>
      </c>
      <c r="H3" s="2312"/>
      <c r="I3" s="2312"/>
      <c r="J3" s="2274"/>
      <c r="K3" s="2273">
        <f>G3-0.01</f>
        <v>-3.0499999999999989</v>
      </c>
      <c r="L3" s="2274"/>
      <c r="M3" s="2251">
        <f>K3-0.01</f>
        <v>-3.0599999999999987</v>
      </c>
      <c r="N3" s="2253"/>
      <c r="O3" s="2254">
        <f>+M3-0.01</f>
        <v>-3.0699999999999985</v>
      </c>
      <c r="P3" s="2255"/>
      <c r="Q3" s="2256"/>
      <c r="R3" s="2257">
        <f>+O3-0.01</f>
        <v>-3.0799999999999983</v>
      </c>
      <c r="S3" s="2258"/>
      <c r="T3" s="2259"/>
      <c r="U3" s="2251">
        <f>R3-0.01</f>
        <v>-3.0899999999999981</v>
      </c>
      <c r="V3" s="2252"/>
      <c r="W3" s="2252"/>
      <c r="X3" s="2252"/>
      <c r="Y3" s="2253"/>
      <c r="Z3" s="2251">
        <f>U3-0.01</f>
        <v>-3.0999999999999979</v>
      </c>
      <c r="AA3" s="2252"/>
      <c r="AB3" s="2253"/>
      <c r="AC3" s="2252">
        <f>Z3-0.01</f>
        <v>-3.1099999999999977</v>
      </c>
      <c r="AD3" s="2253"/>
      <c r="AE3" s="2251">
        <f>AC3-0.01</f>
        <v>-3.1199999999999974</v>
      </c>
      <c r="AF3" s="2253"/>
      <c r="AG3" s="2251">
        <f>AE3-0.01</f>
        <v>-3.1299999999999972</v>
      </c>
      <c r="AH3" s="2252"/>
      <c r="AI3" s="2253"/>
      <c r="AJ3" s="2252">
        <f>AG3-0.01</f>
        <v>-3.139999999999997</v>
      </c>
      <c r="AK3" s="2253"/>
      <c r="AL3" s="300">
        <f>AJ3-0.01</f>
        <v>-3.1499999999999968</v>
      </c>
      <c r="AM3" s="2248">
        <f>AL3-0.01</f>
        <v>-3.1599999999999966</v>
      </c>
      <c r="AN3" s="2249"/>
      <c r="AO3" s="2250"/>
      <c r="AP3" s="1022">
        <f>AM3-0.01</f>
        <v>-3.1699999999999964</v>
      </c>
      <c r="AQ3" s="2248">
        <f>AP3-0.01</f>
        <v>-3.1799999999999962</v>
      </c>
      <c r="AR3" s="2249"/>
      <c r="AS3" s="2250"/>
      <c r="AT3" s="2248">
        <f>AQ3-0.01</f>
        <v>-3.1899999999999959</v>
      </c>
      <c r="AU3" s="2250"/>
      <c r="AV3" s="301">
        <f>AT3-0.01</f>
        <v>-3.1999999999999957</v>
      </c>
      <c r="AW3" s="301">
        <f>AV3-0.01</f>
        <v>-3.2099999999999955</v>
      </c>
      <c r="AX3" s="2248">
        <f>AW3-0.01</f>
        <v>-3.2199999999999953</v>
      </c>
      <c r="AY3" s="2249"/>
      <c r="AZ3" s="2250"/>
    </row>
    <row r="4" spans="1:52" ht="14.25" customHeight="1">
      <c r="A4" s="2296"/>
      <c r="B4" s="2303" t="s">
        <v>297</v>
      </c>
      <c r="C4" s="2304"/>
      <c r="D4" s="2311" t="s">
        <v>194</v>
      </c>
      <c r="E4" s="2268" t="s">
        <v>298</v>
      </c>
      <c r="F4" s="2269"/>
      <c r="G4" s="1955" t="s">
        <v>299</v>
      </c>
      <c r="H4" s="1956"/>
      <c r="I4" s="1956"/>
      <c r="J4" s="1957"/>
      <c r="K4" s="1955" t="s">
        <v>300</v>
      </c>
      <c r="L4" s="1957"/>
      <c r="M4" s="2293" t="s">
        <v>301</v>
      </c>
      <c r="N4" s="2294"/>
      <c r="O4" s="2290" t="s">
        <v>302</v>
      </c>
      <c r="P4" s="2291"/>
      <c r="Q4" s="2292"/>
      <c r="R4" s="2270" t="s">
        <v>303</v>
      </c>
      <c r="S4" s="2271"/>
      <c r="T4" s="2272"/>
      <c r="U4" s="2042" t="s">
        <v>304</v>
      </c>
      <c r="V4" s="2043"/>
      <c r="W4" s="2043"/>
      <c r="X4" s="2043"/>
      <c r="Y4" s="2044"/>
      <c r="Z4" s="2042" t="s">
        <v>305</v>
      </c>
      <c r="AA4" s="2043"/>
      <c r="AB4" s="2044"/>
      <c r="AC4" s="2042" t="s">
        <v>306</v>
      </c>
      <c r="AD4" s="2044"/>
      <c r="AE4" s="2264" t="s">
        <v>307</v>
      </c>
      <c r="AF4" s="2265"/>
      <c r="AG4" s="2042" t="s">
        <v>308</v>
      </c>
      <c r="AH4" s="2043"/>
      <c r="AI4" s="2044"/>
      <c r="AJ4" s="2268" t="s">
        <v>309</v>
      </c>
      <c r="AK4" s="2269"/>
      <c r="AL4" s="2213" t="s">
        <v>310</v>
      </c>
      <c r="AM4" s="2042" t="s">
        <v>311</v>
      </c>
      <c r="AN4" s="2043"/>
      <c r="AO4" s="2044"/>
      <c r="AP4" s="2042" t="s">
        <v>312</v>
      </c>
      <c r="AQ4" s="2042" t="s">
        <v>313</v>
      </c>
      <c r="AR4" s="2043"/>
      <c r="AS4" s="2044"/>
      <c r="AT4" s="2042" t="s">
        <v>314</v>
      </c>
      <c r="AU4" s="2044"/>
      <c r="AV4" s="2213" t="s">
        <v>315</v>
      </c>
      <c r="AW4" s="2213" t="s">
        <v>316</v>
      </c>
      <c r="AX4" s="2042" t="s">
        <v>308</v>
      </c>
      <c r="AY4" s="2043"/>
      <c r="AZ4" s="2044"/>
    </row>
    <row r="5" spans="1:52" ht="14.25" customHeight="1">
      <c r="A5" s="2296"/>
      <c r="B5" s="2303"/>
      <c r="C5" s="2304"/>
      <c r="D5" s="2311"/>
      <c r="E5" s="2268"/>
      <c r="F5" s="2269"/>
      <c r="G5" s="1955"/>
      <c r="H5" s="1956"/>
      <c r="I5" s="1956"/>
      <c r="J5" s="1957"/>
      <c r="K5" s="1955"/>
      <c r="L5" s="1957"/>
      <c r="M5" s="2293"/>
      <c r="N5" s="2294"/>
      <c r="O5" s="2290"/>
      <c r="P5" s="2291"/>
      <c r="Q5" s="2292"/>
      <c r="R5" s="2270"/>
      <c r="S5" s="2271"/>
      <c r="T5" s="2272"/>
      <c r="U5" s="2042"/>
      <c r="V5" s="2043"/>
      <c r="W5" s="2043"/>
      <c r="X5" s="2043"/>
      <c r="Y5" s="2044"/>
      <c r="Z5" s="2042"/>
      <c r="AA5" s="2043"/>
      <c r="AB5" s="2044"/>
      <c r="AC5" s="2042"/>
      <c r="AD5" s="2044"/>
      <c r="AE5" s="2266"/>
      <c r="AF5" s="2267"/>
      <c r="AG5" s="2042"/>
      <c r="AH5" s="2043"/>
      <c r="AI5" s="2044"/>
      <c r="AJ5" s="2268"/>
      <c r="AK5" s="2269"/>
      <c r="AL5" s="2213"/>
      <c r="AM5" s="2042"/>
      <c r="AN5" s="2043"/>
      <c r="AO5" s="2044"/>
      <c r="AP5" s="2042"/>
      <c r="AQ5" s="2042"/>
      <c r="AR5" s="2043"/>
      <c r="AS5" s="2044"/>
      <c r="AT5" s="2042"/>
      <c r="AU5" s="2044"/>
      <c r="AV5" s="2213"/>
      <c r="AW5" s="2213"/>
      <c r="AX5" s="2042"/>
      <c r="AY5" s="2043"/>
      <c r="AZ5" s="2044"/>
    </row>
    <row r="6" spans="1:52" ht="14.25" customHeight="1">
      <c r="A6" s="2296"/>
      <c r="B6" s="2303"/>
      <c r="C6" s="2304"/>
      <c r="D6" s="2311"/>
      <c r="E6" s="2268"/>
      <c r="F6" s="2269"/>
      <c r="G6" s="1955"/>
      <c r="H6" s="1956"/>
      <c r="I6" s="1956"/>
      <c r="J6" s="1957"/>
      <c r="K6" s="1955"/>
      <c r="L6" s="1957"/>
      <c r="M6" s="2293"/>
      <c r="N6" s="2294"/>
      <c r="O6" s="2290"/>
      <c r="P6" s="2291"/>
      <c r="Q6" s="2292"/>
      <c r="R6" s="2270"/>
      <c r="S6" s="2271"/>
      <c r="T6" s="2272"/>
      <c r="U6" s="1026"/>
      <c r="V6" s="1027"/>
      <c r="W6" s="1027"/>
      <c r="X6" s="1027"/>
      <c r="Y6" s="1028"/>
      <c r="Z6" s="2042"/>
      <c r="AA6" s="2043"/>
      <c r="AB6" s="2044"/>
      <c r="AC6" s="2042"/>
      <c r="AD6" s="2044"/>
      <c r="AE6" s="967">
        <v>1</v>
      </c>
      <c r="AF6" s="968">
        <v>2</v>
      </c>
      <c r="AG6" s="2042"/>
      <c r="AH6" s="2043"/>
      <c r="AI6" s="2044"/>
      <c r="AJ6" s="2268"/>
      <c r="AK6" s="2269"/>
      <c r="AL6" s="2213"/>
      <c r="AM6" s="2042"/>
      <c r="AN6" s="2043"/>
      <c r="AO6" s="2044"/>
      <c r="AP6" s="2042"/>
      <c r="AQ6" s="2042"/>
      <c r="AR6" s="2043"/>
      <c r="AS6" s="2044"/>
      <c r="AT6" s="2042"/>
      <c r="AU6" s="2044"/>
      <c r="AV6" s="2213"/>
      <c r="AW6" s="2213"/>
      <c r="AX6" s="2042"/>
      <c r="AY6" s="2043"/>
      <c r="AZ6" s="2044"/>
    </row>
    <row r="7" spans="1:52" ht="14.25" customHeight="1">
      <c r="A7" s="2296"/>
      <c r="B7" s="2303"/>
      <c r="C7" s="2304"/>
      <c r="D7" s="2311"/>
      <c r="E7" s="2268"/>
      <c r="F7" s="2269"/>
      <c r="G7" s="1955"/>
      <c r="H7" s="1956"/>
      <c r="I7" s="1956"/>
      <c r="J7" s="1957"/>
      <c r="K7" s="1955"/>
      <c r="L7" s="1957"/>
      <c r="M7" s="2293"/>
      <c r="N7" s="2294"/>
      <c r="O7" s="2290"/>
      <c r="P7" s="2291"/>
      <c r="Q7" s="2292"/>
      <c r="R7" s="2270"/>
      <c r="S7" s="2271"/>
      <c r="T7" s="2272"/>
      <c r="U7" s="2215" t="s">
        <v>317</v>
      </c>
      <c r="V7" s="2216"/>
      <c r="W7" s="678">
        <v>1</v>
      </c>
      <c r="X7" s="680"/>
      <c r="Y7" s="681"/>
      <c r="Z7" s="2199" t="s">
        <v>318</v>
      </c>
      <c r="AA7" s="2200"/>
      <c r="AB7" s="2201"/>
      <c r="AC7" s="2042"/>
      <c r="AD7" s="2044"/>
      <c r="AE7" s="2212" t="s">
        <v>319</v>
      </c>
      <c r="AF7" s="2212" t="s">
        <v>320</v>
      </c>
      <c r="AH7" s="160"/>
      <c r="AI7" s="161"/>
      <c r="AJ7" s="2268"/>
      <c r="AK7" s="2269"/>
      <c r="AL7" s="2213"/>
      <c r="AM7" s="2042"/>
      <c r="AN7" s="2043"/>
      <c r="AO7" s="2044"/>
      <c r="AP7" s="2042"/>
      <c r="AQ7" s="2042"/>
      <c r="AR7" s="2043"/>
      <c r="AS7" s="2044"/>
      <c r="AT7" s="2042"/>
      <c r="AU7" s="2044"/>
      <c r="AV7" s="2213"/>
      <c r="AW7" s="2213"/>
      <c r="AX7" s="27"/>
      <c r="AZ7" s="28"/>
    </row>
    <row r="8" spans="1:52" ht="14.25" customHeight="1">
      <c r="A8" s="2296"/>
      <c r="B8" s="2303"/>
      <c r="C8" s="2304"/>
      <c r="D8" s="2311"/>
      <c r="E8" s="2268"/>
      <c r="F8" s="2269"/>
      <c r="G8" s="1955"/>
      <c r="H8" s="1956"/>
      <c r="I8" s="1956"/>
      <c r="J8" s="1957"/>
      <c r="K8" s="1955"/>
      <c r="L8" s="1957"/>
      <c r="M8" s="2293"/>
      <c r="N8" s="2294"/>
      <c r="O8" s="2290"/>
      <c r="P8" s="2291"/>
      <c r="Q8" s="2292"/>
      <c r="R8" s="2270"/>
      <c r="S8" s="2271"/>
      <c r="T8" s="2272"/>
      <c r="U8" s="2215" t="s">
        <v>321</v>
      </c>
      <c r="V8" s="2216"/>
      <c r="W8" s="678">
        <v>2</v>
      </c>
      <c r="X8" s="703"/>
      <c r="Y8" s="704"/>
      <c r="Z8" s="2199"/>
      <c r="AA8" s="2200"/>
      <c r="AB8" s="2201"/>
      <c r="AC8" s="705"/>
      <c r="AD8" s="1025"/>
      <c r="AE8" s="2213"/>
      <c r="AF8" s="2213"/>
      <c r="AG8" s="30"/>
      <c r="AH8" s="160"/>
      <c r="AI8" s="161"/>
      <c r="AJ8" s="2268"/>
      <c r="AK8" s="2269"/>
      <c r="AL8" s="2213"/>
      <c r="AM8" s="2042"/>
      <c r="AN8" s="2043"/>
      <c r="AO8" s="2044"/>
      <c r="AP8" s="2042"/>
      <c r="AQ8" s="27"/>
      <c r="AS8" s="28"/>
      <c r="AT8" s="2043"/>
      <c r="AU8" s="2044"/>
      <c r="AV8" s="2213"/>
      <c r="AW8" s="2213"/>
      <c r="AX8" s="27"/>
      <c r="AZ8" s="28"/>
    </row>
    <row r="9" spans="1:52" ht="14.25" customHeight="1">
      <c r="A9" s="2296"/>
      <c r="B9" s="2305"/>
      <c r="C9" s="2306"/>
      <c r="D9" s="2311"/>
      <c r="E9" s="2268"/>
      <c r="F9" s="2269"/>
      <c r="G9" s="1955"/>
      <c r="H9" s="1956"/>
      <c r="I9" s="1956"/>
      <c r="J9" s="1957"/>
      <c r="K9" s="1955"/>
      <c r="L9" s="1957"/>
      <c r="M9" s="2293"/>
      <c r="N9" s="2294"/>
      <c r="O9" s="2290"/>
      <c r="P9" s="2291"/>
      <c r="Q9" s="2292"/>
      <c r="R9" s="2270"/>
      <c r="S9" s="2271"/>
      <c r="T9" s="2272"/>
      <c r="U9" s="2231" t="s">
        <v>322</v>
      </c>
      <c r="V9" s="2232"/>
      <c r="W9" s="2260">
        <v>3</v>
      </c>
      <c r="X9" s="26"/>
      <c r="Y9" s="28"/>
      <c r="AB9" s="28"/>
      <c r="AD9" s="28"/>
      <c r="AE9" s="2213"/>
      <c r="AF9" s="2213"/>
      <c r="AG9" s="30"/>
      <c r="AH9" s="160"/>
      <c r="AI9" s="161"/>
      <c r="AJ9" s="2268"/>
      <c r="AK9" s="2269"/>
      <c r="AL9" s="2213"/>
      <c r="AM9" s="2042"/>
      <c r="AN9" s="2043"/>
      <c r="AO9" s="2044"/>
      <c r="AP9" s="2042"/>
      <c r="AQ9" s="27"/>
      <c r="AS9" s="28"/>
      <c r="AT9" s="2043"/>
      <c r="AU9" s="2044"/>
      <c r="AV9" s="2213"/>
      <c r="AW9" s="2213"/>
      <c r="AX9" s="27"/>
      <c r="AZ9" s="28"/>
    </row>
    <row r="10" spans="1:52" ht="14.25" customHeight="1">
      <c r="A10" s="2296"/>
      <c r="B10" s="2305"/>
      <c r="C10" s="2306"/>
      <c r="D10" s="2311"/>
      <c r="E10" s="2268"/>
      <c r="F10" s="2269"/>
      <c r="K10" s="1955"/>
      <c r="L10" s="1957"/>
      <c r="M10" s="2293"/>
      <c r="N10" s="2294"/>
      <c r="O10" s="2290"/>
      <c r="P10" s="2291"/>
      <c r="Q10" s="2292"/>
      <c r="R10" s="2270"/>
      <c r="S10" s="2271"/>
      <c r="T10" s="2272"/>
      <c r="U10" s="2238"/>
      <c r="V10" s="2277"/>
      <c r="W10" s="2261"/>
      <c r="X10" s="26"/>
      <c r="Y10" s="166"/>
      <c r="AB10" s="28"/>
      <c r="AD10" s="2300"/>
      <c r="AE10" s="2213"/>
      <c r="AF10" s="2213"/>
      <c r="AG10" s="30"/>
      <c r="AH10" s="160"/>
      <c r="AI10" s="161"/>
      <c r="AJ10" s="2268"/>
      <c r="AK10" s="2269"/>
      <c r="AL10" s="2213"/>
      <c r="AM10" s="2042"/>
      <c r="AN10" s="2043"/>
      <c r="AO10" s="2044"/>
      <c r="AP10" s="2042"/>
      <c r="AQ10" s="27"/>
      <c r="AS10" s="28"/>
      <c r="AU10" s="5"/>
      <c r="AV10" s="2213"/>
      <c r="AW10" s="2213"/>
      <c r="AX10" s="27"/>
      <c r="AZ10" s="28"/>
    </row>
    <row r="11" spans="1:52" ht="14.25" customHeight="1">
      <c r="A11" s="2296"/>
      <c r="B11" s="2305"/>
      <c r="C11" s="2306"/>
      <c r="D11" s="2311"/>
      <c r="E11" s="2268"/>
      <c r="F11" s="2269"/>
      <c r="K11" s="261"/>
      <c r="L11" s="262"/>
      <c r="M11" s="2293"/>
      <c r="N11" s="2294"/>
      <c r="O11" s="2290"/>
      <c r="P11" s="2291"/>
      <c r="Q11" s="2292"/>
      <c r="R11" s="603"/>
      <c r="S11" s="602"/>
      <c r="T11" s="601"/>
      <c r="U11" s="2215" t="s">
        <v>323</v>
      </c>
      <c r="V11" s="2216"/>
      <c r="W11" s="679">
        <v>4</v>
      </c>
      <c r="X11" s="26"/>
      <c r="Y11" s="166"/>
      <c r="AA11" s="35"/>
      <c r="AB11" s="776"/>
      <c r="AC11" s="263"/>
      <c r="AD11" s="2300"/>
      <c r="AE11" s="2213"/>
      <c r="AF11" s="2213"/>
      <c r="AG11" s="30"/>
      <c r="AH11" s="160"/>
      <c r="AI11" s="1034"/>
      <c r="AJ11" s="2268"/>
      <c r="AK11" s="2269"/>
      <c r="AL11" s="2213"/>
      <c r="AM11" s="2042"/>
      <c r="AN11" s="2043"/>
      <c r="AO11" s="2044"/>
      <c r="AP11" s="2042"/>
      <c r="AQ11" s="794"/>
      <c r="AR11" s="795"/>
      <c r="AS11" s="796"/>
      <c r="AT11" s="406"/>
      <c r="AU11" s="600"/>
      <c r="AV11" s="2213"/>
      <c r="AW11" s="2213"/>
      <c r="AY11" s="160"/>
      <c r="AZ11" s="161"/>
    </row>
    <row r="12" spans="1:52" ht="14.25" customHeight="1">
      <c r="A12" s="2296"/>
      <c r="B12" s="2305"/>
      <c r="C12" s="2306"/>
      <c r="D12" s="2311"/>
      <c r="E12" s="2268"/>
      <c r="F12" s="2269"/>
      <c r="K12" s="261"/>
      <c r="L12" s="262"/>
      <c r="M12" s="2293"/>
      <c r="N12" s="2294"/>
      <c r="O12" s="2290"/>
      <c r="P12" s="2291"/>
      <c r="Q12" s="2292"/>
      <c r="R12" s="603"/>
      <c r="S12" s="602"/>
      <c r="T12" s="601"/>
      <c r="U12" s="2231" t="s">
        <v>324</v>
      </c>
      <c r="V12" s="2232"/>
      <c r="W12" s="2262">
        <v>5</v>
      </c>
      <c r="X12" s="26"/>
      <c r="Y12" s="166"/>
      <c r="Z12" s="2217" t="s">
        <v>325</v>
      </c>
      <c r="AA12" s="2225"/>
      <c r="AB12" s="1031">
        <v>1</v>
      </c>
      <c r="AC12" s="263"/>
      <c r="AD12" s="2300"/>
      <c r="AE12" s="2213"/>
      <c r="AF12" s="2213"/>
      <c r="AH12" s="311"/>
      <c r="AI12" s="312"/>
      <c r="AJ12" s="2268"/>
      <c r="AK12" s="2269"/>
      <c r="AL12" s="2213"/>
      <c r="AM12" s="2042"/>
      <c r="AN12" s="2043"/>
      <c r="AO12" s="2044"/>
      <c r="AP12" s="2042"/>
      <c r="AQ12" s="162"/>
      <c r="AR12" s="35"/>
      <c r="AS12" s="776"/>
      <c r="AT12" s="406"/>
      <c r="AU12" s="600"/>
      <c r="AV12" s="2213"/>
      <c r="AW12" s="2213"/>
      <c r="AY12" s="311"/>
      <c r="AZ12" s="312"/>
    </row>
    <row r="13" spans="1:52" ht="14.25" customHeight="1">
      <c r="A13" s="2296"/>
      <c r="B13" s="2305"/>
      <c r="C13" s="2306"/>
      <c r="D13" s="2311"/>
      <c r="E13" s="2268"/>
      <c r="F13" s="2269"/>
      <c r="G13" s="663"/>
      <c r="H13" s="654"/>
      <c r="I13" s="654"/>
      <c r="J13" s="664"/>
      <c r="K13" s="261"/>
      <c r="L13" s="262"/>
      <c r="M13" s="2293"/>
      <c r="N13" s="2294"/>
      <c r="P13" s="339"/>
      <c r="Q13" s="340"/>
      <c r="R13" s="591"/>
      <c r="S13" s="602"/>
      <c r="T13" s="601"/>
      <c r="U13" s="2238"/>
      <c r="V13" s="2277"/>
      <c r="W13" s="2263"/>
      <c r="X13" s="26"/>
      <c r="Y13" s="166"/>
      <c r="Z13" s="2217" t="s">
        <v>326</v>
      </c>
      <c r="AA13" s="2225"/>
      <c r="AB13" s="1031">
        <v>2</v>
      </c>
      <c r="AC13" s="263"/>
      <c r="AD13" s="1023"/>
      <c r="AE13" s="2213"/>
      <c r="AF13" s="2213"/>
      <c r="AG13" s="2199" t="s">
        <v>327</v>
      </c>
      <c r="AH13" s="2200"/>
      <c r="AI13" s="2201"/>
      <c r="AJ13" s="2268"/>
      <c r="AK13" s="2269"/>
      <c r="AL13" s="2213"/>
      <c r="AM13" s="30"/>
      <c r="AN13" s="160"/>
      <c r="AO13" s="161"/>
      <c r="AP13" s="30"/>
      <c r="AQ13" s="2217" t="s">
        <v>325</v>
      </c>
      <c r="AR13" s="2225"/>
      <c r="AS13" s="1031">
        <v>1</v>
      </c>
      <c r="AT13" s="406"/>
      <c r="AU13" s="600"/>
      <c r="AV13" s="2213"/>
      <c r="AW13" s="2213"/>
      <c r="AX13" s="2199" t="s">
        <v>327</v>
      </c>
      <c r="AY13" s="2200"/>
      <c r="AZ13" s="2201"/>
    </row>
    <row r="14" spans="1:52" ht="14.25" customHeight="1">
      <c r="A14" s="2296"/>
      <c r="B14" s="2305"/>
      <c r="C14" s="2306"/>
      <c r="D14" s="2311"/>
      <c r="E14" s="2268"/>
      <c r="F14" s="2269"/>
      <c r="J14" s="28"/>
      <c r="K14" s="261"/>
      <c r="L14" s="262"/>
      <c r="M14" s="2293"/>
      <c r="N14" s="2294"/>
      <c r="O14" s="424"/>
      <c r="P14" s="339"/>
      <c r="Q14" s="340"/>
      <c r="R14" s="603"/>
      <c r="S14" s="602"/>
      <c r="T14" s="601"/>
      <c r="U14" s="2231" t="s">
        <v>328</v>
      </c>
      <c r="V14" s="2232"/>
      <c r="W14" s="2262">
        <v>6</v>
      </c>
      <c r="X14" s="26"/>
      <c r="Y14" s="166"/>
      <c r="Z14" s="2217" t="s">
        <v>329</v>
      </c>
      <c r="AA14" s="2225"/>
      <c r="AB14" s="1031">
        <v>3</v>
      </c>
      <c r="AD14" s="1023"/>
      <c r="AE14" s="2213"/>
      <c r="AF14" s="2213"/>
      <c r="AG14" s="2199"/>
      <c r="AH14" s="2200"/>
      <c r="AI14" s="2201"/>
      <c r="AJ14" s="2268"/>
      <c r="AK14" s="2269"/>
      <c r="AL14" s="2213"/>
      <c r="AM14" s="30"/>
      <c r="AN14" s="160"/>
      <c r="AO14" s="161"/>
      <c r="AP14" s="30"/>
      <c r="AQ14" s="2217" t="s">
        <v>326</v>
      </c>
      <c r="AR14" s="2157"/>
      <c r="AS14" s="1031">
        <v>2</v>
      </c>
      <c r="AT14" s="406"/>
      <c r="AU14" s="600"/>
      <c r="AV14" s="2213"/>
      <c r="AW14" s="2213"/>
      <c r="AX14" s="2199"/>
      <c r="AY14" s="2200"/>
      <c r="AZ14" s="2201"/>
    </row>
    <row r="15" spans="1:52" ht="14.25" customHeight="1">
      <c r="A15" s="2296"/>
      <c r="B15" s="2305"/>
      <c r="C15" s="2306"/>
      <c r="D15" s="2311"/>
      <c r="E15" s="2268"/>
      <c r="F15" s="2269"/>
      <c r="K15" s="261"/>
      <c r="L15" s="262"/>
      <c r="M15" s="2293"/>
      <c r="N15" s="2294"/>
      <c r="P15" s="425"/>
      <c r="Q15" s="282"/>
      <c r="R15" s="591"/>
      <c r="S15" s="965"/>
      <c r="T15" s="966"/>
      <c r="U15" s="2238"/>
      <c r="V15" s="2277"/>
      <c r="W15" s="2263"/>
      <c r="X15" s="26"/>
      <c r="Y15" s="166"/>
      <c r="Z15" s="2217" t="s">
        <v>330</v>
      </c>
      <c r="AA15" s="2225"/>
      <c r="AB15" s="665">
        <v>4</v>
      </c>
      <c r="AD15" s="28"/>
      <c r="AE15" s="2213"/>
      <c r="AF15" s="2213"/>
      <c r="AG15" s="2199"/>
      <c r="AH15" s="2200"/>
      <c r="AI15" s="2201"/>
      <c r="AK15" s="308"/>
      <c r="AL15" s="2213"/>
      <c r="AN15" s="311"/>
      <c r="AO15" s="312"/>
      <c r="AP15" s="30"/>
      <c r="AQ15" s="2217" t="s">
        <v>329</v>
      </c>
      <c r="AR15" s="2157"/>
      <c r="AS15" s="1031">
        <v>3</v>
      </c>
      <c r="AT15" s="406"/>
      <c r="AU15" s="600"/>
      <c r="AW15" s="2213"/>
      <c r="AX15" s="2199"/>
      <c r="AY15" s="2200"/>
      <c r="AZ15" s="2201"/>
    </row>
    <row r="16" spans="1:52" ht="14.25" customHeight="1">
      <c r="A16" s="2296"/>
      <c r="B16" s="2307"/>
      <c r="C16" s="2308"/>
      <c r="D16" s="2311"/>
      <c r="E16" s="2268"/>
      <c r="F16" s="2269"/>
      <c r="G16" s="2120" t="s">
        <v>331</v>
      </c>
      <c r="H16" s="2157"/>
      <c r="I16" s="561">
        <v>1</v>
      </c>
      <c r="J16" s="962"/>
      <c r="K16" s="46"/>
      <c r="L16" s="262"/>
      <c r="M16" s="2293"/>
      <c r="N16" s="2294"/>
      <c r="O16" s="2206" t="s">
        <v>332</v>
      </c>
      <c r="P16" s="2207"/>
      <c r="Q16" s="2208"/>
      <c r="R16" s="2278" t="s">
        <v>333</v>
      </c>
      <c r="S16" s="2279"/>
      <c r="T16" s="2280"/>
      <c r="U16" s="2217" t="s">
        <v>334</v>
      </c>
      <c r="V16" s="2225"/>
      <c r="W16" s="678">
        <v>7</v>
      </c>
      <c r="X16" s="26"/>
      <c r="Y16" s="777">
        <f>AJ3</f>
        <v>-3.139999999999997</v>
      </c>
      <c r="Z16" s="2217" t="s">
        <v>335</v>
      </c>
      <c r="AA16" s="2225"/>
      <c r="AB16" s="665">
        <v>5</v>
      </c>
      <c r="AC16" s="2231" t="s">
        <v>336</v>
      </c>
      <c r="AD16" s="2218">
        <v>1</v>
      </c>
      <c r="AE16" s="2213"/>
      <c r="AF16" s="2213"/>
      <c r="AG16" s="2202"/>
      <c r="AH16" s="2203"/>
      <c r="AI16" s="2204"/>
      <c r="AJ16" s="309"/>
      <c r="AK16" s="308"/>
      <c r="AL16" s="2213"/>
      <c r="AM16" s="310"/>
      <c r="AN16" s="311"/>
      <c r="AO16" s="312"/>
      <c r="AP16" s="30"/>
      <c r="AQ16" s="2217" t="s">
        <v>330</v>
      </c>
      <c r="AR16" s="2157"/>
      <c r="AS16" s="665">
        <v>4</v>
      </c>
      <c r="AT16" s="2231" t="s">
        <v>336</v>
      </c>
      <c r="AU16" s="2218">
        <v>1</v>
      </c>
      <c r="AV16" s="2243" t="s">
        <v>337</v>
      </c>
      <c r="AW16" s="2213"/>
      <c r="AX16" s="2199"/>
      <c r="AY16" s="2200"/>
      <c r="AZ16" s="2201"/>
    </row>
    <row r="17" spans="1:52" ht="14.25" customHeight="1">
      <c r="A17" s="2296"/>
      <c r="B17" s="2307"/>
      <c r="C17" s="2308"/>
      <c r="D17" s="441"/>
      <c r="E17" s="2268"/>
      <c r="F17" s="2269"/>
      <c r="G17" s="2120" t="s">
        <v>338</v>
      </c>
      <c r="H17" s="2157"/>
      <c r="I17" s="561">
        <v>2</v>
      </c>
      <c r="J17" s="28"/>
      <c r="K17" s="46"/>
      <c r="L17" s="262"/>
      <c r="M17" s="2293"/>
      <c r="N17" s="2294"/>
      <c r="O17" s="2206"/>
      <c r="P17" s="2207"/>
      <c r="Q17" s="2208"/>
      <c r="R17" s="2278"/>
      <c r="S17" s="2279"/>
      <c r="T17" s="2280"/>
      <c r="U17" s="2231" t="s">
        <v>339</v>
      </c>
      <c r="V17" s="2232"/>
      <c r="W17" s="2262">
        <v>8</v>
      </c>
      <c r="X17" s="26"/>
      <c r="Y17" s="28"/>
      <c r="Z17" s="2219" t="s">
        <v>340</v>
      </c>
      <c r="AA17" s="2220"/>
      <c r="AB17" s="2223">
        <v>6</v>
      </c>
      <c r="AC17" s="2237"/>
      <c r="AD17" s="2240"/>
      <c r="AE17" s="2213"/>
      <c r="AF17" s="2213"/>
      <c r="AG17" s="2233" t="s">
        <v>341</v>
      </c>
      <c r="AH17" s="2234"/>
      <c r="AI17" s="2218">
        <v>1</v>
      </c>
      <c r="AJ17" s="2244" t="s">
        <v>342</v>
      </c>
      <c r="AK17" s="2245"/>
      <c r="AL17" s="29"/>
      <c r="AM17" s="2199" t="s">
        <v>343</v>
      </c>
      <c r="AN17" s="2200"/>
      <c r="AO17" s="2201"/>
      <c r="AP17" s="1029"/>
      <c r="AQ17" s="2217" t="s">
        <v>335</v>
      </c>
      <c r="AR17" s="2157"/>
      <c r="AS17" s="665">
        <v>5</v>
      </c>
      <c r="AT17" s="2237"/>
      <c r="AU17" s="2240"/>
      <c r="AV17" s="2243"/>
      <c r="AW17" s="2213"/>
    </row>
    <row r="18" spans="1:52" ht="14.25" customHeight="1">
      <c r="A18" s="2296"/>
      <c r="B18" s="2307"/>
      <c r="C18" s="2308"/>
      <c r="D18" s="441"/>
      <c r="E18" s="2268"/>
      <c r="F18" s="2269"/>
      <c r="G18" s="2145" t="s">
        <v>344</v>
      </c>
      <c r="H18" s="2159"/>
      <c r="I18" s="2205">
        <v>3</v>
      </c>
      <c r="J18" s="28"/>
      <c r="K18" s="46"/>
      <c r="L18" s="262"/>
      <c r="M18" s="2293"/>
      <c r="N18" s="2294"/>
      <c r="O18" s="2206"/>
      <c r="P18" s="2207"/>
      <c r="Q18" s="2208"/>
      <c r="R18" s="2278"/>
      <c r="S18" s="2279"/>
      <c r="T18" s="2280"/>
      <c r="U18" s="2238"/>
      <c r="V18" s="2277"/>
      <c r="W18" s="2263"/>
      <c r="X18" s="26"/>
      <c r="Y18" s="306"/>
      <c r="Z18" s="2221"/>
      <c r="AA18" s="2222"/>
      <c r="AB18" s="2224"/>
      <c r="AC18" s="2238"/>
      <c r="AD18" s="2154"/>
      <c r="AE18" s="2213"/>
      <c r="AF18" s="2213"/>
      <c r="AG18" s="2229"/>
      <c r="AH18" s="2230"/>
      <c r="AI18" s="2235"/>
      <c r="AJ18" s="2244"/>
      <c r="AK18" s="2245"/>
      <c r="AL18" s="29"/>
      <c r="AM18" s="2199"/>
      <c r="AN18" s="2200"/>
      <c r="AO18" s="2201"/>
      <c r="AP18" s="1029"/>
      <c r="AQ18" s="2231" t="s">
        <v>340</v>
      </c>
      <c r="AR18" s="2159"/>
      <c r="AS18" s="2218">
        <v>6</v>
      </c>
      <c r="AT18" s="2238"/>
      <c r="AU18" s="2154"/>
      <c r="AV18" s="2243"/>
      <c r="AW18" s="2213"/>
      <c r="AX18" s="2197" t="s">
        <v>341</v>
      </c>
      <c r="AY18" s="2198"/>
      <c r="AZ18" s="1024">
        <v>1</v>
      </c>
    </row>
    <row r="19" spans="1:52" ht="14.25" customHeight="1">
      <c r="A19" s="2296"/>
      <c r="B19" s="2307"/>
      <c r="C19" s="2308"/>
      <c r="D19" s="441"/>
      <c r="E19" s="2268"/>
      <c r="F19" s="2269"/>
      <c r="G19" s="2146"/>
      <c r="H19" s="2160"/>
      <c r="I19" s="2188"/>
      <c r="J19" s="28"/>
      <c r="K19" s="46"/>
      <c r="L19" s="262"/>
      <c r="M19" s="2293"/>
      <c r="N19" s="2294"/>
      <c r="O19" s="2206"/>
      <c r="P19" s="2207"/>
      <c r="Q19" s="2208"/>
      <c r="R19" s="2278"/>
      <c r="S19" s="2279"/>
      <c r="T19" s="2280"/>
      <c r="U19" s="2217" t="s">
        <v>345</v>
      </c>
      <c r="V19" s="2225"/>
      <c r="W19" s="678">
        <v>9</v>
      </c>
      <c r="X19" s="26"/>
      <c r="Y19" s="28"/>
      <c r="Z19" s="2217" t="s">
        <v>346</v>
      </c>
      <c r="AA19" s="2225"/>
      <c r="AB19" s="2226">
        <v>7</v>
      </c>
      <c r="AC19" s="2231" t="s">
        <v>347</v>
      </c>
      <c r="AD19" s="2218">
        <v>2</v>
      </c>
      <c r="AE19" s="2213"/>
      <c r="AF19" s="2213"/>
      <c r="AG19" s="2231" t="s">
        <v>348</v>
      </c>
      <c r="AH19" s="2232"/>
      <c r="AI19" s="1024">
        <v>2</v>
      </c>
      <c r="AJ19" s="2244"/>
      <c r="AK19" s="2245"/>
      <c r="AL19" s="29"/>
      <c r="AM19" s="2199"/>
      <c r="AN19" s="2200"/>
      <c r="AO19" s="2201"/>
      <c r="AP19" s="1029"/>
      <c r="AQ19" s="2146"/>
      <c r="AR19" s="2160"/>
      <c r="AS19" s="2154"/>
      <c r="AT19" s="2231" t="s">
        <v>347</v>
      </c>
      <c r="AU19" s="2218">
        <v>2</v>
      </c>
      <c r="AV19" s="2243"/>
      <c r="AW19" s="2213"/>
      <c r="AX19" s="2217" t="s">
        <v>348</v>
      </c>
      <c r="AY19" s="2225"/>
      <c r="AZ19" s="1024">
        <v>2</v>
      </c>
    </row>
    <row r="20" spans="1:52" ht="14.25" customHeight="1">
      <c r="A20" s="2296"/>
      <c r="B20" s="2307"/>
      <c r="C20" s="2308"/>
      <c r="D20" s="441"/>
      <c r="E20" s="2268"/>
      <c r="F20" s="2269"/>
      <c r="G20" s="2145" t="s">
        <v>349</v>
      </c>
      <c r="H20" s="2159"/>
      <c r="I20" s="2205">
        <v>4</v>
      </c>
      <c r="J20" s="28"/>
      <c r="K20" s="46"/>
      <c r="L20" s="262"/>
      <c r="M20" s="2293"/>
      <c r="N20" s="2294"/>
      <c r="O20" s="2206"/>
      <c r="P20" s="2207"/>
      <c r="Q20" s="2208"/>
      <c r="R20" s="2278"/>
      <c r="S20" s="2279"/>
      <c r="T20" s="2280"/>
      <c r="U20" s="2231" t="s">
        <v>350</v>
      </c>
      <c r="V20" s="2232"/>
      <c r="W20" s="2262">
        <v>10</v>
      </c>
      <c r="X20" s="26"/>
      <c r="Y20" s="166"/>
      <c r="Z20" s="2217"/>
      <c r="AA20" s="2225"/>
      <c r="AB20" s="2226"/>
      <c r="AC20" s="2146"/>
      <c r="AD20" s="2154"/>
      <c r="AE20" s="2213"/>
      <c r="AF20" s="2213"/>
      <c r="AG20" s="2217" t="s">
        <v>351</v>
      </c>
      <c r="AH20" s="2225"/>
      <c r="AI20" s="1031">
        <v>3</v>
      </c>
      <c r="AJ20" s="2244"/>
      <c r="AK20" s="2245"/>
      <c r="AL20" s="29"/>
      <c r="AM20" s="2199"/>
      <c r="AN20" s="2200"/>
      <c r="AO20" s="2201"/>
      <c r="AP20" s="1030"/>
      <c r="AQ20" s="2231" t="s">
        <v>346</v>
      </c>
      <c r="AR20" s="2159"/>
      <c r="AS20" s="2218">
        <v>7</v>
      </c>
      <c r="AT20" s="2146"/>
      <c r="AU20" s="2154"/>
      <c r="AV20" s="2243"/>
      <c r="AW20" s="2213"/>
      <c r="AX20" s="2217" t="s">
        <v>351</v>
      </c>
      <c r="AY20" s="2225"/>
      <c r="AZ20" s="1031">
        <v>3</v>
      </c>
    </row>
    <row r="21" spans="1:52" ht="14.25" customHeight="1">
      <c r="A21" s="2296"/>
      <c r="B21" s="2309"/>
      <c r="C21" s="2310"/>
      <c r="D21" s="441"/>
      <c r="E21" s="2268"/>
      <c r="F21" s="2269"/>
      <c r="G21" s="2146"/>
      <c r="H21" s="2160"/>
      <c r="I21" s="2188"/>
      <c r="J21" s="963">
        <f>M3</f>
        <v>-3.0599999999999987</v>
      </c>
      <c r="M21" s="27"/>
      <c r="N21" s="28"/>
      <c r="O21" s="2206"/>
      <c r="P21" s="2207"/>
      <c r="Q21" s="2208"/>
      <c r="R21" s="2278"/>
      <c r="S21" s="2279"/>
      <c r="T21" s="2280"/>
      <c r="U21" s="2238"/>
      <c r="V21" s="2277"/>
      <c r="W21" s="2263"/>
      <c r="X21" s="26"/>
      <c r="Y21" s="166"/>
      <c r="Z21" s="2217" t="s">
        <v>352</v>
      </c>
      <c r="AA21" s="2225"/>
      <c r="AB21" s="2226">
        <v>8</v>
      </c>
      <c r="AC21" s="2231" t="s">
        <v>353</v>
      </c>
      <c r="AD21" s="2218">
        <v>3</v>
      </c>
      <c r="AE21" s="2213"/>
      <c r="AF21" s="2213"/>
      <c r="AG21" s="2217" t="s">
        <v>354</v>
      </c>
      <c r="AH21" s="2225"/>
      <c r="AI21" s="1024">
        <v>4</v>
      </c>
      <c r="AJ21" s="2244"/>
      <c r="AK21" s="2245"/>
      <c r="AL21" s="29"/>
      <c r="AM21" s="2199"/>
      <c r="AN21" s="2200"/>
      <c r="AO21" s="2201"/>
      <c r="AP21" s="1033"/>
      <c r="AQ21" s="2146"/>
      <c r="AR21" s="2160"/>
      <c r="AS21" s="2154"/>
      <c r="AT21" s="2231" t="s">
        <v>353</v>
      </c>
      <c r="AU21" s="2218">
        <v>3</v>
      </c>
      <c r="AV21" s="2243"/>
      <c r="AW21" s="2213"/>
      <c r="AX21" s="2217" t="s">
        <v>354</v>
      </c>
      <c r="AY21" s="2225"/>
      <c r="AZ21" s="1024">
        <v>4</v>
      </c>
    </row>
    <row r="22" spans="1:52" ht="14.25" customHeight="1">
      <c r="A22" s="2296"/>
      <c r="B22" s="442"/>
      <c r="C22" s="442"/>
      <c r="D22" s="441"/>
      <c r="G22" s="2145" t="s">
        <v>355</v>
      </c>
      <c r="H22" s="2159"/>
      <c r="I22" s="2150">
        <v>5</v>
      </c>
      <c r="J22" s="28"/>
      <c r="K22" s="960" t="s">
        <v>356</v>
      </c>
      <c r="L22" s="666">
        <v>1</v>
      </c>
      <c r="O22" s="2209"/>
      <c r="P22" s="2210"/>
      <c r="Q22" s="2211"/>
      <c r="R22" s="2281"/>
      <c r="S22" s="2282"/>
      <c r="T22" s="2283"/>
      <c r="U22" s="2217" t="s">
        <v>357</v>
      </c>
      <c r="V22" s="2157"/>
      <c r="W22" s="678">
        <v>11</v>
      </c>
      <c r="X22" s="26"/>
      <c r="Y22" s="166"/>
      <c r="Z22" s="2217"/>
      <c r="AA22" s="2225"/>
      <c r="AB22" s="2226"/>
      <c r="AC22" s="2146"/>
      <c r="AD22" s="2154"/>
      <c r="AE22" s="2213"/>
      <c r="AF22" s="2213"/>
      <c r="AG22" s="2197" t="s">
        <v>358</v>
      </c>
      <c r="AH22" s="2198"/>
      <c r="AI22" s="1024">
        <v>5</v>
      </c>
      <c r="AJ22" s="2246"/>
      <c r="AK22" s="2247"/>
      <c r="AL22" s="29"/>
      <c r="AM22" s="2202"/>
      <c r="AN22" s="2203"/>
      <c r="AO22" s="2204"/>
      <c r="AP22" s="1020"/>
      <c r="AQ22" s="2231" t="s">
        <v>352</v>
      </c>
      <c r="AR22" s="2159"/>
      <c r="AS22" s="2218">
        <v>8</v>
      </c>
      <c r="AT22" s="2146"/>
      <c r="AU22" s="2154"/>
      <c r="AV22" s="2243"/>
      <c r="AW22" s="2213"/>
      <c r="AX22" s="2197" t="s">
        <v>358</v>
      </c>
      <c r="AY22" s="2198"/>
      <c r="AZ22" s="1024">
        <v>5</v>
      </c>
    </row>
    <row r="23" spans="1:52" ht="14.25" customHeight="1">
      <c r="A23" s="2296"/>
      <c r="B23" s="676" t="s">
        <v>104</v>
      </c>
      <c r="C23" s="770" t="s">
        <v>151</v>
      </c>
      <c r="D23" s="443"/>
      <c r="E23" s="659" t="s">
        <v>104</v>
      </c>
      <c r="F23" s="772" t="s">
        <v>151</v>
      </c>
      <c r="G23" s="2146"/>
      <c r="H23" s="2160"/>
      <c r="I23" s="2153"/>
      <c r="J23" s="28"/>
      <c r="K23" s="669" t="s">
        <v>359</v>
      </c>
      <c r="L23" s="573">
        <v>2</v>
      </c>
      <c r="O23" s="2301" t="s">
        <v>104</v>
      </c>
      <c r="P23" s="2302"/>
      <c r="Q23" s="774" t="s">
        <v>151</v>
      </c>
      <c r="R23" s="2275" t="s">
        <v>104</v>
      </c>
      <c r="S23" s="2276"/>
      <c r="T23" s="770">
        <v>1</v>
      </c>
      <c r="U23" s="2217" t="s">
        <v>360</v>
      </c>
      <c r="V23" s="2225"/>
      <c r="W23" s="678">
        <v>12</v>
      </c>
      <c r="X23" s="26"/>
      <c r="Y23" s="166"/>
      <c r="Z23" s="2215" t="s">
        <v>361</v>
      </c>
      <c r="AA23" s="2216"/>
      <c r="AB23" s="573">
        <v>9</v>
      </c>
      <c r="AC23" s="563" t="s">
        <v>179</v>
      </c>
      <c r="AD23" s="573">
        <v>4</v>
      </c>
      <c r="AE23" s="2213"/>
      <c r="AF23" s="2213"/>
      <c r="AG23" s="2197" t="s">
        <v>362</v>
      </c>
      <c r="AH23" s="2198"/>
      <c r="AI23" s="1024">
        <v>6</v>
      </c>
      <c r="AJ23" s="563" t="s">
        <v>104</v>
      </c>
      <c r="AK23" s="775">
        <v>1</v>
      </c>
      <c r="AL23" s="303"/>
      <c r="AM23" s="563" t="s">
        <v>104</v>
      </c>
      <c r="AN23" s="686">
        <v>1</v>
      </c>
      <c r="AO23" s="687"/>
      <c r="AP23" s="599"/>
      <c r="AQ23" s="2146"/>
      <c r="AR23" s="2160"/>
      <c r="AS23" s="2154"/>
      <c r="AT23" s="563" t="s">
        <v>179</v>
      </c>
      <c r="AU23" s="573">
        <v>4</v>
      </c>
      <c r="AV23" s="2143" t="s">
        <v>363</v>
      </c>
      <c r="AW23" s="2143" t="s">
        <v>363</v>
      </c>
      <c r="AX23" s="2197" t="s">
        <v>362</v>
      </c>
      <c r="AY23" s="2198"/>
      <c r="AZ23" s="1024">
        <v>6</v>
      </c>
    </row>
    <row r="24" spans="1:52" ht="14.25" customHeight="1">
      <c r="A24" s="2296"/>
      <c r="B24" s="674"/>
      <c r="C24" s="958">
        <f>E3</f>
        <v>-3.0299999999999994</v>
      </c>
      <c r="D24" s="444"/>
      <c r="E24" s="673"/>
      <c r="F24" s="959">
        <f>K3</f>
        <v>-3.0499999999999989</v>
      </c>
      <c r="G24" s="2120" t="s">
        <v>364</v>
      </c>
      <c r="H24" s="2157"/>
      <c r="I24" s="561">
        <v>6</v>
      </c>
      <c r="J24" s="28"/>
      <c r="K24" s="961" t="s">
        <v>365</v>
      </c>
      <c r="L24" s="668">
        <v>3</v>
      </c>
      <c r="M24" s="671" t="s">
        <v>104</v>
      </c>
      <c r="N24" s="573">
        <v>1</v>
      </c>
      <c r="O24" s="598"/>
      <c r="P24" s="673"/>
      <c r="Q24" s="959">
        <f>+Z3</f>
        <v>-3.0999999999999979</v>
      </c>
      <c r="R24" s="2275" t="s">
        <v>108</v>
      </c>
      <c r="S24" s="2276"/>
      <c r="T24" s="770" t="s">
        <v>282</v>
      </c>
      <c r="U24" s="2217" t="s">
        <v>366</v>
      </c>
      <c r="V24" s="2157"/>
      <c r="W24" s="678">
        <v>13</v>
      </c>
      <c r="X24" s="26"/>
      <c r="Y24" s="166"/>
      <c r="Z24" s="2217" t="s">
        <v>367</v>
      </c>
      <c r="AA24" s="2225"/>
      <c r="AB24" s="1031">
        <v>10</v>
      </c>
      <c r="AC24" s="563" t="s">
        <v>368</v>
      </c>
      <c r="AD24" s="683">
        <v>5</v>
      </c>
      <c r="AE24" s="222"/>
      <c r="AF24" s="2213"/>
      <c r="AG24" s="2229" t="s">
        <v>369</v>
      </c>
      <c r="AH24" s="2230"/>
      <c r="AI24" s="1024">
        <v>7</v>
      </c>
      <c r="AJ24" s="50" t="s">
        <v>108</v>
      </c>
      <c r="AK24" s="1035" t="s">
        <v>282</v>
      </c>
      <c r="AL24" s="303"/>
      <c r="AM24" s="50" t="s">
        <v>108</v>
      </c>
      <c r="AN24" s="1032">
        <v>2</v>
      </c>
      <c r="AO24" s="688" t="s">
        <v>370</v>
      </c>
      <c r="AP24" s="597"/>
      <c r="AQ24" s="2215" t="s">
        <v>361</v>
      </c>
      <c r="AR24" s="2216"/>
      <c r="AS24" s="573">
        <v>9</v>
      </c>
      <c r="AT24" s="563" t="s">
        <v>368</v>
      </c>
      <c r="AU24" s="683">
        <v>5</v>
      </c>
      <c r="AV24" s="2143"/>
      <c r="AW24" s="2143"/>
      <c r="AX24" s="2197" t="s">
        <v>369</v>
      </c>
      <c r="AY24" s="2198"/>
      <c r="AZ24" s="1024">
        <v>7</v>
      </c>
    </row>
    <row r="25" spans="1:52" ht="14.25" customHeight="1">
      <c r="A25" s="2296"/>
      <c r="B25" s="677" t="s">
        <v>108</v>
      </c>
      <c r="C25" s="771">
        <v>2</v>
      </c>
      <c r="D25" s="2313" t="s">
        <v>185</v>
      </c>
      <c r="E25" s="660" t="s">
        <v>108</v>
      </c>
      <c r="F25" s="773">
        <v>2</v>
      </c>
      <c r="G25" s="637" t="s">
        <v>112</v>
      </c>
      <c r="H25" s="1019"/>
      <c r="I25" s="561">
        <v>7</v>
      </c>
      <c r="J25" s="776"/>
      <c r="K25" s="669" t="s">
        <v>112</v>
      </c>
      <c r="L25" s="670">
        <v>4</v>
      </c>
      <c r="M25" s="667" t="s">
        <v>108</v>
      </c>
      <c r="N25" s="641">
        <v>2</v>
      </c>
      <c r="O25" s="2215" t="s">
        <v>108</v>
      </c>
      <c r="P25" s="2216"/>
      <c r="Q25" s="775">
        <v>2</v>
      </c>
      <c r="R25" s="596"/>
      <c r="S25" s="675"/>
      <c r="T25" s="964">
        <f>+AJ3</f>
        <v>-3.139999999999997</v>
      </c>
      <c r="U25" s="2217" t="s">
        <v>112</v>
      </c>
      <c r="V25" s="2225"/>
      <c r="W25" s="678">
        <v>14</v>
      </c>
      <c r="X25" s="36"/>
      <c r="Y25" s="305"/>
      <c r="Z25" s="2215" t="s">
        <v>371</v>
      </c>
      <c r="AA25" s="2236"/>
      <c r="AB25" s="665">
        <v>11</v>
      </c>
      <c r="AC25" s="563" t="s">
        <v>112</v>
      </c>
      <c r="AD25" s="683">
        <v>6</v>
      </c>
      <c r="AE25" s="304"/>
      <c r="AF25" s="2214"/>
      <c r="AG25" s="2197" t="s">
        <v>112</v>
      </c>
      <c r="AH25" s="2198"/>
      <c r="AI25" s="1024">
        <v>8</v>
      </c>
      <c r="AJ25" s="673"/>
      <c r="AK25" s="959">
        <f>AM3</f>
        <v>-3.1599999999999966</v>
      </c>
      <c r="AL25" s="303"/>
      <c r="AM25" s="2239">
        <v>-3.23</v>
      </c>
      <c r="AN25" s="2111"/>
      <c r="AO25" s="2112"/>
      <c r="AP25" s="595"/>
      <c r="AQ25" s="2215" t="s">
        <v>371</v>
      </c>
      <c r="AR25" s="2236"/>
      <c r="AS25" s="665">
        <v>10</v>
      </c>
      <c r="AT25" s="563" t="s">
        <v>112</v>
      </c>
      <c r="AU25" s="683">
        <v>6</v>
      </c>
      <c r="AV25" s="2144"/>
      <c r="AW25" s="2144"/>
      <c r="AX25" s="2197" t="s">
        <v>112</v>
      </c>
      <c r="AY25" s="2198"/>
      <c r="AZ25" s="1024">
        <v>8</v>
      </c>
    </row>
    <row r="26" spans="1:52" ht="14.25" customHeight="1">
      <c r="A26" s="2297"/>
      <c r="B26" s="445"/>
      <c r="C26" s="446"/>
      <c r="D26" s="2314"/>
      <c r="E26" s="150"/>
      <c r="F26" s="151"/>
      <c r="G26" s="31"/>
      <c r="H26" s="23"/>
      <c r="I26" s="23"/>
      <c r="J26" s="32"/>
      <c r="L26" s="32"/>
      <c r="M26" s="31"/>
      <c r="N26" s="32"/>
      <c r="O26" s="594"/>
      <c r="Q26" s="592"/>
      <c r="R26" s="593"/>
      <c r="S26" s="591"/>
      <c r="T26" s="590"/>
      <c r="U26" s="33"/>
      <c r="V26" s="35"/>
      <c r="W26" s="36"/>
      <c r="X26" s="36"/>
      <c r="Y26" s="305"/>
      <c r="Z26" s="682" t="s">
        <v>372</v>
      </c>
      <c r="AA26" s="2241" t="s">
        <v>373</v>
      </c>
      <c r="AB26" s="2242"/>
      <c r="AC26" s="23"/>
      <c r="AD26" s="32"/>
      <c r="AE26" s="684" t="s">
        <v>293</v>
      </c>
      <c r="AF26" s="684" t="s">
        <v>293</v>
      </c>
      <c r="AG26" s="684" t="s">
        <v>374</v>
      </c>
      <c r="AH26" s="2227" t="s">
        <v>375</v>
      </c>
      <c r="AI26" s="2228"/>
      <c r="AJ26" s="37"/>
      <c r="AK26" s="38"/>
      <c r="AL26" s="684" t="s">
        <v>293</v>
      </c>
      <c r="AM26" s="31"/>
      <c r="AN26" s="23"/>
      <c r="AO26" s="32"/>
      <c r="AP26" s="1037" t="s">
        <v>376</v>
      </c>
      <c r="AQ26" s="682" t="s">
        <v>372</v>
      </c>
      <c r="AR26" s="2241" t="s">
        <v>373</v>
      </c>
      <c r="AS26" s="2242"/>
      <c r="AV26" s="684" t="s">
        <v>293</v>
      </c>
      <c r="AW26" s="684" t="s">
        <v>293</v>
      </c>
      <c r="AX26" s="685" t="s">
        <v>374</v>
      </c>
      <c r="AY26" s="2227" t="s">
        <v>375</v>
      </c>
      <c r="AZ26" s="2228"/>
    </row>
    <row r="27" spans="1:52" s="50" customFormat="1" ht="16.899999999999999" customHeight="1">
      <c r="A27" s="480">
        <v>1</v>
      </c>
      <c r="B27" s="1377"/>
      <c r="C27" s="1378"/>
      <c r="D27" s="1379"/>
      <c r="E27" s="2286"/>
      <c r="F27" s="2287"/>
      <c r="G27" s="1382"/>
      <c r="H27" s="1382"/>
      <c r="I27" s="1382"/>
      <c r="J27" s="1382"/>
      <c r="K27" s="1380"/>
      <c r="L27" s="1381"/>
      <c r="M27" s="1383"/>
      <c r="N27" s="1384"/>
      <c r="O27" s="1385"/>
      <c r="P27" s="1386"/>
      <c r="Q27" s="1387"/>
      <c r="R27" s="1388"/>
      <c r="S27" s="1389"/>
      <c r="T27" s="1390"/>
      <c r="U27" s="1383"/>
      <c r="V27" s="1391"/>
      <c r="W27" s="1391"/>
      <c r="X27" s="1391"/>
      <c r="Y27" s="1384"/>
      <c r="Z27" s="1383"/>
      <c r="AA27" s="2286"/>
      <c r="AB27" s="2287"/>
      <c r="AC27" s="1391"/>
      <c r="AD27" s="1384"/>
      <c r="AE27" s="1383"/>
      <c r="AF27" s="1392"/>
      <c r="AG27" s="1383"/>
      <c r="AH27" s="1383"/>
      <c r="AI27" s="1381"/>
      <c r="AJ27" s="1391"/>
      <c r="AK27" s="1384"/>
      <c r="AL27" s="1392"/>
      <c r="AM27" s="1383"/>
      <c r="AN27" s="1391"/>
      <c r="AO27" s="1384"/>
      <c r="AP27" s="1391"/>
      <c r="AQ27" s="1392"/>
      <c r="AR27" s="1391"/>
      <c r="AS27" s="1384"/>
      <c r="AT27" s="1383"/>
      <c r="AU27" s="1384"/>
      <c r="AV27" s="1392"/>
      <c r="AW27" s="1393"/>
      <c r="AX27" s="1393"/>
      <c r="AY27" s="1369"/>
      <c r="AZ27" s="1368"/>
    </row>
    <row r="28" spans="1:52" s="50" customFormat="1" ht="16.899999999999999" customHeight="1">
      <c r="A28" s="480">
        <v>2</v>
      </c>
      <c r="B28" s="1377"/>
      <c r="C28" s="1378"/>
      <c r="D28" s="1379"/>
      <c r="E28" s="2286"/>
      <c r="F28" s="2287"/>
      <c r="G28" s="1382"/>
      <c r="H28" s="1382"/>
      <c r="I28" s="1382"/>
      <c r="J28" s="1382"/>
      <c r="K28" s="1380"/>
      <c r="L28" s="1381"/>
      <c r="M28" s="1383"/>
      <c r="N28" s="1384"/>
      <c r="O28" s="1394"/>
      <c r="P28" s="1395"/>
      <c r="Q28" s="1396"/>
      <c r="R28" s="1397"/>
      <c r="S28" s="1398"/>
      <c r="T28" s="1399"/>
      <c r="U28" s="1383"/>
      <c r="V28" s="1391"/>
      <c r="W28" s="1391"/>
      <c r="X28" s="1391"/>
      <c r="Y28" s="1384"/>
      <c r="Z28" s="1383"/>
      <c r="AA28" s="2286"/>
      <c r="AB28" s="2287"/>
      <c r="AC28" s="1391"/>
      <c r="AD28" s="1384"/>
      <c r="AE28" s="1383"/>
      <c r="AF28" s="1392"/>
      <c r="AG28" s="1383"/>
      <c r="AH28" s="1383"/>
      <c r="AI28" s="1381"/>
      <c r="AJ28" s="1391"/>
      <c r="AK28" s="1384"/>
      <c r="AL28" s="1392"/>
      <c r="AM28" s="1383"/>
      <c r="AN28" s="1391"/>
      <c r="AO28" s="1384"/>
      <c r="AP28" s="1391"/>
      <c r="AQ28" s="1392"/>
      <c r="AR28" s="1391"/>
      <c r="AS28" s="1384"/>
      <c r="AT28" s="1383"/>
      <c r="AU28" s="1384"/>
      <c r="AV28" s="1392"/>
      <c r="AW28" s="1400"/>
      <c r="AX28" s="1400"/>
      <c r="AY28" s="1382"/>
      <c r="AZ28" s="1381"/>
    </row>
    <row r="29" spans="1:52" s="50" customFormat="1" ht="16.899999999999999" customHeight="1" thickBot="1">
      <c r="A29" s="481">
        <v>3</v>
      </c>
      <c r="B29" s="1401"/>
      <c r="C29" s="1402"/>
      <c r="D29" s="1403"/>
      <c r="E29" s="2288"/>
      <c r="F29" s="2289"/>
      <c r="G29" s="1406"/>
      <c r="H29" s="1406"/>
      <c r="I29" s="1406"/>
      <c r="J29" s="1406"/>
      <c r="K29" s="1404"/>
      <c r="L29" s="1405"/>
      <c r="M29" s="1407"/>
      <c r="N29" s="1408"/>
      <c r="O29" s="1409"/>
      <c r="P29" s="1410"/>
      <c r="Q29" s="1411"/>
      <c r="R29" s="1412"/>
      <c r="S29" s="1413"/>
      <c r="T29" s="1414"/>
      <c r="U29" s="1407"/>
      <c r="V29" s="1415"/>
      <c r="W29" s="1415"/>
      <c r="X29" s="1415"/>
      <c r="Y29" s="1408"/>
      <c r="Z29" s="1407"/>
      <c r="AA29" s="2288"/>
      <c r="AB29" s="2289"/>
      <c r="AC29" s="1415"/>
      <c r="AD29" s="1408"/>
      <c r="AE29" s="1407"/>
      <c r="AF29" s="1416"/>
      <c r="AG29" s="1407"/>
      <c r="AH29" s="1407"/>
      <c r="AI29" s="1405"/>
      <c r="AJ29" s="1415"/>
      <c r="AK29" s="1408"/>
      <c r="AL29" s="1416"/>
      <c r="AM29" s="1407"/>
      <c r="AN29" s="1415"/>
      <c r="AO29" s="1408"/>
      <c r="AP29" s="1415"/>
      <c r="AQ29" s="1416"/>
      <c r="AR29" s="1415"/>
      <c r="AS29" s="1408"/>
      <c r="AT29" s="1407"/>
      <c r="AU29" s="1408"/>
      <c r="AV29" s="1416"/>
      <c r="AW29" s="1417"/>
      <c r="AX29" s="1417"/>
      <c r="AY29" s="1418"/>
      <c r="AZ29" s="1419"/>
    </row>
    <row r="30" spans="1:52" s="50" customFormat="1" ht="16.899999999999999" customHeight="1" thickTop="1">
      <c r="A30" s="480">
        <v>4</v>
      </c>
      <c r="B30" s="1377"/>
      <c r="C30" s="1378"/>
      <c r="D30" s="1379"/>
      <c r="E30" s="2284"/>
      <c r="F30" s="2285"/>
      <c r="G30" s="1370"/>
      <c r="H30" s="1370"/>
      <c r="I30" s="1370"/>
      <c r="J30" s="1370"/>
      <c r="K30" s="1037"/>
      <c r="L30" s="1371"/>
      <c r="M30" s="1383"/>
      <c r="N30" s="1384"/>
      <c r="O30" s="1385" t="s">
        <v>275</v>
      </c>
      <c r="P30" s="1386"/>
      <c r="Q30" s="1387"/>
      <c r="R30" s="1388"/>
      <c r="S30" s="1389"/>
      <c r="T30" s="1390"/>
      <c r="U30" s="1383"/>
      <c r="V30" s="1391"/>
      <c r="W30" s="1391"/>
      <c r="X30" s="1391"/>
      <c r="Y30" s="1384"/>
      <c r="Z30" s="1383"/>
      <c r="AA30" s="2284"/>
      <c r="AB30" s="2285"/>
      <c r="AC30" s="1391"/>
      <c r="AD30" s="1384"/>
      <c r="AE30" s="1383"/>
      <c r="AF30" s="1392"/>
      <c r="AG30" s="1383"/>
      <c r="AH30" s="1383"/>
      <c r="AI30" s="1381"/>
      <c r="AJ30" s="1391"/>
      <c r="AK30" s="1384"/>
      <c r="AL30" s="1392"/>
      <c r="AM30" s="1383"/>
      <c r="AN30" s="1391"/>
      <c r="AO30" s="1384"/>
      <c r="AP30" s="1391"/>
      <c r="AQ30" s="1392"/>
      <c r="AR30" s="1391"/>
      <c r="AS30" s="1384"/>
      <c r="AT30" s="1383"/>
      <c r="AU30" s="1384"/>
      <c r="AV30" s="1392"/>
      <c r="AW30" s="1393"/>
      <c r="AX30" s="1393"/>
      <c r="AY30" s="1369"/>
      <c r="AZ30" s="1368"/>
    </row>
    <row r="31" spans="1:52" s="50" customFormat="1" ht="16.899999999999999" customHeight="1">
      <c r="A31" s="480">
        <v>5</v>
      </c>
      <c r="B31" s="1377"/>
      <c r="C31" s="1378"/>
      <c r="D31" s="1379"/>
      <c r="E31" s="2286"/>
      <c r="F31" s="2287"/>
      <c r="G31" s="1382"/>
      <c r="H31" s="1382"/>
      <c r="I31" s="1382"/>
      <c r="J31" s="1382"/>
      <c r="K31" s="1380"/>
      <c r="L31" s="1381"/>
      <c r="M31" s="1383"/>
      <c r="N31" s="1384"/>
      <c r="O31" s="1394"/>
      <c r="P31" s="1395"/>
      <c r="Q31" s="1396"/>
      <c r="R31" s="1397"/>
      <c r="S31" s="1398"/>
      <c r="T31" s="1399"/>
      <c r="U31" s="1383"/>
      <c r="V31" s="1391"/>
      <c r="W31" s="1391"/>
      <c r="X31" s="1391"/>
      <c r="Y31" s="1384"/>
      <c r="Z31" s="1383"/>
      <c r="AA31" s="2286"/>
      <c r="AB31" s="2287"/>
      <c r="AC31" s="1391"/>
      <c r="AD31" s="1384"/>
      <c r="AE31" s="1383"/>
      <c r="AF31" s="1392"/>
      <c r="AG31" s="1383"/>
      <c r="AH31" s="1383"/>
      <c r="AI31" s="1381"/>
      <c r="AJ31" s="1391"/>
      <c r="AK31" s="1384"/>
      <c r="AL31" s="1392"/>
      <c r="AM31" s="1383"/>
      <c r="AN31" s="1391"/>
      <c r="AO31" s="1384"/>
      <c r="AP31" s="1391"/>
      <c r="AQ31" s="1392"/>
      <c r="AR31" s="1391"/>
      <c r="AS31" s="1384"/>
      <c r="AT31" s="1383"/>
      <c r="AU31" s="1384"/>
      <c r="AV31" s="1392"/>
      <c r="AW31" s="1400"/>
      <c r="AX31" s="1400"/>
      <c r="AY31" s="1382"/>
      <c r="AZ31" s="1381"/>
    </row>
    <row r="32" spans="1:52" s="50" customFormat="1" ht="16.899999999999999" customHeight="1" thickBot="1">
      <c r="A32" s="481">
        <v>6</v>
      </c>
      <c r="B32" s="1401"/>
      <c r="C32" s="1402"/>
      <c r="D32" s="1403"/>
      <c r="E32" s="2288"/>
      <c r="F32" s="2289"/>
      <c r="G32" s="1406"/>
      <c r="H32" s="1406"/>
      <c r="I32" s="1406"/>
      <c r="J32" s="1406"/>
      <c r="K32" s="1404"/>
      <c r="L32" s="1405"/>
      <c r="M32" s="1407"/>
      <c r="N32" s="1408"/>
      <c r="O32" s="1409"/>
      <c r="P32" s="1410"/>
      <c r="Q32" s="1411"/>
      <c r="R32" s="1412"/>
      <c r="S32" s="1413"/>
      <c r="T32" s="1414"/>
      <c r="U32" s="1407"/>
      <c r="V32" s="1415"/>
      <c r="W32" s="1415"/>
      <c r="X32" s="1415"/>
      <c r="Y32" s="1408"/>
      <c r="Z32" s="1407"/>
      <c r="AA32" s="2288"/>
      <c r="AB32" s="2289"/>
      <c r="AC32" s="1415"/>
      <c r="AD32" s="1408"/>
      <c r="AE32" s="1407"/>
      <c r="AF32" s="1416"/>
      <c r="AG32" s="1407"/>
      <c r="AH32" s="1407"/>
      <c r="AI32" s="1405"/>
      <c r="AJ32" s="1415"/>
      <c r="AK32" s="1408"/>
      <c r="AL32" s="1416"/>
      <c r="AM32" s="1407"/>
      <c r="AN32" s="1415"/>
      <c r="AO32" s="1408"/>
      <c r="AP32" s="1415"/>
      <c r="AQ32" s="1416"/>
      <c r="AR32" s="1415"/>
      <c r="AS32" s="1408"/>
      <c r="AT32" s="1407"/>
      <c r="AU32" s="1408"/>
      <c r="AV32" s="1416"/>
      <c r="AW32" s="1417"/>
      <c r="AX32" s="1417"/>
      <c r="AY32" s="1418"/>
      <c r="AZ32" s="1419"/>
    </row>
    <row r="33" spans="1:52" s="50" customFormat="1" ht="16.899999999999999" customHeight="1" thickTop="1">
      <c r="A33" s="480">
        <v>7</v>
      </c>
      <c r="B33" s="1377"/>
      <c r="C33" s="1378"/>
      <c r="D33" s="1379"/>
      <c r="E33" s="2284"/>
      <c r="F33" s="2285"/>
      <c r="G33" s="1370"/>
      <c r="H33" s="1370"/>
      <c r="I33" s="1370"/>
      <c r="J33" s="1370"/>
      <c r="K33" s="1037"/>
      <c r="L33" s="1371"/>
      <c r="M33" s="1383"/>
      <c r="N33" s="1384"/>
      <c r="O33" s="1385"/>
      <c r="P33" s="1386"/>
      <c r="Q33" s="1387"/>
      <c r="R33" s="1388"/>
      <c r="S33" s="1389"/>
      <c r="T33" s="1390"/>
      <c r="U33" s="1383"/>
      <c r="V33" s="1391"/>
      <c r="W33" s="1391"/>
      <c r="X33" s="1391"/>
      <c r="Y33" s="1384"/>
      <c r="Z33" s="1383"/>
      <c r="AA33" s="2286"/>
      <c r="AB33" s="2287"/>
      <c r="AC33" s="1391"/>
      <c r="AD33" s="1384"/>
      <c r="AE33" s="1383"/>
      <c r="AF33" s="1392"/>
      <c r="AG33" s="1383"/>
      <c r="AH33" s="1383"/>
      <c r="AI33" s="1381"/>
      <c r="AJ33" s="1391"/>
      <c r="AK33" s="1384"/>
      <c r="AL33" s="1392"/>
      <c r="AM33" s="1383"/>
      <c r="AN33" s="1391"/>
      <c r="AO33" s="1384"/>
      <c r="AP33" s="1391"/>
      <c r="AQ33" s="1392"/>
      <c r="AR33" s="1391"/>
      <c r="AS33" s="1384"/>
      <c r="AT33" s="1383"/>
      <c r="AU33" s="1384"/>
      <c r="AV33" s="1392"/>
      <c r="AW33" s="1393"/>
      <c r="AX33" s="1393"/>
      <c r="AY33" s="1369"/>
      <c r="AZ33" s="1368"/>
    </row>
    <row r="34" spans="1:52" s="50" customFormat="1" ht="16.899999999999999" customHeight="1">
      <c r="A34" s="480">
        <v>8</v>
      </c>
      <c r="B34" s="1377"/>
      <c r="C34" s="1378"/>
      <c r="D34" s="1379"/>
      <c r="E34" s="2286"/>
      <c r="F34" s="2287"/>
      <c r="G34" s="1382"/>
      <c r="H34" s="1382"/>
      <c r="I34" s="1382"/>
      <c r="J34" s="1382"/>
      <c r="K34" s="1380"/>
      <c r="L34" s="1381"/>
      <c r="M34" s="1383"/>
      <c r="N34" s="1384"/>
      <c r="O34" s="1394"/>
      <c r="P34" s="1395"/>
      <c r="Q34" s="1396"/>
      <c r="R34" s="1397"/>
      <c r="S34" s="1398"/>
      <c r="T34" s="1399"/>
      <c r="U34" s="1383"/>
      <c r="V34" s="1391"/>
      <c r="W34" s="1391"/>
      <c r="X34" s="1391"/>
      <c r="Y34" s="1384"/>
      <c r="Z34" s="1383"/>
      <c r="AA34" s="2286"/>
      <c r="AB34" s="2287"/>
      <c r="AC34" s="1391"/>
      <c r="AD34" s="1384"/>
      <c r="AE34" s="1383"/>
      <c r="AF34" s="1392"/>
      <c r="AG34" s="1383"/>
      <c r="AH34" s="1383"/>
      <c r="AI34" s="1381"/>
      <c r="AJ34" s="1391"/>
      <c r="AK34" s="1384"/>
      <c r="AL34" s="1392"/>
      <c r="AM34" s="1383"/>
      <c r="AN34" s="1391"/>
      <c r="AO34" s="1384"/>
      <c r="AP34" s="1391"/>
      <c r="AQ34" s="1392"/>
      <c r="AR34" s="1391"/>
      <c r="AS34" s="1384"/>
      <c r="AT34" s="1383"/>
      <c r="AU34" s="1384"/>
      <c r="AV34" s="1392"/>
      <c r="AW34" s="1400"/>
      <c r="AX34" s="1400"/>
      <c r="AY34" s="1382"/>
      <c r="AZ34" s="1381"/>
    </row>
    <row r="35" spans="1:52" s="50" customFormat="1" ht="16.899999999999999" customHeight="1" thickBot="1">
      <c r="A35" s="481">
        <v>9</v>
      </c>
      <c r="B35" s="1401"/>
      <c r="C35" s="1402"/>
      <c r="D35" s="1403"/>
      <c r="E35" s="2288"/>
      <c r="F35" s="2289"/>
      <c r="G35" s="1406"/>
      <c r="H35" s="1406"/>
      <c r="I35" s="1406"/>
      <c r="J35" s="1406"/>
      <c r="K35" s="1404"/>
      <c r="L35" s="1405"/>
      <c r="M35" s="1407"/>
      <c r="N35" s="1408"/>
      <c r="O35" s="1409"/>
      <c r="P35" s="1410"/>
      <c r="Q35" s="1411"/>
      <c r="R35" s="1412"/>
      <c r="S35" s="1413"/>
      <c r="T35" s="1414"/>
      <c r="U35" s="1407"/>
      <c r="V35" s="1415"/>
      <c r="W35" s="1415"/>
      <c r="X35" s="1415"/>
      <c r="Y35" s="1408"/>
      <c r="Z35" s="1407"/>
      <c r="AA35" s="2288"/>
      <c r="AB35" s="2289"/>
      <c r="AC35" s="1415"/>
      <c r="AD35" s="1408"/>
      <c r="AE35" s="1407"/>
      <c r="AF35" s="1416"/>
      <c r="AG35" s="1407"/>
      <c r="AH35" s="1407"/>
      <c r="AI35" s="1405"/>
      <c r="AJ35" s="1415"/>
      <c r="AK35" s="1408"/>
      <c r="AL35" s="1416"/>
      <c r="AM35" s="1407"/>
      <c r="AN35" s="1415"/>
      <c r="AO35" s="1408"/>
      <c r="AP35" s="1415"/>
      <c r="AQ35" s="1416"/>
      <c r="AR35" s="1415"/>
      <c r="AS35" s="1408"/>
      <c r="AT35" s="1407"/>
      <c r="AU35" s="1408"/>
      <c r="AV35" s="1416"/>
      <c r="AW35" s="1417"/>
      <c r="AX35" s="1417"/>
      <c r="AY35" s="1418"/>
      <c r="AZ35" s="1419"/>
    </row>
    <row r="36" spans="1:52" s="50" customFormat="1" ht="16.899999999999999" customHeight="1" thickTop="1">
      <c r="A36" s="480">
        <v>10</v>
      </c>
      <c r="B36" s="1377"/>
      <c r="C36" s="1378"/>
      <c r="D36" s="1379"/>
      <c r="E36" s="2284"/>
      <c r="F36" s="2285"/>
      <c r="G36" s="1370"/>
      <c r="H36" s="1370"/>
      <c r="I36" s="1370"/>
      <c r="J36" s="1370"/>
      <c r="K36" s="1037"/>
      <c r="L36" s="1371"/>
      <c r="M36" s="1383"/>
      <c r="N36" s="1384"/>
      <c r="O36" s="1422"/>
      <c r="P36" s="1423"/>
      <c r="Q36" s="1424"/>
      <c r="R36" s="1425"/>
      <c r="S36" s="1426"/>
      <c r="T36" s="1427"/>
      <c r="U36" s="1383"/>
      <c r="V36" s="1391"/>
      <c r="W36" s="1391"/>
      <c r="X36" s="1391"/>
      <c r="Y36" s="1384"/>
      <c r="Z36" s="1383"/>
      <c r="AA36" s="2286"/>
      <c r="AB36" s="2287"/>
      <c r="AC36" s="1391"/>
      <c r="AD36" s="1384"/>
      <c r="AE36" s="1383"/>
      <c r="AF36" s="1392"/>
      <c r="AG36" s="1383"/>
      <c r="AH36" s="1383"/>
      <c r="AI36" s="1381"/>
      <c r="AJ36" s="1391"/>
      <c r="AK36" s="1384"/>
      <c r="AL36" s="1392"/>
      <c r="AM36" s="1383"/>
      <c r="AN36" s="1391"/>
      <c r="AO36" s="1384"/>
      <c r="AP36" s="1391"/>
      <c r="AQ36" s="1392"/>
      <c r="AR36" s="1391"/>
      <c r="AS36" s="1384"/>
      <c r="AT36" s="1383"/>
      <c r="AU36" s="1384"/>
      <c r="AV36" s="1392"/>
      <c r="AW36" s="1393"/>
      <c r="AX36" s="1393"/>
      <c r="AY36" s="1369"/>
      <c r="AZ36" s="1368"/>
    </row>
    <row r="37" spans="1:52" s="50" customFormat="1" ht="16.899999999999999" customHeight="1">
      <c r="A37" s="480">
        <v>11</v>
      </c>
      <c r="B37" s="1377"/>
      <c r="C37" s="1378"/>
      <c r="D37" s="1379"/>
      <c r="E37" s="2286"/>
      <c r="F37" s="2287"/>
      <c r="G37" s="1382"/>
      <c r="H37" s="1382"/>
      <c r="I37" s="1382"/>
      <c r="J37" s="1382"/>
      <c r="K37" s="1380"/>
      <c r="L37" s="1381"/>
      <c r="M37" s="1383"/>
      <c r="N37" s="1384"/>
      <c r="O37" s="1394"/>
      <c r="P37" s="1395"/>
      <c r="Q37" s="1396"/>
      <c r="R37" s="1397"/>
      <c r="S37" s="1398"/>
      <c r="T37" s="1399"/>
      <c r="U37" s="1383"/>
      <c r="V37" s="1391"/>
      <c r="W37" s="1391"/>
      <c r="X37" s="1391"/>
      <c r="Y37" s="1384"/>
      <c r="Z37" s="1383"/>
      <c r="AA37" s="2286"/>
      <c r="AB37" s="2287"/>
      <c r="AC37" s="1391"/>
      <c r="AD37" s="1384"/>
      <c r="AE37" s="1383"/>
      <c r="AF37" s="1392"/>
      <c r="AG37" s="1383"/>
      <c r="AH37" s="1383"/>
      <c r="AI37" s="1381"/>
      <c r="AJ37" s="1391"/>
      <c r="AK37" s="1384"/>
      <c r="AL37" s="1392"/>
      <c r="AM37" s="1383"/>
      <c r="AN37" s="1391"/>
      <c r="AO37" s="1384"/>
      <c r="AP37" s="1391"/>
      <c r="AQ37" s="1392"/>
      <c r="AR37" s="1391"/>
      <c r="AS37" s="1384"/>
      <c r="AT37" s="1383"/>
      <c r="AU37" s="1384"/>
      <c r="AV37" s="1392"/>
      <c r="AW37" s="1400"/>
      <c r="AX37" s="1400"/>
      <c r="AY37" s="1382"/>
      <c r="AZ37" s="1381"/>
    </row>
    <row r="38" spans="1:52" s="50" customFormat="1" ht="16.899999999999999" customHeight="1" thickBot="1">
      <c r="A38" s="481">
        <v>12</v>
      </c>
      <c r="B38" s="1401"/>
      <c r="C38" s="1402"/>
      <c r="D38" s="1403"/>
      <c r="E38" s="2288"/>
      <c r="F38" s="2289"/>
      <c r="G38" s="1406"/>
      <c r="H38" s="1406"/>
      <c r="I38" s="1406"/>
      <c r="J38" s="1406"/>
      <c r="K38" s="1404"/>
      <c r="L38" s="1405"/>
      <c r="M38" s="1407"/>
      <c r="N38" s="1408"/>
      <c r="O38" s="1409"/>
      <c r="P38" s="1410"/>
      <c r="Q38" s="1411"/>
      <c r="R38" s="1412"/>
      <c r="S38" s="1413"/>
      <c r="T38" s="1414"/>
      <c r="U38" s="1407"/>
      <c r="V38" s="1415"/>
      <c r="W38" s="1415"/>
      <c r="X38" s="1415"/>
      <c r="Y38" s="1408"/>
      <c r="Z38" s="1407"/>
      <c r="AA38" s="2288"/>
      <c r="AB38" s="2289"/>
      <c r="AC38" s="1415"/>
      <c r="AD38" s="1408"/>
      <c r="AE38" s="1407"/>
      <c r="AF38" s="1416"/>
      <c r="AG38" s="1407"/>
      <c r="AH38" s="1407"/>
      <c r="AI38" s="1405"/>
      <c r="AJ38" s="1415"/>
      <c r="AK38" s="1408"/>
      <c r="AL38" s="1416"/>
      <c r="AM38" s="1407"/>
      <c r="AN38" s="1415"/>
      <c r="AO38" s="1408"/>
      <c r="AP38" s="1415"/>
      <c r="AQ38" s="1416"/>
      <c r="AR38" s="1415"/>
      <c r="AS38" s="1408"/>
      <c r="AT38" s="1407"/>
      <c r="AU38" s="1408"/>
      <c r="AV38" s="1416"/>
      <c r="AW38" s="1417"/>
      <c r="AX38" s="1417"/>
      <c r="AY38" s="1418"/>
      <c r="AZ38" s="1419"/>
    </row>
    <row r="39" spans="1:52" s="50" customFormat="1" ht="16.899999999999999" customHeight="1" thickTop="1">
      <c r="A39" s="482">
        <v>13</v>
      </c>
      <c r="B39" s="1428"/>
      <c r="C39" s="1429"/>
      <c r="D39" s="1430"/>
      <c r="E39" s="2284"/>
      <c r="F39" s="2285"/>
      <c r="G39" s="1431"/>
      <c r="H39" s="1431"/>
      <c r="I39" s="1431"/>
      <c r="J39" s="1431"/>
      <c r="K39" s="1420"/>
      <c r="L39" s="1421"/>
      <c r="M39" s="1432"/>
      <c r="N39" s="1433"/>
      <c r="O39" s="1385"/>
      <c r="P39" s="1386"/>
      <c r="Q39" s="1387"/>
      <c r="R39" s="1388"/>
      <c r="S39" s="1389"/>
      <c r="T39" s="1390"/>
      <c r="U39" s="1432"/>
      <c r="V39" s="1434"/>
      <c r="W39" s="1434"/>
      <c r="X39" s="1434"/>
      <c r="Y39" s="1433"/>
      <c r="Z39" s="1432"/>
      <c r="AA39" s="2284"/>
      <c r="AB39" s="2285"/>
      <c r="AC39" s="1434"/>
      <c r="AD39" s="1433"/>
      <c r="AE39" s="1432"/>
      <c r="AF39" s="1435"/>
      <c r="AG39" s="1432"/>
      <c r="AH39" s="1432"/>
      <c r="AI39" s="1421"/>
      <c r="AJ39" s="1434"/>
      <c r="AK39" s="1433"/>
      <c r="AL39" s="1435"/>
      <c r="AM39" s="1432"/>
      <c r="AN39" s="1434"/>
      <c r="AO39" s="1433"/>
      <c r="AP39" s="1434"/>
      <c r="AQ39" s="1435"/>
      <c r="AR39" s="1434"/>
      <c r="AS39" s="1433"/>
      <c r="AT39" s="1432"/>
      <c r="AU39" s="1433"/>
      <c r="AV39" s="1435"/>
      <c r="AW39" s="1393"/>
      <c r="AX39" s="1436"/>
      <c r="AY39" s="104"/>
      <c r="AZ39" s="1153"/>
    </row>
    <row r="40" spans="1:52" s="50" customFormat="1" ht="16.899999999999999" customHeight="1">
      <c r="A40" s="480">
        <v>14</v>
      </c>
      <c r="B40" s="1377"/>
      <c r="C40" s="1378"/>
      <c r="D40" s="1379"/>
      <c r="E40" s="2286"/>
      <c r="F40" s="2287"/>
      <c r="G40" s="1382"/>
      <c r="H40" s="1382"/>
      <c r="I40" s="1382"/>
      <c r="J40" s="1382"/>
      <c r="K40" s="1380"/>
      <c r="L40" s="1381"/>
      <c r="M40" s="1383"/>
      <c r="N40" s="1384"/>
      <c r="O40" s="1437"/>
      <c r="P40" s="1438"/>
      <c r="Q40" s="1439"/>
      <c r="R40" s="1440"/>
      <c r="S40" s="1441"/>
      <c r="T40" s="1442"/>
      <c r="U40" s="1383"/>
      <c r="V40" s="1391"/>
      <c r="W40" s="1391"/>
      <c r="X40" s="1391"/>
      <c r="Y40" s="1384"/>
      <c r="Z40" s="1383"/>
      <c r="AA40" s="2286"/>
      <c r="AB40" s="2287"/>
      <c r="AC40" s="1391"/>
      <c r="AD40" s="1384"/>
      <c r="AE40" s="1383"/>
      <c r="AF40" s="1392"/>
      <c r="AG40" s="1383"/>
      <c r="AH40" s="1383"/>
      <c r="AI40" s="1381"/>
      <c r="AJ40" s="1391"/>
      <c r="AK40" s="1384"/>
      <c r="AL40" s="1392"/>
      <c r="AM40" s="1383"/>
      <c r="AN40" s="1391"/>
      <c r="AO40" s="1384"/>
      <c r="AP40" s="1391"/>
      <c r="AQ40" s="1392"/>
      <c r="AR40" s="1391"/>
      <c r="AS40" s="1384"/>
      <c r="AT40" s="1383"/>
      <c r="AU40" s="1384"/>
      <c r="AV40" s="1392"/>
      <c r="AW40" s="1400"/>
      <c r="AX40" s="1400"/>
      <c r="AY40" s="1382"/>
      <c r="AZ40" s="1381"/>
    </row>
    <row r="41" spans="1:52" s="50" customFormat="1" ht="16.899999999999999" customHeight="1">
      <c r="A41" s="480">
        <v>15</v>
      </c>
      <c r="B41" s="1377"/>
      <c r="C41" s="1378"/>
      <c r="D41" s="1379"/>
      <c r="E41" s="2286"/>
      <c r="F41" s="2287"/>
      <c r="G41" s="1382"/>
      <c r="H41" s="1382"/>
      <c r="I41" s="1382"/>
      <c r="J41" s="1382"/>
      <c r="K41" s="1380"/>
      <c r="L41" s="1381"/>
      <c r="M41" s="1383"/>
      <c r="N41" s="1384"/>
      <c r="O41" s="1443"/>
      <c r="P41" s="1386"/>
      <c r="Q41" s="1444"/>
      <c r="R41" s="1445"/>
      <c r="S41" s="1389"/>
      <c r="T41" s="1446"/>
      <c r="U41" s="1383"/>
      <c r="V41" s="1391"/>
      <c r="W41" s="1391"/>
      <c r="X41" s="1391"/>
      <c r="Y41" s="1384"/>
      <c r="Z41" s="1383"/>
      <c r="AA41" s="2286"/>
      <c r="AB41" s="2287"/>
      <c r="AC41" s="1391"/>
      <c r="AD41" s="1384"/>
      <c r="AE41" s="1383"/>
      <c r="AF41" s="1392"/>
      <c r="AG41" s="1383"/>
      <c r="AH41" s="1383"/>
      <c r="AI41" s="1381"/>
      <c r="AJ41" s="1391"/>
      <c r="AK41" s="1384"/>
      <c r="AL41" s="1392"/>
      <c r="AM41" s="1383"/>
      <c r="AN41" s="1391"/>
      <c r="AO41" s="1384"/>
      <c r="AP41" s="1391"/>
      <c r="AQ41" s="1392"/>
      <c r="AR41" s="1391"/>
      <c r="AS41" s="1384"/>
      <c r="AT41" s="1383"/>
      <c r="AU41" s="1384"/>
      <c r="AV41" s="1392"/>
      <c r="AW41" s="1400"/>
      <c r="AX41" s="1400"/>
      <c r="AY41" s="1382"/>
      <c r="AZ41" s="1381"/>
    </row>
  </sheetData>
  <mergeCells count="177">
    <mergeCell ref="AA41:AB41"/>
    <mergeCell ref="E41:F41"/>
    <mergeCell ref="E31:F31"/>
    <mergeCell ref="E32:F32"/>
    <mergeCell ref="E33:F33"/>
    <mergeCell ref="E34:F34"/>
    <mergeCell ref="E35:F35"/>
    <mergeCell ref="E36:F36"/>
    <mergeCell ref="E37:F37"/>
    <mergeCell ref="E38:F38"/>
    <mergeCell ref="AA40:AB40"/>
    <mergeCell ref="AA36:AB36"/>
    <mergeCell ref="AA39:AB39"/>
    <mergeCell ref="AA38:AB38"/>
    <mergeCell ref="AA35:AB35"/>
    <mergeCell ref="AA34:AB34"/>
    <mergeCell ref="AA37:AB37"/>
    <mergeCell ref="AA32:AB32"/>
    <mergeCell ref="AA33:AB33"/>
    <mergeCell ref="AA31:AB31"/>
    <mergeCell ref="E39:F39"/>
    <mergeCell ref="E40:F40"/>
    <mergeCell ref="A3:A26"/>
    <mergeCell ref="B3:C3"/>
    <mergeCell ref="AM3:AO3"/>
    <mergeCell ref="AL4:AL16"/>
    <mergeCell ref="AJ3:AK3"/>
    <mergeCell ref="AE3:AF3"/>
    <mergeCell ref="AD10:AD12"/>
    <mergeCell ref="U24:V24"/>
    <mergeCell ref="W17:W18"/>
    <mergeCell ref="W20:W21"/>
    <mergeCell ref="O23:P23"/>
    <mergeCell ref="U25:V25"/>
    <mergeCell ref="B4:C21"/>
    <mergeCell ref="K3:L3"/>
    <mergeCell ref="Z3:AB3"/>
    <mergeCell ref="D4:D16"/>
    <mergeCell ref="M3:N3"/>
    <mergeCell ref="G3:J3"/>
    <mergeCell ref="D25:D26"/>
    <mergeCell ref="AC3:AD3"/>
    <mergeCell ref="AC16:AC18"/>
    <mergeCell ref="AC19:AC20"/>
    <mergeCell ref="AC21:AC22"/>
    <mergeCell ref="AD16:AD18"/>
    <mergeCell ref="AA30:AB30"/>
    <mergeCell ref="K4:L10"/>
    <mergeCell ref="AA26:AB26"/>
    <mergeCell ref="AA27:AB27"/>
    <mergeCell ref="AA29:AB29"/>
    <mergeCell ref="O25:P25"/>
    <mergeCell ref="E30:F30"/>
    <mergeCell ref="AA28:AB28"/>
    <mergeCell ref="E4:F21"/>
    <mergeCell ref="E29:F29"/>
    <mergeCell ref="G4:J9"/>
    <mergeCell ref="E27:F27"/>
    <mergeCell ref="E28:F28"/>
    <mergeCell ref="G16:H16"/>
    <mergeCell ref="G24:H24"/>
    <mergeCell ref="O4:Q12"/>
    <mergeCell ref="M4:N20"/>
    <mergeCell ref="Z23:AA23"/>
    <mergeCell ref="Z25:AA25"/>
    <mergeCell ref="Z4:AB6"/>
    <mergeCell ref="Z7:AB8"/>
    <mergeCell ref="Z24:AA24"/>
    <mergeCell ref="Z19:AA20"/>
    <mergeCell ref="AB19:AB20"/>
    <mergeCell ref="E3:F3"/>
    <mergeCell ref="U3:Y3"/>
    <mergeCell ref="R23:S23"/>
    <mergeCell ref="R24:S24"/>
    <mergeCell ref="U14:V15"/>
    <mergeCell ref="U11:V11"/>
    <mergeCell ref="U8:V8"/>
    <mergeCell ref="U16:V16"/>
    <mergeCell ref="U7:V7"/>
    <mergeCell ref="U9:V10"/>
    <mergeCell ref="U12:V13"/>
    <mergeCell ref="U4:Y5"/>
    <mergeCell ref="W14:W15"/>
    <mergeCell ref="U17:V18"/>
    <mergeCell ref="U19:V19"/>
    <mergeCell ref="U20:V21"/>
    <mergeCell ref="U22:V22"/>
    <mergeCell ref="U23:V23"/>
    <mergeCell ref="R16:T22"/>
    <mergeCell ref="AX3:AZ3"/>
    <mergeCell ref="AX19:AY19"/>
    <mergeCell ref="AQ3:AS3"/>
    <mergeCell ref="AG3:AI3"/>
    <mergeCell ref="AG4:AI6"/>
    <mergeCell ref="O3:Q3"/>
    <mergeCell ref="R3:T3"/>
    <mergeCell ref="W9:W10"/>
    <mergeCell ref="W12:W13"/>
    <mergeCell ref="AX4:AZ6"/>
    <mergeCell ref="AP4:AP12"/>
    <mergeCell ref="AE7:AE23"/>
    <mergeCell ref="AE4:AF5"/>
    <mergeCell ref="AJ4:AK14"/>
    <mergeCell ref="R4:T10"/>
    <mergeCell ref="AG20:AH20"/>
    <mergeCell ref="Z12:AA12"/>
    <mergeCell ref="Z13:AA13"/>
    <mergeCell ref="AT3:AU3"/>
    <mergeCell ref="AV4:AV14"/>
    <mergeCell ref="AV23:AV25"/>
    <mergeCell ref="AM4:AO12"/>
    <mergeCell ref="Z21:AA22"/>
    <mergeCell ref="AX24:AY24"/>
    <mergeCell ref="AU21:AU22"/>
    <mergeCell ref="AR26:AS26"/>
    <mergeCell ref="AH26:AI26"/>
    <mergeCell ref="AW4:AW22"/>
    <mergeCell ref="AT4:AU9"/>
    <mergeCell ref="AV16:AV22"/>
    <mergeCell ref="AQ17:AR17"/>
    <mergeCell ref="AQ18:AR19"/>
    <mergeCell ref="AQ20:AR21"/>
    <mergeCell ref="AQ22:AR23"/>
    <mergeCell ref="AS18:AS19"/>
    <mergeCell ref="AS20:AS21"/>
    <mergeCell ref="AS22:AS23"/>
    <mergeCell ref="AQ13:AR13"/>
    <mergeCell ref="AJ17:AK22"/>
    <mergeCell ref="AM17:AO22"/>
    <mergeCell ref="Z15:AA15"/>
    <mergeCell ref="Z14:AA14"/>
    <mergeCell ref="AD21:AD22"/>
    <mergeCell ref="AB21:AB22"/>
    <mergeCell ref="AY26:AZ26"/>
    <mergeCell ref="AG24:AH24"/>
    <mergeCell ref="AG23:AH23"/>
    <mergeCell ref="AG22:AH22"/>
    <mergeCell ref="AG19:AH19"/>
    <mergeCell ref="AG17:AH18"/>
    <mergeCell ref="AG21:AH21"/>
    <mergeCell ref="AI17:AI18"/>
    <mergeCell ref="AQ25:AR25"/>
    <mergeCell ref="AX20:AY20"/>
    <mergeCell ref="AX21:AY21"/>
    <mergeCell ref="AX22:AY22"/>
    <mergeCell ref="AX23:AY23"/>
    <mergeCell ref="AT16:AT18"/>
    <mergeCell ref="AX25:AY25"/>
    <mergeCell ref="AM25:AO25"/>
    <mergeCell ref="AT19:AT20"/>
    <mergeCell ref="AT21:AT22"/>
    <mergeCell ref="AU16:AU18"/>
    <mergeCell ref="AU19:AU20"/>
    <mergeCell ref="AX18:AY18"/>
    <mergeCell ref="AX13:AZ16"/>
    <mergeCell ref="AG13:AI16"/>
    <mergeCell ref="G17:H17"/>
    <mergeCell ref="G18:H19"/>
    <mergeCell ref="G20:H21"/>
    <mergeCell ref="G22:H23"/>
    <mergeCell ref="I18:I19"/>
    <mergeCell ref="I20:I21"/>
    <mergeCell ref="I22:I23"/>
    <mergeCell ref="O16:Q22"/>
    <mergeCell ref="AF7:AF25"/>
    <mergeCell ref="AQ24:AR24"/>
    <mergeCell ref="AQ4:AS7"/>
    <mergeCell ref="AG25:AH25"/>
    <mergeCell ref="AW23:AW25"/>
    <mergeCell ref="AQ15:AR15"/>
    <mergeCell ref="AQ16:AR16"/>
    <mergeCell ref="AQ14:AR14"/>
    <mergeCell ref="AD19:AD20"/>
    <mergeCell ref="AC4:AD7"/>
    <mergeCell ref="Z17:AA18"/>
    <mergeCell ref="AB17:AB18"/>
    <mergeCell ref="Z16:AA16"/>
  </mergeCells>
  <pageMargins left="0.45" right="0.45" top="0.75" bottom="0.5" header="0.3" footer="0.3"/>
  <pageSetup paperSize="9" scale="85" orientation="landscape" r:id="rId1"/>
  <headerFooter alignWithMargins="0">
    <oddFooter>&amp;C&amp;P</oddFooter>
  </headerFooter>
  <colBreaks count="2" manualBreakCount="2">
    <brk id="25" max="1048575" man="1"/>
    <brk id="41" max="1048575"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A38"/>
  <sheetViews>
    <sheetView view="pageBreakPreview" topLeftCell="AI1" zoomScaleNormal="100" zoomScaleSheetLayoutView="100" workbookViewId="0">
      <selection activeCell="AW26" sqref="AW26"/>
    </sheetView>
  </sheetViews>
  <sheetFormatPr defaultColWidth="9.140625" defaultRowHeight="12.75"/>
  <cols>
    <col min="1" max="1" width="3.42578125" style="99" customWidth="1"/>
    <col min="2" max="2" width="6.42578125" style="269" customWidth="1"/>
    <col min="3" max="3" width="3.7109375" style="269" customWidth="1"/>
    <col min="4" max="4" width="4" style="269" customWidth="1"/>
    <col min="5" max="5" width="21.42578125" style="269" customWidth="1"/>
    <col min="6" max="6" width="4" style="269" customWidth="1"/>
    <col min="7" max="7" width="21.42578125" style="269" customWidth="1"/>
    <col min="8" max="8" width="4" style="269" customWidth="1"/>
    <col min="9" max="9" width="21.42578125" style="269" customWidth="1"/>
    <col min="10" max="10" width="4" style="269" customWidth="1"/>
    <col min="11" max="11" width="21.42578125" style="269" customWidth="1"/>
    <col min="12" max="12" width="4" style="269" customWidth="1"/>
    <col min="13" max="13" width="21.42578125" style="269" customWidth="1"/>
    <col min="14" max="14" width="4" style="269" customWidth="1"/>
    <col min="15" max="15" width="21.42578125" style="269" customWidth="1"/>
    <col min="16" max="16" width="4" style="269" customWidth="1"/>
    <col min="17" max="17" width="3.28515625" style="99" customWidth="1"/>
    <col min="18" max="18" width="6.140625" style="269" customWidth="1"/>
    <col min="19" max="19" width="3" style="269" customWidth="1"/>
    <col min="20" max="20" width="4" style="269" customWidth="1"/>
    <col min="21" max="21" width="16.28515625" style="269" customWidth="1"/>
    <col min="22" max="22" width="3" style="269" customWidth="1"/>
    <col min="23" max="23" width="18.28515625" style="269" customWidth="1"/>
    <col min="24" max="24" width="3" style="269" customWidth="1"/>
    <col min="25" max="25" width="16.28515625" style="269" customWidth="1"/>
    <col min="26" max="26" width="3" style="269" customWidth="1"/>
    <col min="27" max="27" width="16.28515625" style="269" customWidth="1"/>
    <col min="28" max="28" width="3" style="269" customWidth="1"/>
    <col min="29" max="29" width="16.28515625" style="269" customWidth="1"/>
    <col min="30" max="30" width="3" style="269" customWidth="1"/>
    <col min="31" max="31" width="16.28515625" style="269" customWidth="1"/>
    <col min="32" max="32" width="3" style="269" customWidth="1"/>
    <col min="33" max="33" width="16.28515625" style="269" customWidth="1"/>
    <col min="34" max="34" width="3" style="269" customWidth="1"/>
    <col min="35" max="35" width="16.28515625" style="269" customWidth="1"/>
    <col min="36" max="36" width="3" style="269" customWidth="1"/>
    <col min="37" max="37" width="3.42578125" style="99" customWidth="1"/>
    <col min="38" max="38" width="6.42578125" style="269" customWidth="1"/>
    <col min="39" max="39" width="3.42578125" style="269" customWidth="1"/>
    <col min="40" max="40" width="3.85546875" style="269" customWidth="1"/>
    <col min="41" max="41" width="22.7109375" style="269" customWidth="1"/>
    <col min="42" max="42" width="3.140625" style="269" customWidth="1"/>
    <col min="43" max="43" width="22.7109375" style="269" customWidth="1"/>
    <col min="44" max="44" width="3.140625" style="269" customWidth="1"/>
    <col min="45" max="45" width="22.7109375" style="269" customWidth="1"/>
    <col min="46" max="46" width="3.140625" style="269" customWidth="1"/>
    <col min="47" max="47" width="22.7109375" style="269" customWidth="1"/>
    <col min="48" max="48" width="3.140625" style="269" customWidth="1"/>
    <col min="49" max="49" width="22.7109375" style="269" customWidth="1"/>
    <col min="50" max="50" width="3.140625" style="269" customWidth="1"/>
    <col min="51" max="51" width="22.7109375" style="269" customWidth="1"/>
    <col min="52" max="52" width="3.140625" style="269" customWidth="1"/>
    <col min="53" max="16384" width="9.140625" style="269"/>
  </cols>
  <sheetData>
    <row r="1" spans="1:52" ht="15.75">
      <c r="A1" s="98" t="s">
        <v>294</v>
      </c>
      <c r="P1" s="708" t="s">
        <v>377</v>
      </c>
      <c r="Q1" s="98" t="s">
        <v>294</v>
      </c>
      <c r="AF1" s="337"/>
      <c r="AI1" s="336"/>
      <c r="AJ1" s="708" t="s">
        <v>377</v>
      </c>
      <c r="AK1" s="98" t="s">
        <v>294</v>
      </c>
      <c r="AS1" s="575"/>
      <c r="AT1" s="575"/>
      <c r="AU1" s="575"/>
      <c r="AV1" s="575"/>
      <c r="AW1" s="575"/>
      <c r="AX1" s="575"/>
      <c r="AY1" s="575"/>
      <c r="AZ1" s="708" t="s">
        <v>377</v>
      </c>
    </row>
    <row r="2" spans="1:52" ht="15.75">
      <c r="A2" s="870"/>
      <c r="B2" s="1608" t="s">
        <v>378</v>
      </c>
      <c r="P2" s="872"/>
      <c r="Q2" s="98"/>
      <c r="R2" s="1608" t="s">
        <v>379</v>
      </c>
      <c r="AF2" s="337"/>
      <c r="AI2" s="336"/>
      <c r="AJ2" s="872"/>
      <c r="AK2" s="98"/>
      <c r="AL2" s="1608" t="s">
        <v>380</v>
      </c>
      <c r="AS2" s="575"/>
      <c r="AT2" s="575"/>
      <c r="AU2" s="575"/>
      <c r="AV2" s="575"/>
      <c r="AX2" s="575"/>
      <c r="AY2" s="575"/>
      <c r="AZ2" s="1589" t="s">
        <v>63</v>
      </c>
    </row>
    <row r="3" spans="1:52" ht="15.75" customHeight="1">
      <c r="A3" s="2295" t="s">
        <v>64</v>
      </c>
      <c r="B3" s="2323">
        <f>-3.23</f>
        <v>-3.23</v>
      </c>
      <c r="C3" s="2324"/>
      <c r="D3" s="2325"/>
      <c r="E3" s="2335">
        <f>B3-0.01</f>
        <v>-3.2399999999999998</v>
      </c>
      <c r="F3" s="2336"/>
      <c r="G3" s="889" t="s">
        <v>381</v>
      </c>
      <c r="H3" s="868"/>
      <c r="I3" s="868"/>
      <c r="J3" s="868"/>
      <c r="K3" s="868"/>
      <c r="L3" s="868"/>
      <c r="M3" s="868"/>
      <c r="N3" s="868"/>
      <c r="O3" s="868"/>
      <c r="P3" s="869"/>
      <c r="Q3" s="2295" t="s">
        <v>64</v>
      </c>
      <c r="R3" s="2323">
        <f>E3-0.01</f>
        <v>-3.2499999999999996</v>
      </c>
      <c r="S3" s="2324"/>
      <c r="T3" s="2325"/>
      <c r="U3" s="2335">
        <f>R3-0.01</f>
        <v>-3.2599999999999993</v>
      </c>
      <c r="V3" s="2336"/>
      <c r="W3" s="890" t="s">
        <v>381</v>
      </c>
      <c r="X3" s="868"/>
      <c r="Y3" s="868"/>
      <c r="Z3" s="868"/>
      <c r="AA3" s="868"/>
      <c r="AB3" s="868"/>
      <c r="AC3" s="868"/>
      <c r="AD3" s="868"/>
      <c r="AE3" s="868"/>
      <c r="AF3" s="868"/>
      <c r="AG3" s="868"/>
      <c r="AH3" s="868"/>
      <c r="AI3" s="868"/>
      <c r="AJ3" s="869"/>
      <c r="AK3" s="2295" t="s">
        <v>64</v>
      </c>
      <c r="AL3" s="2323">
        <f>U3-0.01</f>
        <v>-3.2699999999999991</v>
      </c>
      <c r="AM3" s="2324"/>
      <c r="AN3" s="2325"/>
      <c r="AO3" s="2335">
        <f>AL3-0.01</f>
        <v>-3.2799999999999989</v>
      </c>
      <c r="AP3" s="2336"/>
      <c r="AQ3" s="890" t="s">
        <v>381</v>
      </c>
      <c r="AR3" s="868"/>
      <c r="AS3" s="868"/>
      <c r="AT3" s="868"/>
      <c r="AU3" s="868"/>
      <c r="AV3" s="868"/>
      <c r="AW3" s="868"/>
      <c r="AX3" s="868"/>
      <c r="AY3" s="868"/>
      <c r="AZ3" s="869"/>
    </row>
    <row r="4" spans="1:52" ht="15.75" customHeight="1">
      <c r="A4" s="2296"/>
      <c r="B4" s="2103" t="s">
        <v>382</v>
      </c>
      <c r="C4" s="2104"/>
      <c r="D4" s="2105"/>
      <c r="E4" s="2317" t="s">
        <v>383</v>
      </c>
      <c r="F4" s="2322"/>
      <c r="G4" s="2317" t="s">
        <v>384</v>
      </c>
      <c r="H4" s="2322"/>
      <c r="I4" s="2317" t="s">
        <v>385</v>
      </c>
      <c r="J4" s="2322"/>
      <c r="K4" s="2331" t="s">
        <v>386</v>
      </c>
      <c r="L4" s="2332"/>
      <c r="M4" s="2317" t="s">
        <v>387</v>
      </c>
      <c r="N4" s="2322"/>
      <c r="O4" s="2331" t="s">
        <v>388</v>
      </c>
      <c r="P4" s="2332"/>
      <c r="Q4" s="2296"/>
      <c r="R4" s="2103" t="s">
        <v>389</v>
      </c>
      <c r="S4" s="2104"/>
      <c r="T4" s="2105"/>
      <c r="U4" s="2317" t="s">
        <v>390</v>
      </c>
      <c r="V4" s="2322"/>
      <c r="W4" s="2317" t="s">
        <v>384</v>
      </c>
      <c r="X4" s="2322"/>
      <c r="Y4" s="2331" t="s">
        <v>391</v>
      </c>
      <c r="Z4" s="2332"/>
      <c r="AA4" s="2317" t="s">
        <v>392</v>
      </c>
      <c r="AB4" s="2322"/>
      <c r="AC4" s="2317" t="s">
        <v>393</v>
      </c>
      <c r="AD4" s="2322"/>
      <c r="AE4" s="2317" t="s">
        <v>388</v>
      </c>
      <c r="AF4" s="2322"/>
      <c r="AG4" s="2317" t="s">
        <v>394</v>
      </c>
      <c r="AH4" s="2322"/>
      <c r="AI4" s="2317" t="s">
        <v>395</v>
      </c>
      <c r="AJ4" s="2322"/>
      <c r="AK4" s="2296"/>
      <c r="AL4" s="2103" t="s">
        <v>396</v>
      </c>
      <c r="AM4" s="2104"/>
      <c r="AN4" s="2105"/>
      <c r="AO4" s="2317" t="s">
        <v>397</v>
      </c>
      <c r="AP4" s="2322"/>
      <c r="AQ4" s="2317" t="s">
        <v>398</v>
      </c>
      <c r="AR4" s="2322"/>
      <c r="AS4" s="2317" t="s">
        <v>399</v>
      </c>
      <c r="AT4" s="2318"/>
      <c r="AU4" s="2317" t="s">
        <v>400</v>
      </c>
      <c r="AV4" s="2322"/>
      <c r="AW4" s="2317" t="s">
        <v>401</v>
      </c>
      <c r="AX4" s="2322"/>
      <c r="AY4" s="2317" t="s">
        <v>402</v>
      </c>
      <c r="AZ4" s="2322"/>
    </row>
    <row r="5" spans="1:52" ht="15.75" customHeight="1">
      <c r="A5" s="2296"/>
      <c r="B5" s="2103"/>
      <c r="C5" s="2104"/>
      <c r="D5" s="2105"/>
      <c r="E5" s="2024"/>
      <c r="F5" s="2025"/>
      <c r="G5" s="2024"/>
      <c r="H5" s="2025"/>
      <c r="I5" s="2024"/>
      <c r="J5" s="2025"/>
      <c r="K5" s="2042"/>
      <c r="L5" s="2044"/>
      <c r="M5" s="2024"/>
      <c r="N5" s="2025"/>
      <c r="O5" s="2042"/>
      <c r="P5" s="2044"/>
      <c r="Q5" s="2296"/>
      <c r="R5" s="2103"/>
      <c r="S5" s="2104"/>
      <c r="T5" s="2105"/>
      <c r="U5" s="2024"/>
      <c r="V5" s="2025"/>
      <c r="W5" s="2024"/>
      <c r="X5" s="2025"/>
      <c r="Y5" s="2042"/>
      <c r="Z5" s="2044"/>
      <c r="AA5" s="2024"/>
      <c r="AB5" s="2025"/>
      <c r="AC5" s="2024"/>
      <c r="AD5" s="2025"/>
      <c r="AE5" s="2024"/>
      <c r="AF5" s="2025"/>
      <c r="AG5" s="2024"/>
      <c r="AH5" s="2025"/>
      <c r="AI5" s="2024"/>
      <c r="AJ5" s="2025"/>
      <c r="AK5" s="2296"/>
      <c r="AL5" s="2103"/>
      <c r="AM5" s="2104"/>
      <c r="AN5" s="2105"/>
      <c r="AO5" s="2024"/>
      <c r="AP5" s="2025"/>
      <c r="AQ5" s="2024"/>
      <c r="AR5" s="2025"/>
      <c r="AS5" s="2024"/>
      <c r="AT5" s="2026"/>
      <c r="AU5" s="2024"/>
      <c r="AV5" s="2025"/>
      <c r="AW5" s="2024"/>
      <c r="AX5" s="2025"/>
      <c r="AY5" s="2024"/>
      <c r="AZ5" s="2025"/>
    </row>
    <row r="6" spans="1:52" ht="15.75" customHeight="1">
      <c r="A6" s="2296"/>
      <c r="B6" s="2103"/>
      <c r="C6" s="2104"/>
      <c r="D6" s="2105"/>
      <c r="E6" s="2024"/>
      <c r="F6" s="2025"/>
      <c r="G6" s="2024"/>
      <c r="H6" s="2025"/>
      <c r="I6" s="2024"/>
      <c r="J6" s="2025"/>
      <c r="K6" s="2042"/>
      <c r="L6" s="2044"/>
      <c r="M6" s="2024"/>
      <c r="N6" s="2025"/>
      <c r="O6" s="2042"/>
      <c r="P6" s="2044"/>
      <c r="Q6" s="2296"/>
      <c r="R6" s="2103"/>
      <c r="S6" s="2104"/>
      <c r="T6" s="2105"/>
      <c r="U6" s="2024"/>
      <c r="V6" s="2025"/>
      <c r="W6" s="2024"/>
      <c r="X6" s="2025"/>
      <c r="Y6" s="2042"/>
      <c r="Z6" s="2044"/>
      <c r="AA6" s="2024"/>
      <c r="AB6" s="2025"/>
      <c r="AC6" s="2024"/>
      <c r="AD6" s="2025"/>
      <c r="AE6" s="2024"/>
      <c r="AF6" s="2025"/>
      <c r="AG6" s="2024"/>
      <c r="AH6" s="2025"/>
      <c r="AI6" s="2024"/>
      <c r="AJ6" s="2025"/>
      <c r="AK6" s="2296"/>
      <c r="AL6" s="2103"/>
      <c r="AM6" s="2104"/>
      <c r="AN6" s="2105"/>
      <c r="AO6" s="2024"/>
      <c r="AP6" s="2025"/>
      <c r="AQ6" s="2024"/>
      <c r="AR6" s="2025"/>
      <c r="AS6" s="2024"/>
      <c r="AT6" s="2026"/>
      <c r="AU6" s="2024"/>
      <c r="AV6" s="2025"/>
      <c r="AW6" s="2024"/>
      <c r="AX6" s="2025"/>
      <c r="AY6" s="2024"/>
      <c r="AZ6" s="2025"/>
    </row>
    <row r="7" spans="1:52" ht="15.75" customHeight="1">
      <c r="A7" s="2296"/>
      <c r="B7" s="2103"/>
      <c r="C7" s="2104"/>
      <c r="D7" s="2105"/>
      <c r="E7" s="2024"/>
      <c r="F7" s="2025"/>
      <c r="G7" s="2024"/>
      <c r="H7" s="2025"/>
      <c r="I7" s="2024"/>
      <c r="J7" s="2025"/>
      <c r="K7" s="2042"/>
      <c r="L7" s="2044"/>
      <c r="M7" s="2024"/>
      <c r="N7" s="2025"/>
      <c r="O7" s="2042"/>
      <c r="P7" s="2044"/>
      <c r="Q7" s="2296"/>
      <c r="R7" s="2103"/>
      <c r="S7" s="2104"/>
      <c r="T7" s="2105"/>
      <c r="U7" s="2024"/>
      <c r="V7" s="2025"/>
      <c r="W7" s="2024"/>
      <c r="X7" s="2025"/>
      <c r="Y7" s="2042"/>
      <c r="Z7" s="2044"/>
      <c r="AA7" s="2024"/>
      <c r="AB7" s="2025"/>
      <c r="AC7" s="2024"/>
      <c r="AD7" s="2025"/>
      <c r="AE7" s="2024"/>
      <c r="AF7" s="2025"/>
      <c r="AG7" s="2024"/>
      <c r="AH7" s="2025"/>
      <c r="AI7" s="2024"/>
      <c r="AJ7" s="2025"/>
      <c r="AK7" s="2296"/>
      <c r="AL7" s="2103"/>
      <c r="AM7" s="2104"/>
      <c r="AN7" s="2105"/>
      <c r="AO7" s="2024"/>
      <c r="AP7" s="2025"/>
      <c r="AQ7" s="2024"/>
      <c r="AR7" s="2025"/>
      <c r="AS7" s="2024"/>
      <c r="AT7" s="2026"/>
      <c r="AU7" s="2024"/>
      <c r="AV7" s="2025"/>
      <c r="AW7" s="2024"/>
      <c r="AX7" s="2025"/>
      <c r="AY7" s="2024"/>
      <c r="AZ7" s="2025"/>
    </row>
    <row r="8" spans="1:52" ht="15.75" customHeight="1">
      <c r="A8" s="2296"/>
      <c r="B8" s="2103"/>
      <c r="C8" s="2104"/>
      <c r="D8" s="2105"/>
      <c r="E8" s="2024"/>
      <c r="F8" s="2025"/>
      <c r="G8" s="2024"/>
      <c r="H8" s="2025"/>
      <c r="I8" s="2024"/>
      <c r="J8" s="2025"/>
      <c r="K8" s="2042"/>
      <c r="L8" s="2044"/>
      <c r="M8" s="2024"/>
      <c r="N8" s="2025"/>
      <c r="O8" s="2042"/>
      <c r="P8" s="2044"/>
      <c r="Q8" s="2296"/>
      <c r="R8" s="2103"/>
      <c r="S8" s="2104"/>
      <c r="T8" s="2105"/>
      <c r="U8" s="2024"/>
      <c r="V8" s="2025"/>
      <c r="W8" s="2024"/>
      <c r="X8" s="2025"/>
      <c r="Y8" s="2042"/>
      <c r="Z8" s="2044"/>
      <c r="AA8" s="2024"/>
      <c r="AB8" s="2025"/>
      <c r="AC8" s="2024"/>
      <c r="AD8" s="2025"/>
      <c r="AE8" s="2024"/>
      <c r="AF8" s="2025"/>
      <c r="AG8" s="2024"/>
      <c r="AH8" s="2025"/>
      <c r="AI8" s="2024"/>
      <c r="AJ8" s="2025"/>
      <c r="AK8" s="2296"/>
      <c r="AL8" s="2103"/>
      <c r="AM8" s="2104"/>
      <c r="AN8" s="2105"/>
      <c r="AO8" s="2024"/>
      <c r="AP8" s="2025"/>
      <c r="AQ8" s="2024"/>
      <c r="AR8" s="2025"/>
      <c r="AS8" s="2024"/>
      <c r="AT8" s="2026"/>
      <c r="AU8" s="2024"/>
      <c r="AV8" s="2025"/>
      <c r="AW8" s="2024"/>
      <c r="AX8" s="2025"/>
      <c r="AY8" s="2024"/>
      <c r="AZ8" s="2025"/>
    </row>
    <row r="9" spans="1:52" ht="15.75" customHeight="1">
      <c r="A9" s="2296"/>
      <c r="B9" s="2103"/>
      <c r="C9" s="2104"/>
      <c r="D9" s="2105"/>
      <c r="E9" s="2024"/>
      <c r="F9" s="2025"/>
      <c r="G9" s="2024"/>
      <c r="H9" s="2025"/>
      <c r="I9" s="2024"/>
      <c r="J9" s="2025"/>
      <c r="K9" s="2042"/>
      <c r="L9" s="2044"/>
      <c r="M9" s="2024"/>
      <c r="N9" s="2025"/>
      <c r="O9" s="2042"/>
      <c r="P9" s="2044"/>
      <c r="Q9" s="2296"/>
      <c r="R9" s="2103"/>
      <c r="S9" s="2104"/>
      <c r="T9" s="2105"/>
      <c r="U9" s="2024"/>
      <c r="V9" s="2025"/>
      <c r="W9" s="2024"/>
      <c r="X9" s="2025"/>
      <c r="Y9" s="2042"/>
      <c r="Z9" s="2044"/>
      <c r="AA9" s="2024"/>
      <c r="AB9" s="2025"/>
      <c r="AC9" s="2024"/>
      <c r="AD9" s="2025"/>
      <c r="AE9" s="2024"/>
      <c r="AF9" s="2025"/>
      <c r="AG9" s="2024"/>
      <c r="AH9" s="2025"/>
      <c r="AI9" s="2024"/>
      <c r="AJ9" s="2025"/>
      <c r="AK9" s="2296"/>
      <c r="AL9" s="2103"/>
      <c r="AM9" s="2104"/>
      <c r="AN9" s="2105"/>
      <c r="AO9" s="2024"/>
      <c r="AP9" s="2025"/>
      <c r="AQ9" s="2024"/>
      <c r="AR9" s="2025"/>
      <c r="AS9" s="2024"/>
      <c r="AT9" s="2026"/>
      <c r="AU9" s="2024"/>
      <c r="AV9" s="2025"/>
      <c r="AW9" s="2024"/>
      <c r="AX9" s="2025"/>
      <c r="AY9" s="2024"/>
      <c r="AZ9" s="2025"/>
    </row>
    <row r="10" spans="1:52" ht="15.75" customHeight="1">
      <c r="A10" s="2296"/>
      <c r="B10" s="2329"/>
      <c r="C10" s="2165"/>
      <c r="D10" s="2330"/>
      <c r="E10" s="2024"/>
      <c r="F10" s="2025"/>
      <c r="G10" s="2024"/>
      <c r="H10" s="2025"/>
      <c r="I10" s="2024"/>
      <c r="J10" s="2025"/>
      <c r="K10" s="2042"/>
      <c r="L10" s="2044"/>
      <c r="M10" s="2024"/>
      <c r="N10" s="2025"/>
      <c r="O10" s="2042"/>
      <c r="P10" s="2044"/>
      <c r="Q10" s="2296"/>
      <c r="R10" s="427"/>
      <c r="S10" s="1367"/>
      <c r="T10" s="428"/>
      <c r="U10" s="2024"/>
      <c r="V10" s="2025"/>
      <c r="W10" s="2024"/>
      <c r="X10" s="2025"/>
      <c r="Y10" s="2042"/>
      <c r="Z10" s="2044"/>
      <c r="AA10" s="2024"/>
      <c r="AB10" s="2025"/>
      <c r="AC10" s="2024"/>
      <c r="AD10" s="2025"/>
      <c r="AE10" s="2024"/>
      <c r="AF10" s="2025"/>
      <c r="AG10" s="2024"/>
      <c r="AH10" s="2025"/>
      <c r="AI10" s="2024"/>
      <c r="AJ10" s="2025"/>
      <c r="AK10" s="2296"/>
      <c r="AL10" s="427"/>
      <c r="AM10" s="1367"/>
      <c r="AN10" s="428"/>
      <c r="AO10" s="2024"/>
      <c r="AP10" s="2025"/>
      <c r="AQ10" s="2024"/>
      <c r="AR10" s="2025"/>
      <c r="AS10" s="2024"/>
      <c r="AT10" s="2026"/>
      <c r="AU10" s="2024"/>
      <c r="AV10" s="2025"/>
      <c r="AW10" s="2024"/>
      <c r="AX10" s="2025"/>
      <c r="AY10" s="2024"/>
      <c r="AZ10" s="2025"/>
    </row>
    <row r="11" spans="1:52" ht="15.75" customHeight="1">
      <c r="A11" s="2296"/>
      <c r="B11" s="2329"/>
      <c r="C11" s="2165"/>
      <c r="D11" s="2330"/>
      <c r="E11" s="2024"/>
      <c r="F11" s="2025"/>
      <c r="G11" s="2024"/>
      <c r="H11" s="2025"/>
      <c r="I11" s="2024"/>
      <c r="J11" s="2025"/>
      <c r="K11" s="2042"/>
      <c r="L11" s="2044"/>
      <c r="M11" s="2024"/>
      <c r="N11" s="2025"/>
      <c r="O11" s="2042"/>
      <c r="P11" s="2044"/>
      <c r="Q11" s="2296"/>
      <c r="R11" s="427"/>
      <c r="S11" s="1367"/>
      <c r="T11" s="428"/>
      <c r="U11" s="2024"/>
      <c r="V11" s="2025"/>
      <c r="W11" s="2024"/>
      <c r="X11" s="2025"/>
      <c r="Y11" s="2042"/>
      <c r="Z11" s="2044"/>
      <c r="AA11" s="2024"/>
      <c r="AB11" s="2025"/>
      <c r="AC11" s="2024"/>
      <c r="AD11" s="2025"/>
      <c r="AE11" s="2024"/>
      <c r="AF11" s="2025"/>
      <c r="AG11" s="2024"/>
      <c r="AH11" s="2025"/>
      <c r="AI11" s="2024"/>
      <c r="AJ11" s="2025"/>
      <c r="AK11" s="2296"/>
      <c r="AL11" s="427"/>
      <c r="AM11" s="1367"/>
      <c r="AN11" s="428"/>
      <c r="AO11" s="2024"/>
      <c r="AP11" s="2025"/>
      <c r="AQ11" s="2024"/>
      <c r="AR11" s="2025"/>
      <c r="AS11" s="2024"/>
      <c r="AT11" s="2026"/>
      <c r="AU11" s="2024"/>
      <c r="AV11" s="2025"/>
      <c r="AW11" s="2024"/>
      <c r="AX11" s="2025"/>
      <c r="AY11" s="2024"/>
      <c r="AZ11" s="2025"/>
    </row>
    <row r="12" spans="1:52" ht="15.75" customHeight="1">
      <c r="A12" s="2296"/>
      <c r="B12" s="2329"/>
      <c r="C12" s="2165"/>
      <c r="D12" s="2330"/>
      <c r="E12" s="2024"/>
      <c r="F12" s="2025"/>
      <c r="G12" s="2024"/>
      <c r="H12" s="2025"/>
      <c r="I12" s="886"/>
      <c r="J12" s="887"/>
      <c r="K12" s="2042"/>
      <c r="L12" s="2044"/>
      <c r="M12" s="2024"/>
      <c r="N12" s="2025"/>
      <c r="O12" s="2042"/>
      <c r="P12" s="2044"/>
      <c r="Q12" s="2296"/>
      <c r="R12" s="427"/>
      <c r="S12" s="1367"/>
      <c r="T12" s="428"/>
      <c r="U12" s="2024"/>
      <c r="V12" s="2025"/>
      <c r="W12" s="2024"/>
      <c r="X12" s="2025"/>
      <c r="Y12" s="2042"/>
      <c r="Z12" s="2044"/>
      <c r="AA12" s="2024"/>
      <c r="AB12" s="2025"/>
      <c r="AC12" s="2024"/>
      <c r="AD12" s="2025"/>
      <c r="AE12" s="2024"/>
      <c r="AF12" s="2025"/>
      <c r="AG12" s="2024"/>
      <c r="AH12" s="2025"/>
      <c r="AI12" s="2024"/>
      <c r="AJ12" s="2025"/>
      <c r="AK12" s="2296"/>
      <c r="AL12" s="427"/>
      <c r="AM12" s="1367"/>
      <c r="AN12" s="428"/>
      <c r="AO12" s="2024"/>
      <c r="AP12" s="2025"/>
      <c r="AQ12" s="2024"/>
      <c r="AR12" s="2025"/>
      <c r="AS12" s="2024"/>
      <c r="AT12" s="2026"/>
      <c r="AU12" s="2024"/>
      <c r="AV12" s="2025"/>
      <c r="AW12" s="2024"/>
      <c r="AX12" s="2025"/>
      <c r="AY12" s="2024"/>
      <c r="AZ12" s="2025"/>
    </row>
    <row r="13" spans="1:52" ht="15.75" customHeight="1">
      <c r="A13" s="2296"/>
      <c r="B13" s="2329"/>
      <c r="C13" s="2165"/>
      <c r="D13" s="2330"/>
      <c r="E13" s="2024"/>
      <c r="F13" s="2025"/>
      <c r="G13" s="2024"/>
      <c r="H13" s="2025"/>
      <c r="I13" s="886"/>
      <c r="J13" s="887"/>
      <c r="K13" s="2042"/>
      <c r="L13" s="2044"/>
      <c r="M13" s="2024"/>
      <c r="N13" s="2025"/>
      <c r="O13" s="2042"/>
      <c r="P13" s="2044"/>
      <c r="Q13" s="2296"/>
      <c r="R13" s="427"/>
      <c r="S13" s="1367"/>
      <c r="T13" s="428"/>
      <c r="U13" s="2024"/>
      <c r="V13" s="2025"/>
      <c r="W13" s="2024"/>
      <c r="X13" s="2025"/>
      <c r="Y13" s="2042"/>
      <c r="Z13" s="2044"/>
      <c r="AA13" s="2024"/>
      <c r="AB13" s="2025"/>
      <c r="AC13" s="2024"/>
      <c r="AD13" s="2025"/>
      <c r="AE13" s="2024"/>
      <c r="AF13" s="2025"/>
      <c r="AG13" s="2024"/>
      <c r="AH13" s="2025"/>
      <c r="AI13" s="2337"/>
      <c r="AJ13" s="2338"/>
      <c r="AK13" s="2296"/>
      <c r="AL13" s="427"/>
      <c r="AM13" s="1367"/>
      <c r="AN13" s="428"/>
      <c r="AO13" s="2024"/>
      <c r="AP13" s="2025"/>
      <c r="AQ13" s="2024"/>
      <c r="AR13" s="2025"/>
      <c r="AS13" s="338"/>
      <c r="AU13" s="2024"/>
      <c r="AV13" s="2025"/>
      <c r="AW13" s="2024"/>
      <c r="AX13" s="2025"/>
      <c r="AY13" s="2024"/>
      <c r="AZ13" s="2025"/>
    </row>
    <row r="14" spans="1:52" ht="15.75" customHeight="1">
      <c r="A14" s="2296"/>
      <c r="B14" s="2329"/>
      <c r="C14" s="2165"/>
      <c r="D14" s="2330"/>
      <c r="E14" s="338"/>
      <c r="F14" s="694"/>
      <c r="G14" s="2024"/>
      <c r="H14" s="2025"/>
      <c r="I14" s="338"/>
      <c r="J14" s="694"/>
      <c r="K14" s="338"/>
      <c r="L14" s="694"/>
      <c r="M14" s="338"/>
      <c r="N14" s="694"/>
      <c r="O14" s="338"/>
      <c r="P14" s="694"/>
      <c r="Q14" s="2296"/>
      <c r="R14" s="427"/>
      <c r="S14" s="1367"/>
      <c r="T14" s="428"/>
      <c r="U14" s="2045" t="s">
        <v>403</v>
      </c>
      <c r="V14" s="2046">
        <v>1</v>
      </c>
      <c r="W14" s="2045" t="s">
        <v>403</v>
      </c>
      <c r="X14" s="2046">
        <v>1</v>
      </c>
      <c r="Y14" s="2045" t="s">
        <v>403</v>
      </c>
      <c r="Z14" s="2046">
        <v>1</v>
      </c>
      <c r="AA14" s="2045" t="s">
        <v>403</v>
      </c>
      <c r="AB14" s="2046">
        <v>1</v>
      </c>
      <c r="AC14" s="2045" t="s">
        <v>403</v>
      </c>
      <c r="AD14" s="2046">
        <v>1</v>
      </c>
      <c r="AE14" s="2045" t="s">
        <v>403</v>
      </c>
      <c r="AF14" s="2046">
        <v>1</v>
      </c>
      <c r="AG14" s="2045" t="s">
        <v>403</v>
      </c>
      <c r="AH14" s="2046">
        <v>1</v>
      </c>
      <c r="AI14" s="2045" t="s">
        <v>403</v>
      </c>
      <c r="AJ14" s="2046">
        <v>1</v>
      </c>
      <c r="AK14" s="2296"/>
      <c r="AL14" s="427"/>
      <c r="AM14" s="1367"/>
      <c r="AN14" s="428"/>
      <c r="AO14" s="2320"/>
      <c r="AP14" s="2315"/>
      <c r="AQ14" s="2320"/>
      <c r="AR14" s="2315"/>
      <c r="AS14" s="2320"/>
      <c r="AT14" s="2315"/>
      <c r="AU14" s="2320"/>
      <c r="AV14" s="2315"/>
      <c r="AW14" s="2320"/>
      <c r="AX14" s="2315"/>
      <c r="AY14" s="2320"/>
      <c r="AZ14" s="2315"/>
    </row>
    <row r="15" spans="1:52" ht="15.75" customHeight="1">
      <c r="A15" s="2296"/>
      <c r="B15" s="2329"/>
      <c r="C15" s="2165"/>
      <c r="D15" s="2330"/>
      <c r="F15" s="694"/>
      <c r="G15" s="2333"/>
      <c r="H15" s="2334"/>
      <c r="I15" s="695"/>
      <c r="K15" s="695"/>
      <c r="M15" s="695"/>
      <c r="O15" s="695"/>
      <c r="P15" s="694"/>
      <c r="Q15" s="2296"/>
      <c r="R15" s="427"/>
      <c r="S15" s="1367"/>
      <c r="T15" s="428"/>
      <c r="U15" s="2146"/>
      <c r="V15" s="2047"/>
      <c r="W15" s="2146"/>
      <c r="X15" s="2047"/>
      <c r="Y15" s="2146"/>
      <c r="Z15" s="2047"/>
      <c r="AA15" s="2146"/>
      <c r="AB15" s="2047"/>
      <c r="AC15" s="2146"/>
      <c r="AD15" s="2047"/>
      <c r="AE15" s="2146"/>
      <c r="AF15" s="2047"/>
      <c r="AG15" s="2146"/>
      <c r="AH15" s="2047"/>
      <c r="AI15" s="2146"/>
      <c r="AJ15" s="2047"/>
      <c r="AK15" s="2296"/>
      <c r="AL15" s="427"/>
      <c r="AM15" s="1367"/>
      <c r="AN15" s="428"/>
      <c r="AO15" s="2321"/>
      <c r="AP15" s="2316"/>
      <c r="AQ15" s="2321"/>
      <c r="AR15" s="2316"/>
      <c r="AS15" s="2321"/>
      <c r="AT15" s="2316"/>
      <c r="AU15" s="2321"/>
      <c r="AV15" s="2316"/>
      <c r="AW15" s="2321"/>
      <c r="AX15" s="2316"/>
      <c r="AY15" s="2321"/>
      <c r="AZ15" s="2316"/>
    </row>
    <row r="16" spans="1:52" ht="15.75" customHeight="1">
      <c r="A16" s="2296"/>
      <c r="B16" s="2329"/>
      <c r="C16" s="2165"/>
      <c r="D16" s="2330"/>
      <c r="E16" s="693" t="s">
        <v>403</v>
      </c>
      <c r="F16" s="566">
        <v>1</v>
      </c>
      <c r="G16" s="693" t="s">
        <v>403</v>
      </c>
      <c r="H16" s="566">
        <v>1</v>
      </c>
      <c r="I16" s="693" t="s">
        <v>403</v>
      </c>
      <c r="J16" s="566">
        <v>1</v>
      </c>
      <c r="K16" s="693" t="s">
        <v>403</v>
      </c>
      <c r="L16" s="566">
        <v>1</v>
      </c>
      <c r="M16" s="693" t="s">
        <v>403</v>
      </c>
      <c r="N16" s="566">
        <v>1</v>
      </c>
      <c r="O16" s="693" t="s">
        <v>403</v>
      </c>
      <c r="P16" s="566">
        <v>1</v>
      </c>
      <c r="Q16" s="2296"/>
      <c r="R16" s="427"/>
      <c r="S16" s="1367"/>
      <c r="T16" s="428"/>
      <c r="U16" s="2045" t="s">
        <v>404</v>
      </c>
      <c r="V16" s="2046">
        <v>2</v>
      </c>
      <c r="W16" s="2045" t="s">
        <v>404</v>
      </c>
      <c r="X16" s="2046">
        <v>2</v>
      </c>
      <c r="Y16" s="2045" t="s">
        <v>404</v>
      </c>
      <c r="Z16" s="2046">
        <v>2</v>
      </c>
      <c r="AA16" s="2045" t="s">
        <v>404</v>
      </c>
      <c r="AB16" s="2046">
        <v>2</v>
      </c>
      <c r="AC16" s="2045" t="s">
        <v>404</v>
      </c>
      <c r="AD16" s="2046">
        <v>2</v>
      </c>
      <c r="AE16" s="2045" t="s">
        <v>404</v>
      </c>
      <c r="AF16" s="2046">
        <v>2</v>
      </c>
      <c r="AG16" s="2045" t="s">
        <v>404</v>
      </c>
      <c r="AH16" s="2046">
        <v>2</v>
      </c>
      <c r="AI16" s="2045" t="s">
        <v>404</v>
      </c>
      <c r="AJ16" s="2046">
        <v>2</v>
      </c>
      <c r="AK16" s="2296"/>
      <c r="AL16" s="427"/>
      <c r="AM16" s="1367"/>
      <c r="AN16" s="428"/>
      <c r="AO16" s="693" t="s">
        <v>403</v>
      </c>
      <c r="AP16" s="566">
        <v>1</v>
      </c>
      <c r="AQ16" s="693" t="s">
        <v>403</v>
      </c>
      <c r="AR16" s="566">
        <v>1</v>
      </c>
      <c r="AS16" s="693" t="s">
        <v>403</v>
      </c>
      <c r="AT16" s="566">
        <v>1</v>
      </c>
      <c r="AU16" s="693" t="s">
        <v>403</v>
      </c>
      <c r="AV16" s="566">
        <v>1</v>
      </c>
      <c r="AW16" s="693" t="s">
        <v>403</v>
      </c>
      <c r="AX16" s="566">
        <v>1</v>
      </c>
      <c r="AY16" s="693" t="s">
        <v>403</v>
      </c>
      <c r="AZ16" s="566">
        <v>1</v>
      </c>
    </row>
    <row r="17" spans="1:53" ht="15.75" customHeight="1">
      <c r="A17" s="2296"/>
      <c r="B17" s="2329"/>
      <c r="C17" s="2165"/>
      <c r="D17" s="2330"/>
      <c r="E17" s="2045" t="s">
        <v>404</v>
      </c>
      <c r="F17" s="2046">
        <v>2</v>
      </c>
      <c r="G17" s="2045" t="s">
        <v>404</v>
      </c>
      <c r="H17" s="2046">
        <v>2</v>
      </c>
      <c r="I17" s="2045" t="s">
        <v>404</v>
      </c>
      <c r="J17" s="2046">
        <v>2</v>
      </c>
      <c r="K17" s="2045" t="s">
        <v>404</v>
      </c>
      <c r="L17" s="2046">
        <v>2</v>
      </c>
      <c r="M17" s="2045" t="s">
        <v>404</v>
      </c>
      <c r="N17" s="2046">
        <v>2</v>
      </c>
      <c r="O17" s="2045" t="s">
        <v>404</v>
      </c>
      <c r="P17" s="2046">
        <v>2</v>
      </c>
      <c r="Q17" s="2296"/>
      <c r="R17" s="427"/>
      <c r="S17" s="1367"/>
      <c r="T17" s="428"/>
      <c r="U17" s="2146"/>
      <c r="V17" s="2047"/>
      <c r="W17" s="2146"/>
      <c r="X17" s="2047"/>
      <c r="Y17" s="2146"/>
      <c r="Z17" s="2047"/>
      <c r="AA17" s="2146"/>
      <c r="AB17" s="2047"/>
      <c r="AC17" s="2146"/>
      <c r="AD17" s="2047"/>
      <c r="AE17" s="2146"/>
      <c r="AF17" s="2047"/>
      <c r="AG17" s="2146"/>
      <c r="AH17" s="2047"/>
      <c r="AI17" s="2146"/>
      <c r="AJ17" s="2047"/>
      <c r="AK17" s="2296"/>
      <c r="AL17" s="427"/>
      <c r="AM17" s="1367"/>
      <c r="AN17" s="428"/>
      <c r="AO17" s="2045" t="s">
        <v>404</v>
      </c>
      <c r="AP17" s="2046">
        <v>2</v>
      </c>
      <c r="AQ17" s="2045" t="s">
        <v>404</v>
      </c>
      <c r="AR17" s="2046">
        <v>2</v>
      </c>
      <c r="AS17" s="2045" t="s">
        <v>404</v>
      </c>
      <c r="AT17" s="2046">
        <v>2</v>
      </c>
      <c r="AU17" s="2045" t="s">
        <v>404</v>
      </c>
      <c r="AV17" s="2046">
        <v>2</v>
      </c>
      <c r="AW17" s="2045" t="s">
        <v>404</v>
      </c>
      <c r="AX17" s="2046">
        <v>2</v>
      </c>
      <c r="AY17" s="2045" t="s">
        <v>404</v>
      </c>
      <c r="AZ17" s="2046">
        <v>2</v>
      </c>
    </row>
    <row r="18" spans="1:53" ht="15.75" customHeight="1">
      <c r="A18" s="2296"/>
      <c r="B18" s="427"/>
      <c r="C18" s="1367"/>
      <c r="D18" s="428"/>
      <c r="E18" s="2031"/>
      <c r="F18" s="2047"/>
      <c r="G18" s="2031"/>
      <c r="H18" s="2047"/>
      <c r="I18" s="2031"/>
      <c r="J18" s="2047"/>
      <c r="K18" s="2031"/>
      <c r="L18" s="2047"/>
      <c r="M18" s="2031"/>
      <c r="N18" s="2047"/>
      <c r="O18" s="2031"/>
      <c r="P18" s="2047"/>
      <c r="Q18" s="2296"/>
      <c r="R18" s="427"/>
      <c r="S18" s="1367"/>
      <c r="T18" s="428"/>
      <c r="U18" s="693" t="s">
        <v>405</v>
      </c>
      <c r="V18" s="566">
        <v>3</v>
      </c>
      <c r="W18" s="693" t="s">
        <v>405</v>
      </c>
      <c r="X18" s="566">
        <v>3</v>
      </c>
      <c r="Y18" s="693" t="s">
        <v>405</v>
      </c>
      <c r="Z18" s="566">
        <v>3</v>
      </c>
      <c r="AA18" s="693" t="s">
        <v>405</v>
      </c>
      <c r="AB18" s="566">
        <v>3</v>
      </c>
      <c r="AC18" s="693" t="s">
        <v>405</v>
      </c>
      <c r="AD18" s="566">
        <v>3</v>
      </c>
      <c r="AE18" s="693" t="s">
        <v>405</v>
      </c>
      <c r="AF18" s="566">
        <v>3</v>
      </c>
      <c r="AG18" s="693" t="s">
        <v>405</v>
      </c>
      <c r="AH18" s="566">
        <v>3</v>
      </c>
      <c r="AI18" s="693" t="s">
        <v>405</v>
      </c>
      <c r="AJ18" s="566">
        <v>3</v>
      </c>
      <c r="AK18" s="2296"/>
      <c r="AL18" s="427"/>
      <c r="AM18" s="1367"/>
      <c r="AN18" s="428"/>
      <c r="AO18" s="2031"/>
      <c r="AP18" s="2047"/>
      <c r="AQ18" s="2031"/>
      <c r="AR18" s="2047"/>
      <c r="AS18" s="2031"/>
      <c r="AT18" s="2047"/>
      <c r="AU18" s="2031"/>
      <c r="AV18" s="2047"/>
      <c r="AW18" s="2031"/>
      <c r="AX18" s="2047"/>
      <c r="AY18" s="2031"/>
      <c r="AZ18" s="2047"/>
    </row>
    <row r="19" spans="1:53" ht="15.75" customHeight="1">
      <c r="A19" s="2296"/>
      <c r="B19" s="427"/>
      <c r="C19" s="1367"/>
      <c r="D19" s="428"/>
      <c r="E19" s="693" t="s">
        <v>405</v>
      </c>
      <c r="F19" s="566">
        <v>3</v>
      </c>
      <c r="G19" s="693" t="s">
        <v>405</v>
      </c>
      <c r="H19" s="566">
        <v>3</v>
      </c>
      <c r="I19" s="693" t="s">
        <v>405</v>
      </c>
      <c r="J19" s="566">
        <v>3</v>
      </c>
      <c r="K19" s="693" t="s">
        <v>405</v>
      </c>
      <c r="L19" s="566">
        <v>3</v>
      </c>
      <c r="M19" s="693" t="s">
        <v>405</v>
      </c>
      <c r="N19" s="566">
        <v>3</v>
      </c>
      <c r="O19" s="693" t="s">
        <v>405</v>
      </c>
      <c r="P19" s="566">
        <v>3</v>
      </c>
      <c r="Q19" s="2296"/>
      <c r="R19" s="427"/>
      <c r="S19" s="1367"/>
      <c r="T19" s="428"/>
      <c r="U19" s="2030" t="s">
        <v>406</v>
      </c>
      <c r="V19" s="2319">
        <v>4</v>
      </c>
      <c r="W19" s="2030" t="s">
        <v>407</v>
      </c>
      <c r="X19" s="2319">
        <v>4</v>
      </c>
      <c r="Y19" s="2030" t="s">
        <v>408</v>
      </c>
      <c r="Z19" s="2319">
        <v>4</v>
      </c>
      <c r="AA19" s="2030" t="s">
        <v>409</v>
      </c>
      <c r="AB19" s="2319">
        <v>4</v>
      </c>
      <c r="AC19" s="2030" t="s">
        <v>410</v>
      </c>
      <c r="AD19" s="2319">
        <v>4</v>
      </c>
      <c r="AE19" s="2030" t="s">
        <v>411</v>
      </c>
      <c r="AF19" s="2319">
        <v>4</v>
      </c>
      <c r="AG19" s="2030" t="s">
        <v>412</v>
      </c>
      <c r="AH19" s="2319">
        <v>4</v>
      </c>
      <c r="AI19" s="2030" t="s">
        <v>413</v>
      </c>
      <c r="AJ19" s="2319">
        <v>4</v>
      </c>
      <c r="AK19" s="2296"/>
      <c r="AL19" s="427"/>
      <c r="AM19" s="1367"/>
      <c r="AN19" s="428"/>
      <c r="AO19" s="693" t="s">
        <v>405</v>
      </c>
      <c r="AP19" s="566">
        <v>3</v>
      </c>
      <c r="AQ19" s="693" t="s">
        <v>405</v>
      </c>
      <c r="AR19" s="566">
        <v>3</v>
      </c>
      <c r="AS19" s="693" t="s">
        <v>405</v>
      </c>
      <c r="AT19" s="566">
        <v>3</v>
      </c>
      <c r="AU19" s="693" t="s">
        <v>405</v>
      </c>
      <c r="AV19" s="566">
        <v>3</v>
      </c>
      <c r="AW19" s="693" t="s">
        <v>405</v>
      </c>
      <c r="AX19" s="566">
        <v>3</v>
      </c>
      <c r="AY19" s="693" t="s">
        <v>405</v>
      </c>
      <c r="AZ19" s="566">
        <v>3</v>
      </c>
    </row>
    <row r="20" spans="1:53" ht="15.75" customHeight="1">
      <c r="A20" s="2296"/>
      <c r="B20" s="632" t="s">
        <v>104</v>
      </c>
      <c r="C20" s="633">
        <v>1</v>
      </c>
      <c r="D20" s="690"/>
      <c r="E20" s="691" t="s">
        <v>406</v>
      </c>
      <c r="F20" s="692">
        <v>4</v>
      </c>
      <c r="G20" s="691" t="s">
        <v>407</v>
      </c>
      <c r="H20" s="692">
        <v>4</v>
      </c>
      <c r="I20" s="696" t="s">
        <v>408</v>
      </c>
      <c r="J20" s="109">
        <v>4</v>
      </c>
      <c r="K20" s="696" t="s">
        <v>414</v>
      </c>
      <c r="L20" s="109">
        <v>4</v>
      </c>
      <c r="M20" s="696" t="s">
        <v>410</v>
      </c>
      <c r="N20" s="109">
        <v>4</v>
      </c>
      <c r="O20" s="696" t="s">
        <v>411</v>
      </c>
      <c r="P20" s="109">
        <v>4</v>
      </c>
      <c r="Q20" s="2296"/>
      <c r="R20" s="632" t="s">
        <v>104</v>
      </c>
      <c r="S20" s="633">
        <v>1</v>
      </c>
      <c r="T20" s="690"/>
      <c r="U20" s="2031"/>
      <c r="V20" s="2047"/>
      <c r="W20" s="2146"/>
      <c r="X20" s="2047"/>
      <c r="Y20" s="2146"/>
      <c r="Z20" s="2047"/>
      <c r="AA20" s="2146"/>
      <c r="AB20" s="2047"/>
      <c r="AC20" s="2146"/>
      <c r="AD20" s="2047"/>
      <c r="AE20" s="2146"/>
      <c r="AF20" s="2047"/>
      <c r="AG20" s="2146"/>
      <c r="AH20" s="2047"/>
      <c r="AI20" s="2146"/>
      <c r="AJ20" s="2047"/>
      <c r="AK20" s="2296"/>
      <c r="AL20" s="632" t="s">
        <v>104</v>
      </c>
      <c r="AM20" s="633">
        <v>1</v>
      </c>
      <c r="AN20" s="690"/>
      <c r="AO20" s="691" t="s">
        <v>406</v>
      </c>
      <c r="AP20" s="692">
        <v>4</v>
      </c>
      <c r="AQ20" s="691" t="s">
        <v>407</v>
      </c>
      <c r="AR20" s="692">
        <v>4</v>
      </c>
      <c r="AS20" s="696" t="s">
        <v>408</v>
      </c>
      <c r="AT20" s="109">
        <v>4</v>
      </c>
      <c r="AU20" s="696" t="s">
        <v>415</v>
      </c>
      <c r="AV20" s="109">
        <v>4</v>
      </c>
      <c r="AW20" s="696" t="s">
        <v>409</v>
      </c>
      <c r="AX20" s="109">
        <v>4</v>
      </c>
      <c r="AY20" s="696" t="s">
        <v>415</v>
      </c>
      <c r="AZ20" s="109">
        <v>4</v>
      </c>
    </row>
    <row r="21" spans="1:53" ht="15.75" customHeight="1">
      <c r="A21" s="2296"/>
      <c r="B21" s="632" t="s">
        <v>108</v>
      </c>
      <c r="C21" s="633">
        <v>2</v>
      </c>
      <c r="D21" s="689" t="s">
        <v>91</v>
      </c>
      <c r="E21" s="871" t="s">
        <v>56</v>
      </c>
      <c r="F21" s="566">
        <v>5</v>
      </c>
      <c r="G21" s="871" t="s">
        <v>56</v>
      </c>
      <c r="H21" s="566">
        <v>5</v>
      </c>
      <c r="I21" s="871" t="s">
        <v>56</v>
      </c>
      <c r="J21" s="566">
        <v>5</v>
      </c>
      <c r="K21" s="871" t="s">
        <v>56</v>
      </c>
      <c r="L21" s="566">
        <v>5</v>
      </c>
      <c r="M21" s="871" t="s">
        <v>56</v>
      </c>
      <c r="N21" s="566">
        <v>5</v>
      </c>
      <c r="O21" s="871" t="s">
        <v>56</v>
      </c>
      <c r="P21" s="566">
        <v>5</v>
      </c>
      <c r="Q21" s="2296"/>
      <c r="R21" s="632" t="s">
        <v>108</v>
      </c>
      <c r="S21" s="633">
        <v>2</v>
      </c>
      <c r="T21" s="689" t="s">
        <v>91</v>
      </c>
      <c r="U21" s="871" t="s">
        <v>56</v>
      </c>
      <c r="V21" s="566">
        <v>5</v>
      </c>
      <c r="W21" s="871" t="s">
        <v>56</v>
      </c>
      <c r="X21" s="566">
        <v>5</v>
      </c>
      <c r="Y21" s="871" t="s">
        <v>56</v>
      </c>
      <c r="Z21" s="566">
        <v>5</v>
      </c>
      <c r="AA21" s="871" t="s">
        <v>56</v>
      </c>
      <c r="AB21" s="566">
        <v>5</v>
      </c>
      <c r="AC21" s="871" t="s">
        <v>56</v>
      </c>
      <c r="AD21" s="566">
        <v>5</v>
      </c>
      <c r="AE21" s="871" t="s">
        <v>56</v>
      </c>
      <c r="AF21" s="566">
        <v>5</v>
      </c>
      <c r="AG21" s="871" t="s">
        <v>56</v>
      </c>
      <c r="AH21" s="566">
        <v>5</v>
      </c>
      <c r="AI21" s="871" t="s">
        <v>56</v>
      </c>
      <c r="AJ21" s="566">
        <v>5</v>
      </c>
      <c r="AK21" s="2296"/>
      <c r="AL21" s="632" t="s">
        <v>108</v>
      </c>
      <c r="AM21" s="633">
        <v>2</v>
      </c>
      <c r="AN21" s="689" t="s">
        <v>91</v>
      </c>
      <c r="AO21" s="871" t="s">
        <v>56</v>
      </c>
      <c r="AP21" s="566">
        <v>5</v>
      </c>
      <c r="AQ21" s="871" t="s">
        <v>56</v>
      </c>
      <c r="AR21" s="566">
        <v>5</v>
      </c>
      <c r="AS21" s="871" t="s">
        <v>56</v>
      </c>
      <c r="AT21" s="566">
        <v>5</v>
      </c>
      <c r="AU21" s="871" t="s">
        <v>56</v>
      </c>
      <c r="AV21" s="566">
        <v>5</v>
      </c>
      <c r="AW21" s="871" t="s">
        <v>56</v>
      </c>
      <c r="AX21" s="566">
        <v>5</v>
      </c>
      <c r="AY21" s="871" t="s">
        <v>56</v>
      </c>
      <c r="AZ21" s="566">
        <v>5</v>
      </c>
      <c r="BA21" s="155"/>
    </row>
    <row r="22" spans="1:53" ht="15.75" customHeight="1">
      <c r="A22" s="2296"/>
      <c r="B22" s="2326" t="s">
        <v>113</v>
      </c>
      <c r="C22" s="2327"/>
      <c r="D22" s="2328"/>
      <c r="E22" s="627" t="s">
        <v>416</v>
      </c>
      <c r="F22" s="888">
        <v>6</v>
      </c>
      <c r="G22" s="627" t="s">
        <v>416</v>
      </c>
      <c r="H22" s="888">
        <v>6</v>
      </c>
      <c r="I22" s="627" t="s">
        <v>416</v>
      </c>
      <c r="J22" s="888">
        <v>6</v>
      </c>
      <c r="K22" s="627" t="s">
        <v>416</v>
      </c>
      <c r="L22" s="888">
        <v>6</v>
      </c>
      <c r="M22" s="627" t="s">
        <v>416</v>
      </c>
      <c r="N22" s="888">
        <v>6</v>
      </c>
      <c r="O22" s="627" t="s">
        <v>416</v>
      </c>
      <c r="P22" s="888">
        <v>6</v>
      </c>
      <c r="Q22" s="2296"/>
      <c r="R22" s="2326" t="s">
        <v>113</v>
      </c>
      <c r="S22" s="2327"/>
      <c r="T22" s="2328"/>
      <c r="U22" s="627" t="s">
        <v>416</v>
      </c>
      <c r="V22" s="888">
        <v>6</v>
      </c>
      <c r="W22" s="627" t="s">
        <v>416</v>
      </c>
      <c r="X22" s="888">
        <v>6</v>
      </c>
      <c r="Y22" s="627" t="s">
        <v>416</v>
      </c>
      <c r="Z22" s="888">
        <v>6</v>
      </c>
      <c r="AA22" s="627" t="s">
        <v>416</v>
      </c>
      <c r="AB22" s="888">
        <v>6</v>
      </c>
      <c r="AC22" s="627" t="s">
        <v>416</v>
      </c>
      <c r="AD22" s="888">
        <v>6</v>
      </c>
      <c r="AE22" s="627" t="s">
        <v>416</v>
      </c>
      <c r="AF22" s="888">
        <v>6</v>
      </c>
      <c r="AG22" s="627" t="s">
        <v>416</v>
      </c>
      <c r="AH22" s="888">
        <v>6</v>
      </c>
      <c r="AI22" s="627" t="s">
        <v>416</v>
      </c>
      <c r="AJ22" s="888">
        <v>6</v>
      </c>
      <c r="AK22" s="2296"/>
      <c r="AL22" s="2326" t="s">
        <v>113</v>
      </c>
      <c r="AM22" s="2327"/>
      <c r="AN22" s="2328"/>
      <c r="AO22" s="627" t="s">
        <v>416</v>
      </c>
      <c r="AP22" s="888">
        <v>6</v>
      </c>
      <c r="AQ22" s="627" t="s">
        <v>416</v>
      </c>
      <c r="AR22" s="888">
        <v>6</v>
      </c>
      <c r="AS22" s="627" t="s">
        <v>416</v>
      </c>
      <c r="AT22" s="888">
        <v>6</v>
      </c>
      <c r="AU22" s="627" t="s">
        <v>416</v>
      </c>
      <c r="AV22" s="888">
        <v>6</v>
      </c>
      <c r="AW22" s="627" t="s">
        <v>416</v>
      </c>
      <c r="AX22" s="888">
        <v>6</v>
      </c>
      <c r="AY22" s="627" t="s">
        <v>416</v>
      </c>
      <c r="AZ22" s="888">
        <v>6</v>
      </c>
      <c r="BA22" s="155"/>
    </row>
    <row r="23" spans="1:53" ht="15.75" customHeight="1">
      <c r="A23" s="2297"/>
      <c r="B23" s="429"/>
      <c r="C23" s="430"/>
      <c r="D23" s="431"/>
      <c r="E23" s="328"/>
      <c r="F23" s="329"/>
      <c r="G23" s="313"/>
      <c r="H23" s="140"/>
      <c r="I23" s="314"/>
      <c r="J23" s="315"/>
      <c r="K23" s="313"/>
      <c r="L23" s="313"/>
      <c r="M23" s="314"/>
      <c r="N23" s="315"/>
      <c r="O23" s="314"/>
      <c r="P23" s="315"/>
      <c r="Q23" s="2297"/>
      <c r="R23" s="429"/>
      <c r="S23" s="430"/>
      <c r="T23" s="431"/>
      <c r="U23" s="328"/>
      <c r="V23" s="329"/>
      <c r="W23" s="313"/>
      <c r="X23" s="140"/>
      <c r="Y23" s="314"/>
      <c r="Z23" s="315"/>
      <c r="AA23" s="314"/>
      <c r="AB23" s="315"/>
      <c r="AC23" s="314"/>
      <c r="AD23" s="315"/>
      <c r="AE23" s="314"/>
      <c r="AF23" s="315"/>
      <c r="AG23" s="314"/>
      <c r="AH23" s="315"/>
      <c r="AI23" s="314"/>
      <c r="AJ23" s="315"/>
      <c r="AK23" s="2297"/>
      <c r="AL23" s="429"/>
      <c r="AM23" s="430"/>
      <c r="AN23" s="431"/>
      <c r="AO23" s="328"/>
      <c r="AP23" s="329"/>
      <c r="AQ23" s="313"/>
      <c r="AR23" s="140"/>
      <c r="AS23" s="314"/>
      <c r="AT23" s="315"/>
      <c r="AU23" s="314"/>
      <c r="AV23" s="315"/>
      <c r="AW23" s="314"/>
      <c r="AX23" s="315"/>
      <c r="AY23" s="314"/>
      <c r="AZ23" s="315"/>
      <c r="BA23" s="155"/>
    </row>
    <row r="24" spans="1:53" ht="21" customHeight="1">
      <c r="A24" s="480">
        <v>1</v>
      </c>
      <c r="B24" s="432"/>
      <c r="C24" s="433"/>
      <c r="D24" s="434"/>
      <c r="E24" s="330"/>
      <c r="F24" s="331"/>
      <c r="G24" s="316"/>
      <c r="H24" s="317"/>
      <c r="I24" s="318"/>
      <c r="J24" s="319"/>
      <c r="K24" s="316"/>
      <c r="L24" s="316"/>
      <c r="M24" s="318"/>
      <c r="N24" s="319"/>
      <c r="O24" s="318"/>
      <c r="P24" s="319"/>
      <c r="Q24" s="480">
        <v>1</v>
      </c>
      <c r="R24" s="432"/>
      <c r="S24" s="433"/>
      <c r="T24" s="434"/>
      <c r="U24" s="330"/>
      <c r="V24" s="331"/>
      <c r="W24" s="316"/>
      <c r="X24" s="317"/>
      <c r="Y24" s="318"/>
      <c r="Z24" s="319"/>
      <c r="AA24" s="318"/>
      <c r="AB24" s="319"/>
      <c r="AC24" s="318"/>
      <c r="AD24" s="319"/>
      <c r="AE24" s="318"/>
      <c r="AF24" s="319"/>
      <c r="AG24" s="318"/>
      <c r="AH24" s="319"/>
      <c r="AI24" s="318"/>
      <c r="AJ24" s="319"/>
      <c r="AK24" s="480">
        <v>1</v>
      </c>
      <c r="AL24" s="432"/>
      <c r="AM24" s="433"/>
      <c r="AN24" s="434"/>
      <c r="AO24" s="330"/>
      <c r="AP24" s="331"/>
      <c r="AQ24" s="316"/>
      <c r="AR24" s="317"/>
      <c r="AS24" s="318"/>
      <c r="AT24" s="319"/>
      <c r="AU24" s="318"/>
      <c r="AV24" s="319"/>
      <c r="AW24" s="318"/>
      <c r="AX24" s="319"/>
      <c r="AY24" s="318"/>
      <c r="AZ24" s="319"/>
    </row>
    <row r="25" spans="1:53" ht="21" customHeight="1">
      <c r="A25" s="480">
        <v>2</v>
      </c>
      <c r="B25" s="432"/>
      <c r="C25" s="433"/>
      <c r="D25" s="434"/>
      <c r="E25" s="330"/>
      <c r="F25" s="331"/>
      <c r="G25" s="316"/>
      <c r="H25" s="317"/>
      <c r="I25" s="318"/>
      <c r="J25" s="319"/>
      <c r="K25" s="316"/>
      <c r="L25" s="316"/>
      <c r="M25" s="318"/>
      <c r="N25" s="319"/>
      <c r="O25" s="318"/>
      <c r="P25" s="319"/>
      <c r="Q25" s="480">
        <v>2</v>
      </c>
      <c r="R25" s="432"/>
      <c r="S25" s="433"/>
      <c r="T25" s="434"/>
      <c r="U25" s="330"/>
      <c r="V25" s="331"/>
      <c r="W25" s="316"/>
      <c r="X25" s="317"/>
      <c r="Y25" s="318"/>
      <c r="Z25" s="319"/>
      <c r="AA25" s="318"/>
      <c r="AB25" s="319"/>
      <c r="AC25" s="318"/>
      <c r="AD25" s="319"/>
      <c r="AE25" s="318"/>
      <c r="AF25" s="319"/>
      <c r="AG25" s="318"/>
      <c r="AH25" s="319"/>
      <c r="AI25" s="318"/>
      <c r="AJ25" s="319"/>
      <c r="AK25" s="480">
        <v>2</v>
      </c>
      <c r="AL25" s="432"/>
      <c r="AM25" s="433"/>
      <c r="AN25" s="434"/>
      <c r="AO25" s="330"/>
      <c r="AP25" s="331"/>
      <c r="AQ25" s="316"/>
      <c r="AR25" s="317"/>
      <c r="AS25" s="318"/>
      <c r="AT25" s="319"/>
      <c r="AU25" s="318"/>
      <c r="AV25" s="319"/>
      <c r="AW25" s="318"/>
      <c r="AX25" s="319"/>
      <c r="AY25" s="318"/>
      <c r="AZ25" s="319"/>
    </row>
    <row r="26" spans="1:53" ht="21" customHeight="1" thickBot="1">
      <c r="A26" s="481">
        <v>3</v>
      </c>
      <c r="B26" s="435"/>
      <c r="C26" s="436"/>
      <c r="D26" s="437"/>
      <c r="E26" s="332"/>
      <c r="F26" s="333"/>
      <c r="G26" s="320"/>
      <c r="H26" s="321"/>
      <c r="I26" s="322"/>
      <c r="J26" s="323"/>
      <c r="K26" s="320"/>
      <c r="L26" s="320"/>
      <c r="M26" s="322"/>
      <c r="N26" s="323"/>
      <c r="O26" s="322"/>
      <c r="P26" s="323"/>
      <c r="Q26" s="481">
        <v>3</v>
      </c>
      <c r="R26" s="435"/>
      <c r="S26" s="436"/>
      <c r="T26" s="437"/>
      <c r="U26" s="332"/>
      <c r="V26" s="333"/>
      <c r="W26" s="320"/>
      <c r="X26" s="321"/>
      <c r="Y26" s="322"/>
      <c r="Z26" s="323"/>
      <c r="AA26" s="322"/>
      <c r="AB26" s="323"/>
      <c r="AC26" s="322"/>
      <c r="AD26" s="323"/>
      <c r="AE26" s="322"/>
      <c r="AF26" s="323"/>
      <c r="AG26" s="322"/>
      <c r="AH26" s="323"/>
      <c r="AI26" s="322"/>
      <c r="AJ26" s="323"/>
      <c r="AK26" s="481">
        <v>3</v>
      </c>
      <c r="AL26" s="435"/>
      <c r="AM26" s="436"/>
      <c r="AN26" s="437"/>
      <c r="AO26" s="332"/>
      <c r="AP26" s="333"/>
      <c r="AQ26" s="320"/>
      <c r="AR26" s="321"/>
      <c r="AS26" s="322"/>
      <c r="AT26" s="323"/>
      <c r="AU26" s="322"/>
      <c r="AV26" s="323"/>
      <c r="AW26" s="322"/>
      <c r="AX26" s="323"/>
      <c r="AY26" s="322"/>
      <c r="AZ26" s="323"/>
    </row>
    <row r="27" spans="1:53" ht="21" customHeight="1" thickTop="1">
      <c r="A27" s="483">
        <v>4</v>
      </c>
      <c r="B27" s="438"/>
      <c r="C27" s="439"/>
      <c r="D27" s="440"/>
      <c r="E27" s="334"/>
      <c r="F27" s="335"/>
      <c r="G27" s="313"/>
      <c r="H27" s="140"/>
      <c r="I27" s="314"/>
      <c r="J27" s="315"/>
      <c r="K27" s="313"/>
      <c r="L27" s="313"/>
      <c r="M27" s="314"/>
      <c r="N27" s="315"/>
      <c r="O27" s="314"/>
      <c r="P27" s="315"/>
      <c r="Q27" s="483">
        <v>4</v>
      </c>
      <c r="R27" s="438"/>
      <c r="S27" s="439"/>
      <c r="T27" s="440"/>
      <c r="U27" s="334"/>
      <c r="V27" s="335"/>
      <c r="W27" s="313"/>
      <c r="X27" s="140"/>
      <c r="Y27" s="314"/>
      <c r="Z27" s="315"/>
      <c r="AA27" s="314"/>
      <c r="AB27" s="315"/>
      <c r="AC27" s="314"/>
      <c r="AD27" s="315"/>
      <c r="AE27" s="314"/>
      <c r="AF27" s="315"/>
      <c r="AG27" s="314"/>
      <c r="AH27" s="315"/>
      <c r="AI27" s="314"/>
      <c r="AJ27" s="315"/>
      <c r="AK27" s="483">
        <v>4</v>
      </c>
      <c r="AL27" s="438"/>
      <c r="AM27" s="439"/>
      <c r="AN27" s="440"/>
      <c r="AO27" s="334"/>
      <c r="AP27" s="335"/>
      <c r="AQ27" s="313"/>
      <c r="AR27" s="140"/>
      <c r="AS27" s="314"/>
      <c r="AT27" s="315"/>
      <c r="AU27" s="314"/>
      <c r="AV27" s="315"/>
      <c r="AW27" s="314"/>
      <c r="AX27" s="315"/>
      <c r="AY27" s="314"/>
      <c r="AZ27" s="315"/>
    </row>
    <row r="28" spans="1:53" ht="21" customHeight="1">
      <c r="A28" s="480">
        <v>5</v>
      </c>
      <c r="B28" s="432"/>
      <c r="C28" s="433"/>
      <c r="D28" s="434"/>
      <c r="E28" s="330"/>
      <c r="F28" s="331"/>
      <c r="G28" s="316"/>
      <c r="H28" s="317"/>
      <c r="I28" s="318"/>
      <c r="J28" s="319"/>
      <c r="K28" s="316"/>
      <c r="L28" s="316"/>
      <c r="M28" s="318"/>
      <c r="N28" s="319"/>
      <c r="O28" s="318"/>
      <c r="P28" s="319"/>
      <c r="Q28" s="480">
        <v>5</v>
      </c>
      <c r="R28" s="432"/>
      <c r="S28" s="433"/>
      <c r="T28" s="434"/>
      <c r="U28" s="330"/>
      <c r="V28" s="331"/>
      <c r="W28" s="316"/>
      <c r="X28" s="317"/>
      <c r="Y28" s="318"/>
      <c r="Z28" s="319"/>
      <c r="AA28" s="318"/>
      <c r="AB28" s="319"/>
      <c r="AC28" s="318"/>
      <c r="AD28" s="319"/>
      <c r="AE28" s="318"/>
      <c r="AF28" s="319"/>
      <c r="AG28" s="318"/>
      <c r="AH28" s="319"/>
      <c r="AI28" s="318"/>
      <c r="AJ28" s="319"/>
      <c r="AK28" s="480">
        <v>5</v>
      </c>
      <c r="AL28" s="432"/>
      <c r="AM28" s="433"/>
      <c r="AN28" s="434"/>
      <c r="AO28" s="330"/>
      <c r="AP28" s="331"/>
      <c r="AQ28" s="316"/>
      <c r="AR28" s="317"/>
      <c r="AS28" s="318"/>
      <c r="AT28" s="319"/>
      <c r="AU28" s="318"/>
      <c r="AV28" s="319"/>
      <c r="AW28" s="318"/>
      <c r="AX28" s="319"/>
      <c r="AY28" s="318"/>
      <c r="AZ28" s="319"/>
    </row>
    <row r="29" spans="1:53" ht="21" customHeight="1" thickBot="1">
      <c r="A29" s="481">
        <v>6</v>
      </c>
      <c r="B29" s="435"/>
      <c r="C29" s="436"/>
      <c r="D29" s="437"/>
      <c r="E29" s="332"/>
      <c r="F29" s="333"/>
      <c r="G29" s="320"/>
      <c r="H29" s="321"/>
      <c r="I29" s="322"/>
      <c r="J29" s="323"/>
      <c r="K29" s="320"/>
      <c r="L29" s="320"/>
      <c r="M29" s="322"/>
      <c r="N29" s="323"/>
      <c r="O29" s="322"/>
      <c r="P29" s="323"/>
      <c r="Q29" s="481">
        <v>6</v>
      </c>
      <c r="R29" s="435"/>
      <c r="S29" s="436"/>
      <c r="T29" s="437"/>
      <c r="U29" s="332"/>
      <c r="V29" s="333"/>
      <c r="W29" s="320"/>
      <c r="X29" s="321"/>
      <c r="Y29" s="322"/>
      <c r="Z29" s="323"/>
      <c r="AA29" s="322"/>
      <c r="AB29" s="323"/>
      <c r="AC29" s="322"/>
      <c r="AD29" s="323"/>
      <c r="AE29" s="322"/>
      <c r="AF29" s="323"/>
      <c r="AG29" s="322"/>
      <c r="AH29" s="323"/>
      <c r="AI29" s="322"/>
      <c r="AJ29" s="323"/>
      <c r="AK29" s="481">
        <v>6</v>
      </c>
      <c r="AL29" s="435"/>
      <c r="AM29" s="436"/>
      <c r="AN29" s="437"/>
      <c r="AO29" s="332"/>
      <c r="AP29" s="333"/>
      <c r="AQ29" s="320"/>
      <c r="AR29" s="321"/>
      <c r="AS29" s="322"/>
      <c r="AT29" s="323"/>
      <c r="AU29" s="322"/>
      <c r="AV29" s="323"/>
      <c r="AW29" s="322"/>
      <c r="AX29" s="323"/>
      <c r="AY29" s="322"/>
      <c r="AZ29" s="323"/>
    </row>
    <row r="30" spans="1:53" ht="21" customHeight="1" thickTop="1">
      <c r="A30" s="480">
        <v>7</v>
      </c>
      <c r="B30" s="438"/>
      <c r="C30" s="439"/>
      <c r="D30" s="440"/>
      <c r="E30" s="334"/>
      <c r="F30" s="335"/>
      <c r="G30" s="316"/>
      <c r="H30" s="317"/>
      <c r="I30" s="318"/>
      <c r="J30" s="319"/>
      <c r="K30" s="316"/>
      <c r="L30" s="316"/>
      <c r="M30" s="318"/>
      <c r="N30" s="319"/>
      <c r="O30" s="318"/>
      <c r="P30" s="319"/>
      <c r="Q30" s="480">
        <v>7</v>
      </c>
      <c r="R30" s="438"/>
      <c r="S30" s="439"/>
      <c r="T30" s="440"/>
      <c r="U30" s="334"/>
      <c r="V30" s="335"/>
      <c r="W30" s="316"/>
      <c r="X30" s="317"/>
      <c r="Y30" s="318"/>
      <c r="Z30" s="319"/>
      <c r="AA30" s="318"/>
      <c r="AB30" s="319"/>
      <c r="AC30" s="318"/>
      <c r="AD30" s="319"/>
      <c r="AE30" s="318"/>
      <c r="AF30" s="319"/>
      <c r="AG30" s="318"/>
      <c r="AH30" s="319"/>
      <c r="AI30" s="318"/>
      <c r="AJ30" s="319"/>
      <c r="AK30" s="480">
        <v>7</v>
      </c>
      <c r="AL30" s="438"/>
      <c r="AM30" s="439"/>
      <c r="AN30" s="440"/>
      <c r="AO30" s="334"/>
      <c r="AP30" s="335"/>
      <c r="AQ30" s="316"/>
      <c r="AR30" s="317"/>
      <c r="AS30" s="318"/>
      <c r="AT30" s="319"/>
      <c r="AU30" s="318"/>
      <c r="AV30" s="319"/>
      <c r="AW30" s="318"/>
      <c r="AX30" s="319"/>
      <c r="AY30" s="318"/>
      <c r="AZ30" s="319"/>
    </row>
    <row r="31" spans="1:53" ht="21" customHeight="1">
      <c r="A31" s="480">
        <v>8</v>
      </c>
      <c r="B31" s="432"/>
      <c r="C31" s="433"/>
      <c r="D31" s="434"/>
      <c r="E31" s="330"/>
      <c r="F31" s="331"/>
      <c r="G31" s="316"/>
      <c r="H31" s="317"/>
      <c r="I31" s="318"/>
      <c r="J31" s="319"/>
      <c r="K31" s="316"/>
      <c r="L31" s="316"/>
      <c r="M31" s="318"/>
      <c r="N31" s="319"/>
      <c r="O31" s="318"/>
      <c r="P31" s="319"/>
      <c r="Q31" s="480">
        <v>8</v>
      </c>
      <c r="R31" s="432"/>
      <c r="S31" s="433"/>
      <c r="T31" s="434"/>
      <c r="U31" s="330"/>
      <c r="V31" s="331"/>
      <c r="W31" s="316"/>
      <c r="X31" s="317"/>
      <c r="Y31" s="318"/>
      <c r="Z31" s="319"/>
      <c r="AA31" s="318"/>
      <c r="AB31" s="319"/>
      <c r="AC31" s="318"/>
      <c r="AD31" s="319"/>
      <c r="AE31" s="318"/>
      <c r="AF31" s="319"/>
      <c r="AG31" s="318"/>
      <c r="AH31" s="319"/>
      <c r="AI31" s="318"/>
      <c r="AJ31" s="319"/>
      <c r="AK31" s="480">
        <v>8</v>
      </c>
      <c r="AL31" s="432"/>
      <c r="AM31" s="433"/>
      <c r="AN31" s="434"/>
      <c r="AO31" s="330"/>
      <c r="AP31" s="331"/>
      <c r="AQ31" s="316"/>
      <c r="AR31" s="317"/>
      <c r="AS31" s="318"/>
      <c r="AT31" s="319"/>
      <c r="AU31" s="318"/>
      <c r="AV31" s="319"/>
      <c r="AW31" s="318"/>
      <c r="AX31" s="319"/>
      <c r="AY31" s="318"/>
      <c r="AZ31" s="319"/>
    </row>
    <row r="32" spans="1:53" ht="21" customHeight="1" thickBot="1">
      <c r="A32" s="481">
        <v>9</v>
      </c>
      <c r="B32" s="435"/>
      <c r="C32" s="436"/>
      <c r="D32" s="437"/>
      <c r="E32" s="332"/>
      <c r="F32" s="333"/>
      <c r="G32" s="320"/>
      <c r="H32" s="321"/>
      <c r="I32" s="322"/>
      <c r="J32" s="323"/>
      <c r="K32" s="320"/>
      <c r="L32" s="320"/>
      <c r="M32" s="322"/>
      <c r="N32" s="323"/>
      <c r="O32" s="322"/>
      <c r="P32" s="323"/>
      <c r="Q32" s="481">
        <v>9</v>
      </c>
      <c r="R32" s="435"/>
      <c r="S32" s="436"/>
      <c r="T32" s="437"/>
      <c r="U32" s="332"/>
      <c r="V32" s="333"/>
      <c r="W32" s="320"/>
      <c r="X32" s="321"/>
      <c r="Y32" s="322"/>
      <c r="Z32" s="323"/>
      <c r="AA32" s="322"/>
      <c r="AB32" s="323"/>
      <c r="AC32" s="322"/>
      <c r="AD32" s="323"/>
      <c r="AE32" s="322"/>
      <c r="AF32" s="323"/>
      <c r="AG32" s="322"/>
      <c r="AH32" s="323"/>
      <c r="AI32" s="322"/>
      <c r="AJ32" s="323"/>
      <c r="AK32" s="481">
        <v>9</v>
      </c>
      <c r="AL32" s="435"/>
      <c r="AM32" s="436"/>
      <c r="AN32" s="437"/>
      <c r="AO32" s="332"/>
      <c r="AP32" s="333"/>
      <c r="AQ32" s="320"/>
      <c r="AR32" s="321"/>
      <c r="AS32" s="322"/>
      <c r="AT32" s="323"/>
      <c r="AU32" s="322"/>
      <c r="AV32" s="323"/>
      <c r="AW32" s="322"/>
      <c r="AX32" s="323"/>
      <c r="AY32" s="322"/>
      <c r="AZ32" s="323"/>
    </row>
    <row r="33" spans="1:52" ht="21" customHeight="1" thickTop="1">
      <c r="A33" s="480">
        <v>10</v>
      </c>
      <c r="B33" s="438"/>
      <c r="C33" s="439"/>
      <c r="D33" s="440"/>
      <c r="E33" s="334"/>
      <c r="F33" s="335"/>
      <c r="G33" s="316"/>
      <c r="H33" s="317"/>
      <c r="I33" s="318"/>
      <c r="J33" s="319"/>
      <c r="K33" s="316"/>
      <c r="L33" s="316"/>
      <c r="M33" s="318"/>
      <c r="N33" s="319"/>
      <c r="O33" s="318"/>
      <c r="P33" s="319"/>
      <c r="Q33" s="480">
        <v>10</v>
      </c>
      <c r="R33" s="438"/>
      <c r="S33" s="439"/>
      <c r="T33" s="440"/>
      <c r="U33" s="334"/>
      <c r="V33" s="335"/>
      <c r="W33" s="316"/>
      <c r="X33" s="317"/>
      <c r="Y33" s="318"/>
      <c r="Z33" s="319"/>
      <c r="AA33" s="318"/>
      <c r="AB33" s="319"/>
      <c r="AC33" s="318"/>
      <c r="AD33" s="319"/>
      <c r="AE33" s="318"/>
      <c r="AF33" s="319"/>
      <c r="AG33" s="318"/>
      <c r="AH33" s="319"/>
      <c r="AI33" s="318"/>
      <c r="AJ33" s="319"/>
      <c r="AK33" s="480">
        <v>10</v>
      </c>
      <c r="AL33" s="438"/>
      <c r="AM33" s="439"/>
      <c r="AN33" s="440"/>
      <c r="AO33" s="334"/>
      <c r="AP33" s="335"/>
      <c r="AQ33" s="316"/>
      <c r="AR33" s="317"/>
      <c r="AS33" s="318"/>
      <c r="AT33" s="319"/>
      <c r="AU33" s="318"/>
      <c r="AV33" s="319"/>
      <c r="AW33" s="318"/>
      <c r="AX33" s="319"/>
      <c r="AY33" s="318"/>
      <c r="AZ33" s="319"/>
    </row>
    <row r="34" spans="1:52" ht="21" customHeight="1">
      <c r="A34" s="480">
        <v>11</v>
      </c>
      <c r="B34" s="432"/>
      <c r="C34" s="433"/>
      <c r="D34" s="434"/>
      <c r="E34" s="330"/>
      <c r="F34" s="331"/>
      <c r="G34" s="316"/>
      <c r="H34" s="317"/>
      <c r="I34" s="318"/>
      <c r="J34" s="319"/>
      <c r="K34" s="316"/>
      <c r="L34" s="316"/>
      <c r="M34" s="318"/>
      <c r="N34" s="319"/>
      <c r="O34" s="318"/>
      <c r="P34" s="319"/>
      <c r="Q34" s="480">
        <v>11</v>
      </c>
      <c r="R34" s="432"/>
      <c r="S34" s="433"/>
      <c r="T34" s="434"/>
      <c r="U34" s="330"/>
      <c r="V34" s="331"/>
      <c r="W34" s="316"/>
      <c r="X34" s="317"/>
      <c r="Y34" s="318"/>
      <c r="Z34" s="319"/>
      <c r="AA34" s="318"/>
      <c r="AB34" s="319"/>
      <c r="AC34" s="318"/>
      <c r="AD34" s="319"/>
      <c r="AE34" s="318"/>
      <c r="AF34" s="319"/>
      <c r="AG34" s="318"/>
      <c r="AH34" s="319"/>
      <c r="AI34" s="318"/>
      <c r="AJ34" s="319"/>
      <c r="AK34" s="480">
        <v>11</v>
      </c>
      <c r="AL34" s="432"/>
      <c r="AM34" s="433"/>
      <c r="AN34" s="434"/>
      <c r="AO34" s="330"/>
      <c r="AP34" s="331"/>
      <c r="AQ34" s="316"/>
      <c r="AR34" s="317"/>
      <c r="AS34" s="318"/>
      <c r="AT34" s="319"/>
      <c r="AU34" s="318"/>
      <c r="AV34" s="319"/>
      <c r="AW34" s="318"/>
      <c r="AX34" s="319"/>
      <c r="AY34" s="318"/>
      <c r="AZ34" s="319"/>
    </row>
    <row r="35" spans="1:52" ht="21" customHeight="1" thickBot="1">
      <c r="A35" s="481">
        <v>12</v>
      </c>
      <c r="B35" s="435"/>
      <c r="C35" s="436"/>
      <c r="D35" s="437"/>
      <c r="E35" s="332"/>
      <c r="F35" s="333"/>
      <c r="G35" s="320"/>
      <c r="H35" s="321"/>
      <c r="I35" s="322"/>
      <c r="J35" s="323"/>
      <c r="K35" s="320"/>
      <c r="L35" s="320"/>
      <c r="M35" s="322"/>
      <c r="N35" s="323"/>
      <c r="O35" s="322"/>
      <c r="P35" s="323"/>
      <c r="Q35" s="481">
        <v>12</v>
      </c>
      <c r="R35" s="435"/>
      <c r="S35" s="436"/>
      <c r="T35" s="437"/>
      <c r="U35" s="332"/>
      <c r="V35" s="333"/>
      <c r="W35" s="320"/>
      <c r="X35" s="321"/>
      <c r="Y35" s="322"/>
      <c r="Z35" s="323"/>
      <c r="AA35" s="322"/>
      <c r="AB35" s="323"/>
      <c r="AC35" s="322"/>
      <c r="AD35" s="323"/>
      <c r="AE35" s="322"/>
      <c r="AF35" s="323"/>
      <c r="AG35" s="322"/>
      <c r="AH35" s="323"/>
      <c r="AI35" s="322"/>
      <c r="AJ35" s="323"/>
      <c r="AK35" s="481">
        <v>12</v>
      </c>
      <c r="AL35" s="435"/>
      <c r="AM35" s="436"/>
      <c r="AN35" s="437"/>
      <c r="AO35" s="332"/>
      <c r="AP35" s="333"/>
      <c r="AQ35" s="320"/>
      <c r="AR35" s="321"/>
      <c r="AS35" s="322"/>
      <c r="AT35" s="323"/>
      <c r="AU35" s="322"/>
      <c r="AV35" s="323"/>
      <c r="AW35" s="322"/>
      <c r="AX35" s="323"/>
      <c r="AY35" s="322"/>
      <c r="AZ35" s="323"/>
    </row>
    <row r="36" spans="1:52" ht="21" customHeight="1" thickTop="1">
      <c r="A36" s="482">
        <v>13</v>
      </c>
      <c r="B36" s="438"/>
      <c r="C36" s="439"/>
      <c r="D36" s="440"/>
      <c r="E36" s="334"/>
      <c r="F36" s="335"/>
      <c r="G36" s="324"/>
      <c r="H36" s="325"/>
      <c r="I36" s="326"/>
      <c r="J36" s="327"/>
      <c r="K36" s="324"/>
      <c r="L36" s="324"/>
      <c r="M36" s="326"/>
      <c r="N36" s="327"/>
      <c r="O36" s="326"/>
      <c r="P36" s="327"/>
      <c r="Q36" s="482">
        <v>13</v>
      </c>
      <c r="R36" s="438"/>
      <c r="S36" s="439"/>
      <c r="T36" s="440"/>
      <c r="U36" s="334"/>
      <c r="V36" s="335"/>
      <c r="W36" s="324"/>
      <c r="X36" s="325"/>
      <c r="Y36" s="326"/>
      <c r="Z36" s="327"/>
      <c r="AA36" s="326"/>
      <c r="AB36" s="327"/>
      <c r="AC36" s="326"/>
      <c r="AD36" s="327"/>
      <c r="AE36" s="326"/>
      <c r="AF36" s="327"/>
      <c r="AG36" s="326"/>
      <c r="AH36" s="327"/>
      <c r="AI36" s="326"/>
      <c r="AJ36" s="327"/>
      <c r="AK36" s="482">
        <v>13</v>
      </c>
      <c r="AL36" s="438"/>
      <c r="AM36" s="439"/>
      <c r="AN36" s="440"/>
      <c r="AO36" s="334"/>
      <c r="AP36" s="335"/>
      <c r="AQ36" s="324"/>
      <c r="AR36" s="325"/>
      <c r="AS36" s="326"/>
      <c r="AT36" s="327"/>
      <c r="AU36" s="326"/>
      <c r="AV36" s="327"/>
      <c r="AW36" s="326"/>
      <c r="AX36" s="327"/>
      <c r="AY36" s="326"/>
      <c r="AZ36" s="327"/>
    </row>
    <row r="37" spans="1:52" ht="21" customHeight="1">
      <c r="A37" s="480">
        <v>14</v>
      </c>
      <c r="B37" s="432"/>
      <c r="C37" s="433"/>
      <c r="D37" s="434"/>
      <c r="E37" s="330"/>
      <c r="F37" s="331"/>
      <c r="G37" s="316"/>
      <c r="H37" s="317"/>
      <c r="I37" s="318"/>
      <c r="J37" s="319"/>
      <c r="K37" s="316"/>
      <c r="L37" s="316"/>
      <c r="M37" s="318"/>
      <c r="N37" s="319"/>
      <c r="O37" s="318"/>
      <c r="P37" s="319"/>
      <c r="Q37" s="480">
        <v>14</v>
      </c>
      <c r="R37" s="432"/>
      <c r="S37" s="433"/>
      <c r="T37" s="434"/>
      <c r="U37" s="330"/>
      <c r="V37" s="331"/>
      <c r="W37" s="316"/>
      <c r="X37" s="317"/>
      <c r="Y37" s="318"/>
      <c r="Z37" s="319"/>
      <c r="AA37" s="318"/>
      <c r="AB37" s="319"/>
      <c r="AC37" s="318"/>
      <c r="AD37" s="319"/>
      <c r="AE37" s="318"/>
      <c r="AF37" s="319"/>
      <c r="AG37" s="318"/>
      <c r="AH37" s="319"/>
      <c r="AI37" s="318"/>
      <c r="AJ37" s="319"/>
      <c r="AK37" s="480">
        <v>14</v>
      </c>
      <c r="AL37" s="432"/>
      <c r="AM37" s="433"/>
      <c r="AN37" s="434"/>
      <c r="AO37" s="330"/>
      <c r="AP37" s="331"/>
      <c r="AQ37" s="316"/>
      <c r="AR37" s="317"/>
      <c r="AS37" s="318"/>
      <c r="AT37" s="319"/>
      <c r="AU37" s="318"/>
      <c r="AV37" s="319"/>
      <c r="AW37" s="318"/>
      <c r="AX37" s="319"/>
      <c r="AY37" s="318"/>
      <c r="AZ37" s="319"/>
    </row>
    <row r="38" spans="1:52" ht="21" customHeight="1">
      <c r="A38" s="480">
        <v>15</v>
      </c>
      <c r="B38" s="432"/>
      <c r="C38" s="433"/>
      <c r="D38" s="434"/>
      <c r="E38" s="330"/>
      <c r="F38" s="331"/>
      <c r="G38" s="316"/>
      <c r="H38" s="317"/>
      <c r="I38" s="318"/>
      <c r="J38" s="319"/>
      <c r="K38" s="316"/>
      <c r="L38" s="316"/>
      <c r="M38" s="318"/>
      <c r="N38" s="319"/>
      <c r="O38" s="318"/>
      <c r="P38" s="319"/>
      <c r="Q38" s="480">
        <v>15</v>
      </c>
      <c r="R38" s="432"/>
      <c r="S38" s="433"/>
      <c r="T38" s="434"/>
      <c r="U38" s="330"/>
      <c r="V38" s="331"/>
      <c r="W38" s="316"/>
      <c r="X38" s="317"/>
      <c r="Y38" s="318"/>
      <c r="Z38" s="319"/>
      <c r="AA38" s="318"/>
      <c r="AB38" s="319"/>
      <c r="AC38" s="318"/>
      <c r="AD38" s="319"/>
      <c r="AE38" s="318"/>
      <c r="AF38" s="319"/>
      <c r="AG38" s="318"/>
      <c r="AH38" s="319"/>
      <c r="AI38" s="318"/>
      <c r="AJ38" s="319"/>
      <c r="AK38" s="480">
        <v>15</v>
      </c>
      <c r="AL38" s="432"/>
      <c r="AM38" s="433"/>
      <c r="AN38" s="434"/>
      <c r="AO38" s="330"/>
      <c r="AP38" s="331"/>
      <c r="AQ38" s="316"/>
      <c r="AR38" s="317"/>
      <c r="AS38" s="318"/>
      <c r="AT38" s="319"/>
      <c r="AU38" s="318"/>
      <c r="AV38" s="319"/>
      <c r="AW38" s="318"/>
      <c r="AX38" s="319"/>
      <c r="AY38" s="318"/>
      <c r="AZ38" s="319"/>
    </row>
  </sheetData>
  <mergeCells count="120">
    <mergeCell ref="AZ17:AZ18"/>
    <mergeCell ref="AY14:AY15"/>
    <mergeCell ref="AV17:AV18"/>
    <mergeCell ref="AW17:AW18"/>
    <mergeCell ref="AX17:AX18"/>
    <mergeCell ref="AY17:AY18"/>
    <mergeCell ref="AW14:AW15"/>
    <mergeCell ref="AX14:AX15"/>
    <mergeCell ref="AK3:AK23"/>
    <mergeCell ref="AT17:AT18"/>
    <mergeCell ref="AU17:AU18"/>
    <mergeCell ref="AL22:AN22"/>
    <mergeCell ref="AW4:AX13"/>
    <mergeCell ref="AY4:AZ13"/>
    <mergeCell ref="AL4:AN9"/>
    <mergeCell ref="AO4:AP13"/>
    <mergeCell ref="AQ4:AR13"/>
    <mergeCell ref="AU4:AV13"/>
    <mergeCell ref="AZ14:AZ15"/>
    <mergeCell ref="AT14:AT15"/>
    <mergeCell ref="AQ17:AQ18"/>
    <mergeCell ref="AR17:AR18"/>
    <mergeCell ref="AS17:AS18"/>
    <mergeCell ref="AQ14:AQ15"/>
    <mergeCell ref="V19:V20"/>
    <mergeCell ref="Y4:Z13"/>
    <mergeCell ref="AO3:AP3"/>
    <mergeCell ref="AO14:AO15"/>
    <mergeCell ref="AP14:AP15"/>
    <mergeCell ref="AH16:AH17"/>
    <mergeCell ref="AI16:AI17"/>
    <mergeCell ref="AJ16:AJ17"/>
    <mergeCell ref="AI19:AI20"/>
    <mergeCell ref="AH19:AH20"/>
    <mergeCell ref="AI4:AJ13"/>
    <mergeCell ref="AJ19:AJ20"/>
    <mergeCell ref="AH14:AH15"/>
    <mergeCell ref="AI14:AI15"/>
    <mergeCell ref="AJ14:AJ15"/>
    <mergeCell ref="AL3:AN3"/>
    <mergeCell ref="AC4:AD13"/>
    <mergeCell ref="AE4:AF13"/>
    <mergeCell ref="AG4:AH13"/>
    <mergeCell ref="AE14:AE15"/>
    <mergeCell ref="AF14:AF15"/>
    <mergeCell ref="AC16:AC17"/>
    <mergeCell ref="AD16:AD17"/>
    <mergeCell ref="Y16:Y17"/>
    <mergeCell ref="O17:O18"/>
    <mergeCell ref="E3:F3"/>
    <mergeCell ref="K17:K18"/>
    <mergeCell ref="L17:L18"/>
    <mergeCell ref="I4:J11"/>
    <mergeCell ref="P17:P18"/>
    <mergeCell ref="K4:L13"/>
    <mergeCell ref="U3:V3"/>
    <mergeCell ref="X19:X20"/>
    <mergeCell ref="U19:U20"/>
    <mergeCell ref="W19:W20"/>
    <mergeCell ref="Q3:Q23"/>
    <mergeCell ref="U16:U17"/>
    <mergeCell ref="V16:V17"/>
    <mergeCell ref="R22:T22"/>
    <mergeCell ref="U4:V13"/>
    <mergeCell ref="W4:X13"/>
    <mergeCell ref="R3:T3"/>
    <mergeCell ref="R4:T9"/>
    <mergeCell ref="U14:U15"/>
    <mergeCell ref="V14:V15"/>
    <mergeCell ref="W14:W15"/>
    <mergeCell ref="X14:X15"/>
    <mergeCell ref="X16:X17"/>
    <mergeCell ref="AG14:AG15"/>
    <mergeCell ref="Z19:Z20"/>
    <mergeCell ref="AF19:AF20"/>
    <mergeCell ref="Y19:Y20"/>
    <mergeCell ref="AA19:AA20"/>
    <mergeCell ref="Z16:Z17"/>
    <mergeCell ref="AU14:AU15"/>
    <mergeCell ref="A3:A23"/>
    <mergeCell ref="B3:D3"/>
    <mergeCell ref="B4:D9"/>
    <mergeCell ref="B22:D22"/>
    <mergeCell ref="B10:D17"/>
    <mergeCell ref="E4:F13"/>
    <mergeCell ref="M4:N13"/>
    <mergeCell ref="O4:P13"/>
    <mergeCell ref="E17:E18"/>
    <mergeCell ref="F17:F18"/>
    <mergeCell ref="G17:G18"/>
    <mergeCell ref="H17:H18"/>
    <mergeCell ref="I17:I18"/>
    <mergeCell ref="J17:J18"/>
    <mergeCell ref="G4:H15"/>
    <mergeCell ref="M17:M18"/>
    <mergeCell ref="N17:N18"/>
    <mergeCell ref="AV14:AV15"/>
    <mergeCell ref="AS4:AT12"/>
    <mergeCell ref="AC19:AC20"/>
    <mergeCell ref="AC14:AC15"/>
    <mergeCell ref="AA16:AA17"/>
    <mergeCell ref="AB16:AB17"/>
    <mergeCell ref="W16:W17"/>
    <mergeCell ref="AB19:AB20"/>
    <mergeCell ref="AR14:AR15"/>
    <mergeCell ref="AS14:AS15"/>
    <mergeCell ref="AA14:AA15"/>
    <mergeCell ref="AB14:AB15"/>
    <mergeCell ref="AD14:AD15"/>
    <mergeCell ref="AO17:AO18"/>
    <mergeCell ref="AP17:AP18"/>
    <mergeCell ref="AA4:AB13"/>
    <mergeCell ref="AE19:AE20"/>
    <mergeCell ref="AG19:AG20"/>
    <mergeCell ref="AD19:AD20"/>
    <mergeCell ref="Y14:Y15"/>
    <mergeCell ref="Z14:Z15"/>
    <mergeCell ref="AG16:AG17"/>
    <mergeCell ref="AE16:AE17"/>
    <mergeCell ref="AF16:AF17"/>
  </mergeCells>
  <pageMargins left="0.45" right="0.45" top="0.75" bottom="0.5" header="0.3" footer="0.3"/>
  <pageSetup paperSize="9" scale="80" orientation="landscape" r:id="rId1"/>
  <colBreaks count="2" manualBreakCount="2">
    <brk id="16" max="1048575" man="1"/>
    <brk id="36" max="1048575" man="1"/>
  </colBreak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B44"/>
  <sheetViews>
    <sheetView view="pageBreakPreview" topLeftCell="DD1" zoomScaleNormal="100" zoomScaleSheetLayoutView="100" workbookViewId="0">
      <selection activeCell="DP34" sqref="DP34"/>
    </sheetView>
  </sheetViews>
  <sheetFormatPr defaultColWidth="9.140625" defaultRowHeight="11.25"/>
  <cols>
    <col min="1" max="1" width="3.7109375" style="341" customWidth="1"/>
    <col min="2" max="2" width="7.28515625" style="341" customWidth="1"/>
    <col min="3" max="3" width="2.7109375" style="341" customWidth="1"/>
    <col min="4" max="4" width="3.5703125" style="341" customWidth="1"/>
    <col min="5" max="5" width="5.42578125" style="341" customWidth="1"/>
    <col min="6" max="6" width="5.85546875" style="341" customWidth="1"/>
    <col min="7" max="7" width="10.140625" style="341" customWidth="1"/>
    <col min="8" max="8" width="6.7109375" style="341" customWidth="1"/>
    <col min="9" max="9" width="5.42578125" style="341" customWidth="1"/>
    <col min="10" max="10" width="8.7109375" style="341" customWidth="1"/>
    <col min="11" max="11" width="3.42578125" style="341" customWidth="1"/>
    <col min="12" max="12" width="8.85546875" style="341" customWidth="1"/>
    <col min="13" max="13" width="3.42578125" style="341" customWidth="1"/>
    <col min="14" max="14" width="7.140625" style="341" customWidth="1"/>
    <col min="15" max="15" width="6.42578125" style="341" customWidth="1"/>
    <col min="16" max="16" width="9.5703125" style="341" customWidth="1"/>
    <col min="17" max="17" width="5.5703125" style="341" customWidth="1"/>
    <col min="18" max="18" width="18.28515625" style="341" customWidth="1"/>
    <col min="19" max="19" width="11.42578125" style="341" customWidth="1"/>
    <col min="20" max="20" width="5" style="341" customWidth="1"/>
    <col min="21" max="21" width="5.85546875" style="341" customWidth="1"/>
    <col min="22" max="22" width="9.5703125" style="341" customWidth="1"/>
    <col min="23" max="23" width="5.42578125" style="341" customWidth="1"/>
    <col min="24" max="24" width="6.7109375" style="341" customWidth="1"/>
    <col min="25" max="25" width="6" style="341" customWidth="1"/>
    <col min="26" max="26" width="22.42578125" style="341" customWidth="1"/>
    <col min="27" max="27" width="4.28515625" style="341" customWidth="1"/>
    <col min="28" max="28" width="16.85546875" style="341" customWidth="1"/>
    <col min="29" max="29" width="3.42578125" style="341" customWidth="1"/>
    <col min="30" max="30" width="6.28515625" style="341" customWidth="1"/>
    <col min="31" max="31" width="10" style="341" customWidth="1"/>
    <col min="32" max="32" width="6.42578125" style="341" customWidth="1"/>
    <col min="33" max="33" width="8.28515625" style="341" customWidth="1"/>
    <col min="34" max="34" width="6.42578125" style="341" customWidth="1"/>
    <col min="35" max="35" width="15.85546875" style="341" customWidth="1"/>
    <col min="36" max="36" width="13.7109375" style="341" customWidth="1"/>
    <col min="37" max="37" width="3.42578125" style="605" customWidth="1"/>
    <col min="38" max="38" width="7" style="341" customWidth="1"/>
    <col min="39" max="39" width="33.7109375" style="341" customWidth="1"/>
    <col min="40" max="40" width="4.42578125" style="341" customWidth="1"/>
    <col min="41" max="41" width="5.42578125" style="341" customWidth="1"/>
    <col min="42" max="42" width="7.42578125" style="341" customWidth="1"/>
    <col min="43" max="43" width="6.5703125" style="341" customWidth="1"/>
    <col min="44" max="44" width="7.42578125" style="341" customWidth="1"/>
    <col min="45" max="45" width="6.42578125" style="341" customWidth="1"/>
    <col min="46" max="46" width="9.42578125" style="341" customWidth="1"/>
    <col min="47" max="47" width="3.28515625" style="341" customWidth="1"/>
    <col min="48" max="48" width="9.28515625" style="341" customWidth="1"/>
    <col min="49" max="49" width="4.28515625" style="341" customWidth="1"/>
    <col min="50" max="50" width="7.140625" style="341" customWidth="1"/>
    <col min="51" max="51" width="6.7109375" style="341" customWidth="1"/>
    <col min="52" max="52" width="36.85546875" style="341" customWidth="1"/>
    <col min="53" max="54" width="4.85546875" style="341" customWidth="1"/>
    <col min="55" max="55" width="37.85546875" style="341" customWidth="1"/>
    <col min="56" max="58" width="4.5703125" style="341" customWidth="1"/>
    <col min="59" max="59" width="44.42578125" style="341" customWidth="1"/>
    <col min="60" max="60" width="4.140625" style="341" customWidth="1"/>
    <col min="61" max="61" width="6.5703125" style="605" customWidth="1"/>
    <col min="62" max="62" width="20.5703125" style="341" customWidth="1"/>
    <col min="63" max="63" width="4" style="341" customWidth="1"/>
    <col min="64" max="64" width="15.140625" style="341" customWidth="1"/>
    <col min="65" max="65" width="7.28515625" style="341" customWidth="1"/>
    <col min="66" max="67" width="7.42578125" style="341" customWidth="1"/>
    <col min="68" max="68" width="7" style="341" customWidth="1"/>
    <col min="69" max="69" width="15.42578125" style="864" customWidth="1"/>
    <col min="70" max="70" width="6.85546875" style="341" customWidth="1"/>
    <col min="71" max="71" width="35.140625" style="341" customWidth="1"/>
    <col min="72" max="73" width="4.85546875" style="341" customWidth="1"/>
    <col min="74" max="74" width="34.42578125" style="341" customWidth="1"/>
    <col min="75" max="77" width="4.42578125" style="341" customWidth="1"/>
    <col min="78" max="78" width="42.7109375" style="341" customWidth="1"/>
    <col min="79" max="79" width="4.28515625" style="341" customWidth="1"/>
    <col min="80" max="80" width="6.42578125" style="605" customWidth="1"/>
    <col min="81" max="81" width="20.42578125" style="341" customWidth="1"/>
    <col min="82" max="82" width="3.5703125" style="341" customWidth="1"/>
    <col min="83" max="83" width="8.7109375" style="341" customWidth="1"/>
    <col min="84" max="84" width="6.28515625" style="341" customWidth="1"/>
    <col min="85" max="86" width="14.42578125" style="341" customWidth="1"/>
    <col min="87" max="87" width="22.28515625" style="341" customWidth="1"/>
    <col min="88" max="93" width="6.42578125" style="341" customWidth="1"/>
    <col min="94" max="94" width="10" style="341" customWidth="1"/>
    <col min="95" max="95" width="6.140625" style="341" customWidth="1"/>
    <col min="96" max="96" width="14.85546875" style="341" customWidth="1"/>
    <col min="97" max="97" width="8.5703125" style="341" customWidth="1"/>
    <col min="98" max="98" width="45.28515625" style="341" customWidth="1"/>
    <col min="99" max="100" width="4.7109375" style="341" customWidth="1"/>
    <col min="101" max="101" width="45.28515625" style="341" customWidth="1"/>
    <col min="102" max="104" width="4.7109375" style="341" customWidth="1"/>
    <col min="105" max="105" width="43.140625" style="341" customWidth="1"/>
    <col min="106" max="106" width="3.85546875" style="341" customWidth="1"/>
    <col min="107" max="107" width="7.140625" style="605" customWidth="1"/>
    <col min="108" max="108" width="20.85546875" style="341" customWidth="1"/>
    <col min="109" max="109" width="3.28515625" style="341" customWidth="1"/>
    <col min="110" max="115" width="7.42578125" style="341" customWidth="1"/>
    <col min="116" max="116" width="8.140625" style="341" customWidth="1"/>
    <col min="117" max="117" width="8" style="341" customWidth="1"/>
    <col min="118" max="119" width="17.28515625" style="341" customWidth="1"/>
    <col min="120" max="120" width="25.140625" style="341" customWidth="1"/>
    <col min="121" max="16384" width="9.140625" style="341"/>
  </cols>
  <sheetData>
    <row r="1" spans="1:132" ht="15.75">
      <c r="B1" s="357" t="s">
        <v>417</v>
      </c>
      <c r="C1" s="357"/>
      <c r="Y1" s="1004" t="s">
        <v>418</v>
      </c>
      <c r="Z1" s="357" t="s">
        <v>417</v>
      </c>
      <c r="AA1" s="342"/>
      <c r="AB1" s="342"/>
      <c r="AC1" s="342"/>
      <c r="AD1" s="342"/>
      <c r="AG1" s="357"/>
      <c r="AI1" s="357"/>
      <c r="AO1" s="980" t="s">
        <v>419</v>
      </c>
      <c r="AP1" s="357" t="s">
        <v>417</v>
      </c>
      <c r="AZ1" s="357"/>
      <c r="BF1" s="980" t="s">
        <v>419</v>
      </c>
      <c r="BG1" s="357" t="s">
        <v>417</v>
      </c>
      <c r="BH1" s="342"/>
      <c r="BI1" s="791"/>
      <c r="BJ1" s="342"/>
      <c r="BM1" s="357"/>
      <c r="BP1" s="980" t="s">
        <v>419</v>
      </c>
      <c r="BQ1" s="357" t="s">
        <v>417</v>
      </c>
      <c r="BZ1" s="357"/>
      <c r="CA1" s="342"/>
      <c r="CB1" s="980" t="s">
        <v>419</v>
      </c>
      <c r="CC1" s="357" t="s">
        <v>417</v>
      </c>
      <c r="CE1" s="357"/>
      <c r="CJ1" s="357"/>
      <c r="CP1" s="357"/>
      <c r="CS1" s="980" t="s">
        <v>419</v>
      </c>
      <c r="CT1" s="357" t="s">
        <v>420</v>
      </c>
      <c r="DA1" s="357"/>
      <c r="DB1" s="342"/>
      <c r="DC1" s="933" t="s">
        <v>419</v>
      </c>
      <c r="DD1" s="357" t="s">
        <v>420</v>
      </c>
      <c r="DF1" s="357"/>
      <c r="DL1" s="357"/>
      <c r="DP1" s="933" t="s">
        <v>419</v>
      </c>
    </row>
    <row r="2" spans="1:132" ht="14.25" customHeight="1">
      <c r="B2" s="1591" t="s">
        <v>62</v>
      </c>
      <c r="C2" s="357"/>
      <c r="Y2" s="709"/>
      <c r="Z2" s="357"/>
      <c r="AA2" s="342"/>
      <c r="AB2" s="342"/>
      <c r="AC2" s="342"/>
      <c r="AD2" s="342"/>
      <c r="AG2" s="357"/>
      <c r="AI2" s="357"/>
      <c r="AZ2" s="357"/>
      <c r="BG2" s="357"/>
      <c r="BH2" s="342"/>
      <c r="BI2" s="791"/>
      <c r="BJ2" s="342"/>
      <c r="BM2" s="357"/>
      <c r="BQ2" s="357"/>
      <c r="BZ2" s="357"/>
      <c r="CA2" s="342"/>
      <c r="CB2" s="791"/>
      <c r="CC2" s="342"/>
      <c r="CE2" s="357"/>
      <c r="CJ2" s="357"/>
      <c r="CP2" s="357"/>
      <c r="CT2" s="342"/>
      <c r="DA2" s="357"/>
      <c r="DB2" s="342"/>
      <c r="DC2" s="791"/>
      <c r="DD2" s="357"/>
      <c r="DF2" s="357"/>
      <c r="DL2" s="357"/>
      <c r="DP2" s="1592" t="s">
        <v>63</v>
      </c>
    </row>
    <row r="3" spans="1:132" s="864" customFormat="1" ht="12.75" customHeight="1">
      <c r="A3" s="2438" t="s">
        <v>64</v>
      </c>
      <c r="B3" s="2477">
        <v>-4.01</v>
      </c>
      <c r="C3" s="2478"/>
      <c r="D3" s="2479"/>
      <c r="E3" s="2477">
        <f>B3-0.01</f>
        <v>-4.0199999999999996</v>
      </c>
      <c r="F3" s="2478"/>
      <c r="G3" s="1579">
        <f>E3-0.01</f>
        <v>-4.0299999999999994</v>
      </c>
      <c r="H3" s="2445" t="s">
        <v>421</v>
      </c>
      <c r="I3" s="2446"/>
      <c r="J3" s="2446"/>
      <c r="K3" s="2446"/>
      <c r="L3" s="2446"/>
      <c r="M3" s="2446"/>
      <c r="N3" s="2446"/>
      <c r="O3" s="2447"/>
      <c r="P3" s="2445" t="s">
        <v>422</v>
      </c>
      <c r="Q3" s="2446"/>
      <c r="R3" s="2446"/>
      <c r="S3" s="2446"/>
      <c r="T3" s="2446"/>
      <c r="U3" s="2446"/>
      <c r="V3" s="2446"/>
      <c r="W3" s="2446"/>
      <c r="X3" s="2446"/>
      <c r="Y3" s="2447"/>
      <c r="Z3" s="2502" t="s">
        <v>421</v>
      </c>
      <c r="AA3" s="2456"/>
      <c r="AB3" s="2456"/>
      <c r="AC3" s="2456"/>
      <c r="AD3" s="2456"/>
      <c r="AE3" s="2456"/>
      <c r="AF3" s="2457"/>
      <c r="AG3" s="2502" t="s">
        <v>423</v>
      </c>
      <c r="AH3" s="2456"/>
      <c r="AI3" s="2456"/>
      <c r="AJ3" s="2456"/>
      <c r="AK3" s="2456"/>
      <c r="AL3" s="2456"/>
      <c r="AM3" s="2456"/>
      <c r="AN3" s="2456"/>
      <c r="AO3" s="2457"/>
      <c r="AP3" s="2502" t="s">
        <v>424</v>
      </c>
      <c r="AQ3" s="2456"/>
      <c r="AR3" s="2456"/>
      <c r="AS3" s="2456"/>
      <c r="AT3" s="2456"/>
      <c r="AU3" s="2456"/>
      <c r="AV3" s="2456"/>
      <c r="AW3" s="2456"/>
      <c r="AX3" s="2456"/>
      <c r="AY3" s="2457"/>
      <c r="AZ3" s="2502" t="s">
        <v>425</v>
      </c>
      <c r="BA3" s="2456"/>
      <c r="BB3" s="2456"/>
      <c r="BC3" s="2456"/>
      <c r="BD3" s="2456"/>
      <c r="BE3" s="2456"/>
      <c r="BF3" s="2457"/>
      <c r="BG3" s="2456" t="s">
        <v>426</v>
      </c>
      <c r="BH3" s="2456"/>
      <c r="BI3" s="2456"/>
      <c r="BJ3" s="2456"/>
      <c r="BK3" s="2456"/>
      <c r="BL3" s="2456"/>
      <c r="BM3" s="2456"/>
      <c r="BN3" s="2456"/>
      <c r="BO3" s="2456"/>
      <c r="BP3" s="2457"/>
      <c r="BQ3" s="2502" t="s">
        <v>427</v>
      </c>
      <c r="BR3" s="2456"/>
      <c r="BS3" s="2456"/>
      <c r="BT3" s="2456"/>
      <c r="BU3" s="2456"/>
      <c r="BV3" s="2456"/>
      <c r="BW3" s="2456"/>
      <c r="BX3" s="2456"/>
      <c r="BY3" s="2456"/>
      <c r="BZ3" s="2456"/>
      <c r="CA3" s="2456"/>
      <c r="CB3" s="2457"/>
      <c r="CC3" s="2456" t="s">
        <v>428</v>
      </c>
      <c r="CD3" s="2456"/>
      <c r="CE3" s="2456"/>
      <c r="CF3" s="2456"/>
      <c r="CG3" s="2456"/>
      <c r="CH3" s="2456"/>
      <c r="CI3" s="2456"/>
      <c r="CJ3" s="2456"/>
      <c r="CK3" s="2456"/>
      <c r="CL3" s="2456"/>
      <c r="CM3" s="2456"/>
      <c r="CN3" s="2456"/>
      <c r="CO3" s="2457"/>
      <c r="CP3" s="2503" t="s">
        <v>429</v>
      </c>
      <c r="CQ3" s="2504"/>
      <c r="CR3" s="2504"/>
      <c r="CS3" s="2505"/>
      <c r="CT3" s="2459" t="s">
        <v>430</v>
      </c>
      <c r="CU3" s="2460"/>
      <c r="CV3" s="2460"/>
      <c r="CW3" s="2460"/>
      <c r="CX3" s="2460"/>
      <c r="CY3" s="2460"/>
      <c r="CZ3" s="2460"/>
      <c r="DA3" s="2460"/>
      <c r="DB3" s="2460"/>
      <c r="DC3" s="2461"/>
      <c r="DD3" s="2445" t="s">
        <v>430</v>
      </c>
      <c r="DE3" s="2446"/>
      <c r="DF3" s="2446"/>
      <c r="DG3" s="2446"/>
      <c r="DH3" s="2446"/>
      <c r="DI3" s="2446"/>
      <c r="DJ3" s="2446"/>
      <c r="DK3" s="2447"/>
      <c r="DL3" s="2456" t="s">
        <v>431</v>
      </c>
      <c r="DM3" s="2456"/>
      <c r="DN3" s="2456"/>
      <c r="DO3" s="2456"/>
      <c r="DP3" s="2457"/>
      <c r="DQ3" s="341"/>
      <c r="DR3" s="341"/>
      <c r="DS3" s="341"/>
      <c r="DT3" s="341"/>
      <c r="DU3" s="341"/>
      <c r="DV3" s="341"/>
      <c r="DW3" s="341"/>
      <c r="DX3" s="341"/>
      <c r="DY3" s="341"/>
      <c r="DZ3" s="341"/>
      <c r="EA3" s="341"/>
      <c r="EB3" s="341"/>
    </row>
    <row r="4" spans="1:132" s="358" customFormat="1" ht="14.25" customHeight="1">
      <c r="A4" s="2439"/>
      <c r="B4" s="2480" t="s">
        <v>432</v>
      </c>
      <c r="C4" s="2481"/>
      <c r="D4" s="2482"/>
      <c r="E4" s="2480" t="s">
        <v>193</v>
      </c>
      <c r="F4" s="1957"/>
      <c r="G4" s="2483" t="s">
        <v>194</v>
      </c>
      <c r="H4" s="2458">
        <f>+G3-0.01</f>
        <v>-4.0399999999999991</v>
      </c>
      <c r="I4" s="2450"/>
      <c r="J4" s="2458">
        <f>+H4-0.01</f>
        <v>-4.0499999999999989</v>
      </c>
      <c r="K4" s="2450"/>
      <c r="L4" s="2458">
        <f>+J4-0.01</f>
        <v>-4.0599999999999987</v>
      </c>
      <c r="M4" s="2450"/>
      <c r="N4" s="2484">
        <f>+L4-0.01</f>
        <v>-4.0699999999999985</v>
      </c>
      <c r="O4" s="2485"/>
      <c r="P4" s="2458">
        <f>+N4-0.01</f>
        <v>-4.0799999999999983</v>
      </c>
      <c r="Q4" s="2450"/>
      <c r="R4" s="2458">
        <f>+P4-0.01</f>
        <v>-4.0899999999999981</v>
      </c>
      <c r="S4" s="2449"/>
      <c r="T4" s="2449"/>
      <c r="U4" s="2450"/>
      <c r="V4" s="2458">
        <f>+R4-0.01</f>
        <v>-4.0999999999999979</v>
      </c>
      <c r="W4" s="2450"/>
      <c r="X4" s="2458">
        <f>+V4-0.01</f>
        <v>-4.1099999999999977</v>
      </c>
      <c r="Y4" s="2450"/>
      <c r="Z4" s="2458">
        <f>+X4-0.01</f>
        <v>-4.1199999999999974</v>
      </c>
      <c r="AA4" s="2450"/>
      <c r="AB4" s="2458">
        <f>+Z4-0.01</f>
        <v>-4.1299999999999972</v>
      </c>
      <c r="AC4" s="2449"/>
      <c r="AD4" s="2450"/>
      <c r="AE4" s="2458">
        <f>+AB4-0.01</f>
        <v>-4.139999999999997</v>
      </c>
      <c r="AF4" s="2450"/>
      <c r="AG4" s="2458">
        <f>+AE4-0.01</f>
        <v>-4.1499999999999968</v>
      </c>
      <c r="AH4" s="2450"/>
      <c r="AI4" s="2458">
        <f>+AG4-0.01</f>
        <v>-4.1599999999999966</v>
      </c>
      <c r="AJ4" s="2449"/>
      <c r="AK4" s="2449"/>
      <c r="AL4" s="2450"/>
      <c r="AM4" s="2458">
        <f>+AI4-0.01</f>
        <v>-4.1699999999999964</v>
      </c>
      <c r="AN4" s="2449"/>
      <c r="AO4" s="2450"/>
      <c r="AP4" s="2449">
        <f>+AM4-0.01</f>
        <v>-4.1799999999999962</v>
      </c>
      <c r="AQ4" s="2450"/>
      <c r="AR4" s="2458">
        <f>+AP4-0.01</f>
        <v>-4.1899999999999959</v>
      </c>
      <c r="AS4" s="2450"/>
      <c r="AT4" s="2458">
        <f>+AR4-0.01</f>
        <v>-4.1999999999999957</v>
      </c>
      <c r="AU4" s="2450"/>
      <c r="AV4" s="2458">
        <f>+AT4-0.01</f>
        <v>-4.2099999999999955</v>
      </c>
      <c r="AW4" s="2450"/>
      <c r="AX4" s="2458">
        <f>+AV4-0.01</f>
        <v>-4.2199999999999953</v>
      </c>
      <c r="AY4" s="2450"/>
      <c r="AZ4" s="2458">
        <f>+AX4-0.01</f>
        <v>-4.2299999999999951</v>
      </c>
      <c r="BA4" s="2449"/>
      <c r="BB4" s="2450"/>
      <c r="BC4" s="2458">
        <f>+AZ4-0.01</f>
        <v>-4.2399999999999949</v>
      </c>
      <c r="BD4" s="2449"/>
      <c r="BE4" s="2449"/>
      <c r="BF4" s="2450"/>
      <c r="BG4" s="2449">
        <f>+BC4-0.01</f>
        <v>-4.2499999999999947</v>
      </c>
      <c r="BH4" s="2449"/>
      <c r="BI4" s="2450"/>
      <c r="BJ4" s="2458">
        <f>+BG4-0.01</f>
        <v>-4.2599999999999945</v>
      </c>
      <c r="BK4" s="2450"/>
      <c r="BL4" s="877">
        <f>+BJ4-0.01</f>
        <v>-4.2699999999999942</v>
      </c>
      <c r="BM4" s="2458">
        <f>+BL4-0.01</f>
        <v>-4.279999999999994</v>
      </c>
      <c r="BN4" s="2450"/>
      <c r="BO4" s="2458">
        <f>+BM4-0.01</f>
        <v>-4.2899999999999938</v>
      </c>
      <c r="BP4" s="2450"/>
      <c r="BQ4" s="2458">
        <f>+BO4-0.01</f>
        <v>-4.2999999999999936</v>
      </c>
      <c r="BR4" s="2450"/>
      <c r="BS4" s="2458">
        <f>+BQ4-0.01</f>
        <v>-4.3099999999999934</v>
      </c>
      <c r="BT4" s="2449"/>
      <c r="BU4" s="2450"/>
      <c r="BV4" s="2458">
        <f>+BS4-0.01</f>
        <v>-4.3199999999999932</v>
      </c>
      <c r="BW4" s="2449"/>
      <c r="BX4" s="2449"/>
      <c r="BY4" s="2450"/>
      <c r="BZ4" s="2458">
        <f>+BV4-0.01</f>
        <v>-4.329999999999993</v>
      </c>
      <c r="CA4" s="2449"/>
      <c r="CB4" s="2450"/>
      <c r="CC4" s="2449">
        <f>+BZ4-0.01</f>
        <v>-4.3399999999999928</v>
      </c>
      <c r="CD4" s="2450"/>
      <c r="CE4" s="2458">
        <f>CC4-0.01</f>
        <v>-4.3499999999999925</v>
      </c>
      <c r="CF4" s="2450"/>
      <c r="CG4" s="2458">
        <f>+CE4-0.01</f>
        <v>-4.3599999999999923</v>
      </c>
      <c r="CH4" s="2449"/>
      <c r="CI4" s="2450"/>
      <c r="CJ4" s="2458">
        <f>+CG4-0.01</f>
        <v>-4.3699999999999921</v>
      </c>
      <c r="CK4" s="2450"/>
      <c r="CL4" s="2458">
        <f>+CJ4-0.01</f>
        <v>-4.3799999999999919</v>
      </c>
      <c r="CM4" s="2450"/>
      <c r="CN4" s="2458">
        <f>+CL4-0.01</f>
        <v>-4.3899999999999917</v>
      </c>
      <c r="CO4" s="2450"/>
      <c r="CP4" s="2506"/>
      <c r="CQ4" s="2507"/>
      <c r="CR4" s="2507"/>
      <c r="CS4" s="2508"/>
      <c r="CT4" s="2458">
        <f>+CR5-0.01</f>
        <v>-4.419999999999991</v>
      </c>
      <c r="CU4" s="2449"/>
      <c r="CV4" s="2450"/>
      <c r="CW4" s="2458">
        <f>+CT4-0.01</f>
        <v>-4.4299999999999908</v>
      </c>
      <c r="CX4" s="2449"/>
      <c r="CY4" s="2449"/>
      <c r="CZ4" s="2450"/>
      <c r="DA4" s="2458">
        <f>+CW4-0.01</f>
        <v>-4.4399999999999906</v>
      </c>
      <c r="DB4" s="2449"/>
      <c r="DC4" s="2450"/>
      <c r="DD4" s="2458">
        <f>+DA4-0.01</f>
        <v>-4.4499999999999904</v>
      </c>
      <c r="DE4" s="2450"/>
      <c r="DF4" s="2462">
        <f>+DD4-0.01</f>
        <v>-4.4599999999999902</v>
      </c>
      <c r="DG4" s="2463"/>
      <c r="DH4" s="2462">
        <f>+DF4-0.01</f>
        <v>-4.46999999999999</v>
      </c>
      <c r="DI4" s="2463"/>
      <c r="DJ4" s="2462">
        <f>+DH4-0.01</f>
        <v>-4.4799999999999898</v>
      </c>
      <c r="DK4" s="2463"/>
      <c r="DL4" s="2458">
        <f>+DJ4-0.01</f>
        <v>-4.4899999999999896</v>
      </c>
      <c r="DM4" s="2450"/>
      <c r="DN4" s="2458">
        <f>+DL4-0.01</f>
        <v>-4.4999999999999893</v>
      </c>
      <c r="DO4" s="2449"/>
      <c r="DP4" s="2450"/>
    </row>
    <row r="5" spans="1:132" s="343" customFormat="1" ht="14.25" customHeight="1">
      <c r="A5" s="2439"/>
      <c r="B5" s="2480"/>
      <c r="C5" s="2481"/>
      <c r="D5" s="2482"/>
      <c r="E5" s="1955"/>
      <c r="F5" s="1957"/>
      <c r="G5" s="2118"/>
      <c r="H5" s="2345" t="s">
        <v>433</v>
      </c>
      <c r="I5" s="2346"/>
      <c r="J5" s="2345" t="s">
        <v>434</v>
      </c>
      <c r="K5" s="2346"/>
      <c r="L5" s="2345" t="s">
        <v>435</v>
      </c>
      <c r="M5" s="2346"/>
      <c r="N5" s="2480" t="s">
        <v>436</v>
      </c>
      <c r="O5" s="2482"/>
      <c r="P5" s="2345" t="s">
        <v>437</v>
      </c>
      <c r="Q5" s="2346"/>
      <c r="R5" s="2345" t="s">
        <v>438</v>
      </c>
      <c r="S5" s="2357"/>
      <c r="T5" s="2357"/>
      <c r="U5" s="2346"/>
      <c r="V5" s="2345" t="s">
        <v>439</v>
      </c>
      <c r="W5" s="2346"/>
      <c r="X5" s="2345" t="s">
        <v>440</v>
      </c>
      <c r="Y5" s="2346"/>
      <c r="Z5" s="2345" t="s">
        <v>441</v>
      </c>
      <c r="AA5" s="2346"/>
      <c r="AB5" s="2345" t="s">
        <v>442</v>
      </c>
      <c r="AC5" s="2357"/>
      <c r="AD5" s="2346"/>
      <c r="AE5" s="2345" t="s">
        <v>443</v>
      </c>
      <c r="AF5" s="2346"/>
      <c r="AG5" s="2345" t="s">
        <v>444</v>
      </c>
      <c r="AH5" s="2346"/>
      <c r="AI5" s="2345" t="s">
        <v>445</v>
      </c>
      <c r="AJ5" s="2357"/>
      <c r="AK5" s="2357"/>
      <c r="AL5" s="2346"/>
      <c r="AM5" s="2345" t="s">
        <v>446</v>
      </c>
      <c r="AN5" s="2357"/>
      <c r="AO5" s="2346"/>
      <c r="AP5" s="2467" t="s">
        <v>447</v>
      </c>
      <c r="AQ5" s="2468"/>
      <c r="AR5" s="2345" t="s">
        <v>448</v>
      </c>
      <c r="AS5" s="2346"/>
      <c r="AT5" s="2345" t="s">
        <v>449</v>
      </c>
      <c r="AU5" s="2346"/>
      <c r="AV5" s="2345" t="s">
        <v>450</v>
      </c>
      <c r="AW5" s="2346"/>
      <c r="AX5" s="2496" t="s">
        <v>451</v>
      </c>
      <c r="AY5" s="2468"/>
      <c r="AZ5" s="2345" t="s">
        <v>452</v>
      </c>
      <c r="BA5" s="2357"/>
      <c r="BB5" s="2346"/>
      <c r="BC5" s="2345" t="s">
        <v>453</v>
      </c>
      <c r="BD5" s="2357"/>
      <c r="BE5" s="2357"/>
      <c r="BF5" s="2346"/>
      <c r="BG5" s="2357" t="s">
        <v>454</v>
      </c>
      <c r="BH5" s="2357"/>
      <c r="BI5" s="2346"/>
      <c r="BJ5" s="2345" t="s">
        <v>455</v>
      </c>
      <c r="BK5" s="2346"/>
      <c r="BL5" s="2476" t="s">
        <v>456</v>
      </c>
      <c r="BM5" s="2345" t="s">
        <v>457</v>
      </c>
      <c r="BN5" s="2346"/>
      <c r="BO5" s="2345" t="s">
        <v>458</v>
      </c>
      <c r="BP5" s="2346"/>
      <c r="BQ5" s="2345" t="s">
        <v>459</v>
      </c>
      <c r="BR5" s="2346"/>
      <c r="BS5" s="2358" t="s">
        <v>460</v>
      </c>
      <c r="BT5" s="2359"/>
      <c r="BU5" s="2360"/>
      <c r="BV5" s="2345" t="s">
        <v>461</v>
      </c>
      <c r="BW5" s="2357"/>
      <c r="BX5" s="2357"/>
      <c r="BY5" s="2346"/>
      <c r="BZ5" s="2345" t="s">
        <v>462</v>
      </c>
      <c r="CA5" s="2357"/>
      <c r="CB5" s="2346"/>
      <c r="CC5" s="2357" t="s">
        <v>463</v>
      </c>
      <c r="CD5" s="2346"/>
      <c r="CE5" s="2345" t="s">
        <v>464</v>
      </c>
      <c r="CF5" s="2346"/>
      <c r="CG5" s="2345" t="s">
        <v>465</v>
      </c>
      <c r="CH5" s="2357"/>
      <c r="CI5" s="2346"/>
      <c r="CJ5" s="2352" t="s">
        <v>466</v>
      </c>
      <c r="CK5" s="2353"/>
      <c r="CL5" s="2353"/>
      <c r="CM5" s="2353"/>
      <c r="CN5" s="2353"/>
      <c r="CO5" s="2354"/>
      <c r="CP5" s="2458">
        <f>+CN4-0.01</f>
        <v>-4.3999999999999915</v>
      </c>
      <c r="CQ5" s="2450"/>
      <c r="CR5" s="2458">
        <f>+CP5-0.01</f>
        <v>-4.4099999999999913</v>
      </c>
      <c r="CS5" s="2450"/>
      <c r="CT5" s="2345" t="s">
        <v>467</v>
      </c>
      <c r="CU5" s="2357"/>
      <c r="CV5" s="2346"/>
      <c r="CW5" s="2345" t="s">
        <v>468</v>
      </c>
      <c r="CX5" s="2357"/>
      <c r="CY5" s="2357"/>
      <c r="CZ5" s="2346"/>
      <c r="DA5" s="2345" t="s">
        <v>469</v>
      </c>
      <c r="DB5" s="2357"/>
      <c r="DC5" s="2346"/>
      <c r="DD5" s="2345" t="s">
        <v>470</v>
      </c>
      <c r="DE5" s="2346"/>
      <c r="DF5" s="2352" t="s">
        <v>466</v>
      </c>
      <c r="DG5" s="2353"/>
      <c r="DH5" s="2353"/>
      <c r="DI5" s="2353"/>
      <c r="DJ5" s="2353"/>
      <c r="DK5" s="2354"/>
      <c r="DL5" s="2345" t="s">
        <v>471</v>
      </c>
      <c r="DM5" s="2346"/>
      <c r="DN5" s="2345" t="s">
        <v>472</v>
      </c>
      <c r="DO5" s="2357"/>
      <c r="DP5" s="2346"/>
    </row>
    <row r="6" spans="1:132" s="343" customFormat="1" ht="14.25" customHeight="1">
      <c r="A6" s="2439"/>
      <c r="B6" s="2480"/>
      <c r="C6" s="2481"/>
      <c r="D6" s="2482"/>
      <c r="E6" s="1955"/>
      <c r="F6" s="1957"/>
      <c r="G6" s="2118"/>
      <c r="H6" s="2345"/>
      <c r="I6" s="2346"/>
      <c r="J6" s="2345"/>
      <c r="K6" s="2346"/>
      <c r="L6" s="2345"/>
      <c r="M6" s="2346"/>
      <c r="N6" s="2480"/>
      <c r="O6" s="2482"/>
      <c r="P6" s="2345"/>
      <c r="Q6" s="2346"/>
      <c r="R6" s="2345"/>
      <c r="S6" s="2357"/>
      <c r="T6" s="2357"/>
      <c r="U6" s="2346"/>
      <c r="V6" s="2345"/>
      <c r="W6" s="2346"/>
      <c r="X6" s="2345"/>
      <c r="Y6" s="2346"/>
      <c r="Z6" s="2345"/>
      <c r="AA6" s="2346"/>
      <c r="AB6" s="2345"/>
      <c r="AC6" s="2357"/>
      <c r="AD6" s="2346"/>
      <c r="AE6" s="2345"/>
      <c r="AF6" s="2346"/>
      <c r="AG6" s="2345"/>
      <c r="AH6" s="2346"/>
      <c r="AI6" s="2345"/>
      <c r="AJ6" s="2357"/>
      <c r="AK6" s="2357"/>
      <c r="AL6" s="2346"/>
      <c r="AM6" s="2345"/>
      <c r="AN6" s="2357"/>
      <c r="AO6" s="2346"/>
      <c r="AP6" s="2467"/>
      <c r="AQ6" s="2468"/>
      <c r="AR6" s="2345"/>
      <c r="AS6" s="2346"/>
      <c r="AT6" s="2345"/>
      <c r="AU6" s="2346"/>
      <c r="AV6" s="2345"/>
      <c r="AW6" s="2346"/>
      <c r="AX6" s="2496"/>
      <c r="AY6" s="2468"/>
      <c r="AZ6" s="2345"/>
      <c r="BA6" s="2357"/>
      <c r="BB6" s="2346"/>
      <c r="BC6" s="2345"/>
      <c r="BD6" s="2357"/>
      <c r="BE6" s="2357"/>
      <c r="BF6" s="2346"/>
      <c r="BG6" s="2357"/>
      <c r="BH6" s="2357"/>
      <c r="BI6" s="2346"/>
      <c r="BJ6" s="2345"/>
      <c r="BK6" s="2346"/>
      <c r="BL6" s="2476"/>
      <c r="BM6" s="2345"/>
      <c r="BN6" s="2346"/>
      <c r="BO6" s="2345"/>
      <c r="BP6" s="2346"/>
      <c r="BQ6" s="2345"/>
      <c r="BR6" s="2346"/>
      <c r="BS6" s="2358"/>
      <c r="BT6" s="2359"/>
      <c r="BU6" s="2360"/>
      <c r="BV6" s="2345"/>
      <c r="BW6" s="2357"/>
      <c r="BX6" s="2357"/>
      <c r="BY6" s="2346"/>
      <c r="BZ6" s="2345"/>
      <c r="CA6" s="2357"/>
      <c r="CB6" s="2346"/>
      <c r="CC6" s="2357"/>
      <c r="CD6" s="2346"/>
      <c r="CE6" s="2345"/>
      <c r="CF6" s="2346"/>
      <c r="CG6" s="2345"/>
      <c r="CH6" s="2357"/>
      <c r="CI6" s="2346"/>
      <c r="CJ6" s="2355" t="s">
        <v>473</v>
      </c>
      <c r="CK6" s="2356"/>
      <c r="CL6" s="2355" t="s">
        <v>474</v>
      </c>
      <c r="CM6" s="2356"/>
      <c r="CN6" s="2355" t="s">
        <v>475</v>
      </c>
      <c r="CO6" s="2356"/>
      <c r="CP6" s="2345" t="s">
        <v>476</v>
      </c>
      <c r="CQ6" s="2346"/>
      <c r="CR6" s="2345" t="s">
        <v>477</v>
      </c>
      <c r="CS6" s="2346"/>
      <c r="CT6" s="2345"/>
      <c r="CU6" s="2357"/>
      <c r="CV6" s="2346"/>
      <c r="CW6" s="2345"/>
      <c r="CX6" s="2357"/>
      <c r="CY6" s="2357"/>
      <c r="CZ6" s="2346"/>
      <c r="DA6" s="2345"/>
      <c r="DB6" s="2357"/>
      <c r="DC6" s="2346"/>
      <c r="DD6" s="2345"/>
      <c r="DE6" s="2346"/>
      <c r="DF6" s="2355" t="s">
        <v>473</v>
      </c>
      <c r="DG6" s="2356"/>
      <c r="DH6" s="2355" t="s">
        <v>474</v>
      </c>
      <c r="DI6" s="2356"/>
      <c r="DJ6" s="2355" t="s">
        <v>475</v>
      </c>
      <c r="DK6" s="2356"/>
      <c r="DL6" s="2345"/>
      <c r="DM6" s="2346"/>
      <c r="DN6" s="2345"/>
      <c r="DO6" s="2357"/>
      <c r="DP6" s="2346"/>
    </row>
    <row r="7" spans="1:132" s="343" customFormat="1" ht="14.25" customHeight="1">
      <c r="A7" s="2439"/>
      <c r="B7" s="2480"/>
      <c r="C7" s="2481"/>
      <c r="D7" s="2482"/>
      <c r="E7" s="1955"/>
      <c r="F7" s="1957"/>
      <c r="G7" s="2118"/>
      <c r="H7" s="2345"/>
      <c r="I7" s="2346"/>
      <c r="J7" s="2345"/>
      <c r="K7" s="2346"/>
      <c r="L7" s="2345"/>
      <c r="M7" s="2346"/>
      <c r="N7" s="2480"/>
      <c r="O7" s="2482"/>
      <c r="P7" s="2345"/>
      <c r="Q7" s="2346"/>
      <c r="R7" s="2345"/>
      <c r="S7" s="2357"/>
      <c r="T7" s="2357"/>
      <c r="U7" s="2346"/>
      <c r="V7" s="2345"/>
      <c r="W7" s="2346"/>
      <c r="X7" s="2345"/>
      <c r="Y7" s="2346"/>
      <c r="Z7" s="2345"/>
      <c r="AA7" s="2346"/>
      <c r="AB7" s="2345"/>
      <c r="AC7" s="2357"/>
      <c r="AD7" s="2346"/>
      <c r="AE7" s="2345"/>
      <c r="AF7" s="2346"/>
      <c r="AG7" s="2345"/>
      <c r="AH7" s="2346"/>
      <c r="AI7" s="2345"/>
      <c r="AJ7" s="2357"/>
      <c r="AK7" s="2357"/>
      <c r="AL7" s="2346"/>
      <c r="AM7" s="2345"/>
      <c r="AN7" s="2357"/>
      <c r="AO7" s="2346"/>
      <c r="AP7" s="2467"/>
      <c r="AQ7" s="2468"/>
      <c r="AR7" s="2345"/>
      <c r="AS7" s="2346"/>
      <c r="AT7" s="2345"/>
      <c r="AU7" s="2346"/>
      <c r="AV7" s="2345"/>
      <c r="AW7" s="2346"/>
      <c r="AX7" s="2496"/>
      <c r="AY7" s="2468"/>
      <c r="AZ7" s="2345"/>
      <c r="BA7" s="2357"/>
      <c r="BB7" s="2346"/>
      <c r="BC7" s="2345"/>
      <c r="BD7" s="2357"/>
      <c r="BE7" s="2357"/>
      <c r="BF7" s="2346"/>
      <c r="BG7" s="614"/>
      <c r="BH7" s="614"/>
      <c r="BI7" s="618"/>
      <c r="BJ7" s="2345"/>
      <c r="BK7" s="2346"/>
      <c r="BL7" s="2476"/>
      <c r="BM7" s="2345"/>
      <c r="BN7" s="2346"/>
      <c r="BO7" s="2345"/>
      <c r="BP7" s="2346"/>
      <c r="BQ7" s="2345"/>
      <c r="BR7" s="2346"/>
      <c r="BS7" s="2358"/>
      <c r="BT7" s="2359"/>
      <c r="BU7" s="2360"/>
      <c r="BV7" s="370"/>
      <c r="BW7" s="614"/>
      <c r="BX7" s="614"/>
      <c r="BY7" s="383"/>
      <c r="BZ7" s="370"/>
      <c r="CA7" s="614"/>
      <c r="CB7" s="847"/>
      <c r="CC7" s="2357"/>
      <c r="CD7" s="2346"/>
      <c r="CE7" s="2345"/>
      <c r="CF7" s="2346"/>
      <c r="CG7" s="2345"/>
      <c r="CH7" s="2357"/>
      <c r="CI7" s="2346"/>
      <c r="CJ7" s="2345"/>
      <c r="CK7" s="2346"/>
      <c r="CL7" s="2345"/>
      <c r="CM7" s="2346"/>
      <c r="CN7" s="2345"/>
      <c r="CO7" s="2346"/>
      <c r="CP7" s="2345"/>
      <c r="CQ7" s="2346"/>
      <c r="CR7" s="2345"/>
      <c r="CS7" s="2346"/>
      <c r="CT7" s="2345"/>
      <c r="CU7" s="2357"/>
      <c r="CV7" s="2346"/>
      <c r="CW7" s="2345"/>
      <c r="CX7" s="2357"/>
      <c r="CY7" s="2357"/>
      <c r="CZ7" s="2346"/>
      <c r="DA7" s="370"/>
      <c r="DB7" s="614"/>
      <c r="DC7" s="847"/>
      <c r="DD7" s="2345"/>
      <c r="DE7" s="2346"/>
      <c r="DF7" s="2345"/>
      <c r="DG7" s="2346"/>
      <c r="DH7" s="2345"/>
      <c r="DI7" s="2346"/>
      <c r="DJ7" s="2345"/>
      <c r="DK7" s="2346"/>
      <c r="DL7" s="2345"/>
      <c r="DM7" s="2346"/>
      <c r="DN7" s="2345"/>
      <c r="DO7" s="2357"/>
      <c r="DP7" s="2346"/>
    </row>
    <row r="8" spans="1:132" s="343" customFormat="1" ht="14.25" customHeight="1">
      <c r="A8" s="2439"/>
      <c r="B8" s="2480"/>
      <c r="C8" s="2481"/>
      <c r="D8" s="2482"/>
      <c r="E8" s="1955"/>
      <c r="F8" s="1957"/>
      <c r="G8" s="2118"/>
      <c r="H8" s="2345"/>
      <c r="I8" s="2346"/>
      <c r="J8" s="2345"/>
      <c r="K8" s="2346"/>
      <c r="L8" s="2345"/>
      <c r="M8" s="2346"/>
      <c r="N8" s="2480"/>
      <c r="O8" s="2482"/>
      <c r="P8" s="2345"/>
      <c r="Q8" s="2346"/>
      <c r="R8" s="370"/>
      <c r="S8" s="614"/>
      <c r="T8" s="614"/>
      <c r="U8" s="383"/>
      <c r="V8" s="2345"/>
      <c r="W8" s="2346"/>
      <c r="X8" s="2345"/>
      <c r="Y8" s="2346"/>
      <c r="Z8" s="2345"/>
      <c r="AA8" s="2346"/>
      <c r="AB8" s="2345"/>
      <c r="AC8" s="2357"/>
      <c r="AD8" s="2346"/>
      <c r="AE8" s="2345"/>
      <c r="AF8" s="2346"/>
      <c r="AG8" s="2345"/>
      <c r="AH8" s="2346"/>
      <c r="AI8" s="2345"/>
      <c r="AJ8" s="2357"/>
      <c r="AK8" s="2357"/>
      <c r="AL8" s="2346"/>
      <c r="AM8" s="2345"/>
      <c r="AN8" s="2357"/>
      <c r="AO8" s="2346"/>
      <c r="AP8" s="2467"/>
      <c r="AQ8" s="2468"/>
      <c r="AR8" s="2345"/>
      <c r="AS8" s="2346"/>
      <c r="AT8" s="2345"/>
      <c r="AU8" s="2346"/>
      <c r="AV8" s="2345"/>
      <c r="AW8" s="2346"/>
      <c r="AX8" s="2496"/>
      <c r="AY8" s="2468"/>
      <c r="AZ8" s="2345"/>
      <c r="BA8" s="2357"/>
      <c r="BB8" s="2346"/>
      <c r="BC8" s="2345"/>
      <c r="BD8" s="2357"/>
      <c r="BE8" s="2357"/>
      <c r="BF8" s="2346"/>
      <c r="BJ8" s="2345"/>
      <c r="BK8" s="2346"/>
      <c r="BL8" s="2476"/>
      <c r="BM8" s="2345"/>
      <c r="BN8" s="2346"/>
      <c r="BO8" s="2345"/>
      <c r="BP8" s="2346"/>
      <c r="BQ8" s="2345"/>
      <c r="BR8" s="2346"/>
      <c r="BS8" s="370"/>
      <c r="BT8" s="614"/>
      <c r="BU8" s="383"/>
      <c r="BV8" s="370"/>
      <c r="BW8" s="614"/>
      <c r="BX8" s="614"/>
      <c r="BY8" s="383"/>
      <c r="BZ8" s="345"/>
      <c r="CB8" s="346"/>
      <c r="CC8" s="2357"/>
      <c r="CD8" s="2346"/>
      <c r="CE8" s="2345"/>
      <c r="CF8" s="2346"/>
      <c r="CG8" s="2345"/>
      <c r="CH8" s="2357"/>
      <c r="CI8" s="2346"/>
      <c r="CJ8" s="2345"/>
      <c r="CK8" s="2346"/>
      <c r="CL8" s="2345"/>
      <c r="CM8" s="2346"/>
      <c r="CN8" s="2345"/>
      <c r="CO8" s="2346"/>
      <c r="CP8" s="2345"/>
      <c r="CQ8" s="2346"/>
      <c r="CR8" s="2345"/>
      <c r="CS8" s="2346"/>
      <c r="CT8" s="370"/>
      <c r="CU8" s="614"/>
      <c r="CV8" s="383"/>
      <c r="CW8" s="370"/>
      <c r="CX8" s="615"/>
      <c r="CY8" s="615"/>
      <c r="CZ8" s="426"/>
      <c r="DA8" s="345"/>
      <c r="DC8" s="346"/>
      <c r="DD8" s="2345"/>
      <c r="DE8" s="2346"/>
      <c r="DF8" s="2345"/>
      <c r="DG8" s="2346"/>
      <c r="DH8" s="2345"/>
      <c r="DI8" s="2346"/>
      <c r="DJ8" s="2345"/>
      <c r="DK8" s="2346"/>
      <c r="DL8" s="2345"/>
      <c r="DM8" s="2346"/>
      <c r="DN8" s="2345"/>
      <c r="DO8" s="2357"/>
      <c r="DP8" s="2346"/>
    </row>
    <row r="9" spans="1:132" s="343" customFormat="1" ht="14.25" customHeight="1">
      <c r="A9" s="2439"/>
      <c r="B9" s="2480"/>
      <c r="C9" s="2481"/>
      <c r="D9" s="2482"/>
      <c r="E9" s="1955"/>
      <c r="F9" s="1957"/>
      <c r="G9" s="2118"/>
      <c r="H9" s="2345"/>
      <c r="I9" s="2346"/>
      <c r="J9" s="2345"/>
      <c r="K9" s="2346"/>
      <c r="L9" s="2345"/>
      <c r="M9" s="2346"/>
      <c r="N9" s="2480"/>
      <c r="O9" s="2482"/>
      <c r="P9" s="2345"/>
      <c r="Q9" s="2346"/>
      <c r="R9" s="370"/>
      <c r="S9" s="614"/>
      <c r="T9" s="614"/>
      <c r="U9" s="383"/>
      <c r="V9" s="2345"/>
      <c r="W9" s="2346"/>
      <c r="X9" s="2345"/>
      <c r="Y9" s="2346"/>
      <c r="Z9" s="2345"/>
      <c r="AA9" s="2346"/>
      <c r="AB9" s="2345"/>
      <c r="AC9" s="2357"/>
      <c r="AD9" s="2346"/>
      <c r="AE9" s="2345"/>
      <c r="AF9" s="2346"/>
      <c r="AG9" s="2345"/>
      <c r="AH9" s="2346"/>
      <c r="AI9" s="370"/>
      <c r="AJ9" s="614"/>
      <c r="AK9" s="618"/>
      <c r="AL9" s="383"/>
      <c r="AM9" s="345"/>
      <c r="AO9" s="346"/>
      <c r="AP9" s="2467"/>
      <c r="AQ9" s="2468"/>
      <c r="AR9" s="2345"/>
      <c r="AS9" s="2346"/>
      <c r="AT9" s="2345"/>
      <c r="AU9" s="2346"/>
      <c r="AV9" s="2345"/>
      <c r="AW9" s="2346"/>
      <c r="AX9" s="2496"/>
      <c r="AY9" s="2468"/>
      <c r="AZ9" s="370"/>
      <c r="BA9" s="614"/>
      <c r="BB9" s="383"/>
      <c r="BC9" s="2345"/>
      <c r="BD9" s="2357"/>
      <c r="BE9" s="2357"/>
      <c r="BF9" s="2346"/>
      <c r="BI9" s="788"/>
      <c r="BJ9" s="2345"/>
      <c r="BK9" s="2346"/>
      <c r="BL9" s="2476"/>
      <c r="BM9" s="2345"/>
      <c r="BN9" s="2346"/>
      <c r="BO9" s="2345"/>
      <c r="BP9" s="2346"/>
      <c r="BQ9" s="2345"/>
      <c r="BR9" s="2346"/>
      <c r="BV9" s="345"/>
      <c r="BZ9" s="345"/>
      <c r="CB9" s="789"/>
      <c r="CC9" s="2357"/>
      <c r="CD9" s="2346"/>
      <c r="CE9" s="2345"/>
      <c r="CF9" s="2346"/>
      <c r="CG9" s="2345"/>
      <c r="CH9" s="2357"/>
      <c r="CI9" s="2346"/>
      <c r="CJ9" s="2345"/>
      <c r="CK9" s="2346"/>
      <c r="CL9" s="2345"/>
      <c r="CM9" s="2346"/>
      <c r="CN9" s="2345"/>
      <c r="CO9" s="2346"/>
      <c r="CP9" s="2345"/>
      <c r="CQ9" s="2346"/>
      <c r="CR9" s="2345"/>
      <c r="CS9" s="2346"/>
      <c r="CT9" s="859"/>
      <c r="CU9" s="384"/>
      <c r="CV9" s="385"/>
      <c r="CW9" s="859"/>
      <c r="CX9" s="384"/>
      <c r="CY9" s="384"/>
      <c r="CZ9" s="385"/>
      <c r="DA9" s="345"/>
      <c r="DC9" s="789"/>
      <c r="DD9" s="2345"/>
      <c r="DE9" s="2346"/>
      <c r="DF9" s="2345"/>
      <c r="DG9" s="2346"/>
      <c r="DH9" s="2345"/>
      <c r="DI9" s="2346"/>
      <c r="DJ9" s="2345"/>
      <c r="DK9" s="2346"/>
      <c r="DL9" s="2345"/>
      <c r="DM9" s="2346"/>
      <c r="DN9" s="2345"/>
      <c r="DO9" s="2357"/>
      <c r="DP9" s="2346"/>
    </row>
    <row r="10" spans="1:132" s="343" customFormat="1" ht="14.25" customHeight="1">
      <c r="A10" s="2439"/>
      <c r="B10" s="2480"/>
      <c r="C10" s="2481"/>
      <c r="D10" s="2482"/>
      <c r="E10" s="1955"/>
      <c r="F10" s="1957"/>
      <c r="G10" s="2118"/>
      <c r="H10" s="2345"/>
      <c r="I10" s="2346"/>
      <c r="J10" s="2345"/>
      <c r="K10" s="2346"/>
      <c r="L10" s="2345"/>
      <c r="M10" s="2346"/>
      <c r="N10" s="2480"/>
      <c r="O10" s="2482"/>
      <c r="P10" s="2345"/>
      <c r="Q10" s="2346"/>
      <c r="R10" s="370"/>
      <c r="S10" s="614"/>
      <c r="T10" s="614"/>
      <c r="U10" s="383"/>
      <c r="V10" s="2345"/>
      <c r="W10" s="2346"/>
      <c r="X10" s="2345"/>
      <c r="Y10" s="2346"/>
      <c r="Z10" s="2345"/>
      <c r="AA10" s="2346"/>
      <c r="AB10" s="2345"/>
      <c r="AC10" s="2357"/>
      <c r="AD10" s="2346"/>
      <c r="AE10" s="2345"/>
      <c r="AF10" s="2346"/>
      <c r="AG10" s="2345"/>
      <c r="AH10" s="2346"/>
      <c r="AI10" s="617"/>
      <c r="AJ10" s="616"/>
      <c r="AK10" s="788"/>
      <c r="AL10" s="383"/>
      <c r="AM10" s="822" t="s">
        <v>478</v>
      </c>
      <c r="AN10" s="626">
        <v>1</v>
      </c>
      <c r="AO10" s="977"/>
      <c r="AP10" s="2467"/>
      <c r="AQ10" s="2468"/>
      <c r="AR10" s="2345"/>
      <c r="AS10" s="2346"/>
      <c r="AT10" s="2345"/>
      <c r="AU10" s="2346"/>
      <c r="AV10" s="2345"/>
      <c r="AW10" s="2346"/>
      <c r="AX10" s="2496"/>
      <c r="AY10" s="2468"/>
      <c r="AZ10" s="370"/>
      <c r="BA10" s="614"/>
      <c r="BB10" s="383"/>
      <c r="BC10" s="381"/>
      <c r="BD10" s="554"/>
      <c r="BE10" s="554"/>
      <c r="BF10" s="382"/>
      <c r="BI10" s="789"/>
      <c r="BJ10" s="2345"/>
      <c r="BK10" s="2346"/>
      <c r="BL10" s="2476"/>
      <c r="BM10" s="2345"/>
      <c r="BN10" s="2346"/>
      <c r="BO10" s="2345"/>
      <c r="BP10" s="2346"/>
      <c r="BQ10" s="2345"/>
      <c r="BR10" s="2346"/>
      <c r="BV10" s="345"/>
      <c r="BZ10" s="345"/>
      <c r="CB10" s="789"/>
      <c r="CC10" s="2357"/>
      <c r="CD10" s="2346"/>
      <c r="CE10" s="2345"/>
      <c r="CF10" s="2346"/>
      <c r="CG10" s="2345"/>
      <c r="CH10" s="2357"/>
      <c r="CI10" s="2346"/>
      <c r="CJ10" s="2345"/>
      <c r="CK10" s="2346"/>
      <c r="CL10" s="2345"/>
      <c r="CM10" s="2346"/>
      <c r="CN10" s="2345"/>
      <c r="CO10" s="2346"/>
      <c r="CP10" s="2345"/>
      <c r="CQ10" s="2346"/>
      <c r="CR10" s="2345"/>
      <c r="CS10" s="2346"/>
      <c r="CT10" s="859"/>
      <c r="CU10" s="384"/>
      <c r="CV10" s="385"/>
      <c r="CW10" s="859"/>
      <c r="CX10" s="384"/>
      <c r="CY10" s="384"/>
      <c r="CZ10" s="385"/>
      <c r="DC10" s="789"/>
      <c r="DD10" s="2345"/>
      <c r="DE10" s="2346"/>
      <c r="DF10" s="2345"/>
      <c r="DG10" s="2346"/>
      <c r="DH10" s="2345"/>
      <c r="DI10" s="2346"/>
      <c r="DJ10" s="2345"/>
      <c r="DK10" s="2346"/>
      <c r="DL10" s="2345"/>
      <c r="DM10" s="2346"/>
      <c r="DN10" s="2345"/>
      <c r="DO10" s="2357"/>
      <c r="DP10" s="2346"/>
    </row>
    <row r="11" spans="1:132" s="343" customFormat="1" ht="14.25" customHeight="1">
      <c r="A11" s="2439"/>
      <c r="B11" s="2480"/>
      <c r="C11" s="2481"/>
      <c r="D11" s="2482"/>
      <c r="E11" s="1955"/>
      <c r="F11" s="1957"/>
      <c r="G11" s="2118"/>
      <c r="H11" s="2345"/>
      <c r="I11" s="2346"/>
      <c r="J11" s="2345"/>
      <c r="K11" s="2346"/>
      <c r="L11" s="2345"/>
      <c r="M11" s="2346"/>
      <c r="N11" s="2480"/>
      <c r="O11" s="2482"/>
      <c r="P11" s="2345"/>
      <c r="Q11" s="2346"/>
      <c r="R11" s="345"/>
      <c r="S11" s="800"/>
      <c r="T11" s="616"/>
      <c r="U11" s="346"/>
      <c r="V11" s="2345"/>
      <c r="W11" s="2346"/>
      <c r="X11" s="2345"/>
      <c r="Y11" s="2346"/>
      <c r="Z11" s="2509" t="s">
        <v>479</v>
      </c>
      <c r="AA11" s="2451"/>
      <c r="AB11" s="2345"/>
      <c r="AC11" s="2357"/>
      <c r="AD11" s="2346"/>
      <c r="AE11" s="2345"/>
      <c r="AF11" s="2346"/>
      <c r="AG11" s="2345"/>
      <c r="AH11" s="2346"/>
      <c r="AI11" s="2371" t="s">
        <v>480</v>
      </c>
      <c r="AJ11" s="2372"/>
      <c r="AK11" s="2377">
        <v>1</v>
      </c>
      <c r="AL11" s="383"/>
      <c r="AM11" s="2475" t="s">
        <v>481</v>
      </c>
      <c r="AN11" s="2470">
        <v>2</v>
      </c>
      <c r="AO11" s="976"/>
      <c r="AP11" s="2467"/>
      <c r="AQ11" s="2468"/>
      <c r="AR11" s="2345"/>
      <c r="AS11" s="2346"/>
      <c r="AT11" s="2345"/>
      <c r="AU11" s="2346"/>
      <c r="AV11" s="2345"/>
      <c r="AW11" s="2346"/>
      <c r="AX11" s="2496"/>
      <c r="AY11" s="2468"/>
      <c r="AZ11" s="370"/>
      <c r="BA11" s="614"/>
      <c r="BB11" s="383"/>
      <c r="BC11" s="381"/>
      <c r="BD11" s="554"/>
      <c r="BE11" s="554"/>
      <c r="BF11" s="382"/>
      <c r="BG11" s="931" t="s">
        <v>482</v>
      </c>
      <c r="BH11" s="807"/>
      <c r="BI11" s="993"/>
      <c r="BJ11" s="2345"/>
      <c r="BK11" s="2346"/>
      <c r="BL11" s="2476"/>
      <c r="BM11" s="2345"/>
      <c r="BN11" s="2346"/>
      <c r="BO11" s="2345"/>
      <c r="BP11" s="2346"/>
      <c r="BQ11" s="2345"/>
      <c r="BR11" s="2346"/>
      <c r="BS11" s="2349" t="s">
        <v>483</v>
      </c>
      <c r="BT11" s="2350"/>
      <c r="BU11" s="2351"/>
      <c r="BV11" s="2349" t="s">
        <v>484</v>
      </c>
      <c r="BW11" s="2350"/>
      <c r="BX11" s="2350"/>
      <c r="BY11" s="2351"/>
      <c r="BZ11" s="833" t="s">
        <v>482</v>
      </c>
      <c r="CA11" s="807"/>
      <c r="CB11" s="789"/>
      <c r="CC11" s="2357"/>
      <c r="CD11" s="2346"/>
      <c r="CE11" s="2345"/>
      <c r="CF11" s="2346"/>
      <c r="CG11" s="2345"/>
      <c r="CH11" s="2357"/>
      <c r="CI11" s="2346"/>
      <c r="CJ11" s="2345"/>
      <c r="CK11" s="2346"/>
      <c r="CL11" s="2345"/>
      <c r="CM11" s="2346"/>
      <c r="CN11" s="2345"/>
      <c r="CO11" s="2346"/>
      <c r="CP11" s="2345"/>
      <c r="CQ11" s="2346"/>
      <c r="CR11" s="2345"/>
      <c r="CS11" s="2346"/>
      <c r="CT11" s="859"/>
      <c r="CU11" s="384"/>
      <c r="CV11" s="385"/>
      <c r="CW11" s="856"/>
      <c r="CX11" s="857"/>
      <c r="CY11" s="857"/>
      <c r="CZ11" s="858"/>
      <c r="DA11" s="833" t="s">
        <v>482</v>
      </c>
      <c r="DB11" s="807"/>
      <c r="DC11" s="789"/>
      <c r="DD11" s="2345"/>
      <c r="DE11" s="2346"/>
      <c r="DF11" s="2345"/>
      <c r="DG11" s="2346"/>
      <c r="DH11" s="2345"/>
      <c r="DI11" s="2346"/>
      <c r="DJ11" s="2345"/>
      <c r="DK11" s="2346"/>
      <c r="DL11" s="2345"/>
      <c r="DM11" s="2346"/>
      <c r="DN11" s="2345"/>
      <c r="DO11" s="2357"/>
      <c r="DP11" s="2346"/>
    </row>
    <row r="12" spans="1:132" s="343" customFormat="1" ht="14.25" customHeight="1">
      <c r="A12" s="2439"/>
      <c r="B12" s="2480"/>
      <c r="C12" s="2481"/>
      <c r="D12" s="2482"/>
      <c r="E12" s="1955"/>
      <c r="F12" s="1957"/>
      <c r="G12" s="2118"/>
      <c r="H12" s="2345"/>
      <c r="I12" s="2346"/>
      <c r="J12" s="2345"/>
      <c r="K12" s="2346"/>
      <c r="L12" s="2345"/>
      <c r="M12" s="2346"/>
      <c r="N12" s="2480"/>
      <c r="O12" s="2482"/>
      <c r="P12" s="2345"/>
      <c r="Q12" s="2346"/>
      <c r="R12" s="2419" t="s">
        <v>485</v>
      </c>
      <c r="S12" s="2420"/>
      <c r="T12" s="2372" t="s">
        <v>151</v>
      </c>
      <c r="U12" s="799"/>
      <c r="V12" s="2345"/>
      <c r="W12" s="2346"/>
      <c r="X12" s="2345"/>
      <c r="Y12" s="2346"/>
      <c r="Z12" s="2509"/>
      <c r="AA12" s="2451"/>
      <c r="AB12" s="2345"/>
      <c r="AC12" s="2357"/>
      <c r="AD12" s="2346"/>
      <c r="AE12" s="2345"/>
      <c r="AF12" s="2346"/>
      <c r="AG12" s="2345"/>
      <c r="AH12" s="2346"/>
      <c r="AI12" s="2375"/>
      <c r="AJ12" s="2376"/>
      <c r="AK12" s="2379"/>
      <c r="AL12" s="614"/>
      <c r="AM12" s="2475"/>
      <c r="AN12" s="2470"/>
      <c r="AO12" s="372"/>
      <c r="AP12" s="2467"/>
      <c r="AQ12" s="2468"/>
      <c r="AR12" s="2345"/>
      <c r="AS12" s="2346"/>
      <c r="AT12" s="2345"/>
      <c r="AU12" s="2346"/>
      <c r="AV12" s="2345"/>
      <c r="AW12" s="2346"/>
      <c r="AX12" s="2496"/>
      <c r="AY12" s="2468"/>
      <c r="AZ12" s="2349" t="s">
        <v>486</v>
      </c>
      <c r="BA12" s="2350"/>
      <c r="BB12" s="2351"/>
      <c r="BC12" s="2349" t="s">
        <v>487</v>
      </c>
      <c r="BD12" s="2350"/>
      <c r="BE12" s="2350"/>
      <c r="BF12" s="2351"/>
      <c r="BG12" s="834" t="s">
        <v>488</v>
      </c>
      <c r="BH12" s="824">
        <v>1</v>
      </c>
      <c r="BI12" s="991"/>
      <c r="BJ12" s="2345"/>
      <c r="BK12" s="2346"/>
      <c r="BL12" s="2476"/>
      <c r="BM12" s="2345"/>
      <c r="BN12" s="2346"/>
      <c r="BO12" s="2345"/>
      <c r="BP12" s="2346"/>
      <c r="BQ12" s="2345"/>
      <c r="BR12" s="2346"/>
      <c r="BS12" s="2349"/>
      <c r="BT12" s="2350"/>
      <c r="BU12" s="2351"/>
      <c r="BV12" s="2349"/>
      <c r="BW12" s="2350"/>
      <c r="BX12" s="2350"/>
      <c r="BY12" s="2351"/>
      <c r="BZ12" s="917" t="s">
        <v>488</v>
      </c>
      <c r="CA12" s="955">
        <v>1</v>
      </c>
      <c r="CB12" s="789"/>
      <c r="CC12" s="2357"/>
      <c r="CD12" s="2346"/>
      <c r="CE12" s="2345"/>
      <c r="CF12" s="2346"/>
      <c r="CG12" s="2345"/>
      <c r="CH12" s="2357"/>
      <c r="CI12" s="2346"/>
      <c r="CJ12" s="2345"/>
      <c r="CK12" s="2346"/>
      <c r="CL12" s="2345"/>
      <c r="CM12" s="2346"/>
      <c r="CN12" s="2345"/>
      <c r="CO12" s="2346"/>
      <c r="CP12" s="2345"/>
      <c r="CQ12" s="2346"/>
      <c r="CR12" s="2345"/>
      <c r="CS12" s="2346"/>
      <c r="CT12" s="2349" t="s">
        <v>489</v>
      </c>
      <c r="CU12" s="2350"/>
      <c r="CV12" s="2351"/>
      <c r="CW12" s="2349" t="s">
        <v>490</v>
      </c>
      <c r="CX12" s="2350"/>
      <c r="CY12" s="2350"/>
      <c r="CZ12" s="2351"/>
      <c r="DA12" s="1005" t="s">
        <v>488</v>
      </c>
      <c r="DB12" s="1006">
        <v>1</v>
      </c>
      <c r="DC12" s="789"/>
      <c r="DD12" s="2345"/>
      <c r="DE12" s="2346"/>
      <c r="DF12" s="2345"/>
      <c r="DG12" s="2346"/>
      <c r="DH12" s="2345"/>
      <c r="DI12" s="2346"/>
      <c r="DJ12" s="2345"/>
      <c r="DK12" s="2346"/>
      <c r="DL12" s="2345"/>
      <c r="DM12" s="2346"/>
      <c r="DN12" s="2345"/>
      <c r="DO12" s="2357"/>
      <c r="DP12" s="2346"/>
    </row>
    <row r="13" spans="1:132" s="343" customFormat="1" ht="14.25" customHeight="1">
      <c r="A13" s="2439"/>
      <c r="B13" s="2480"/>
      <c r="C13" s="2481"/>
      <c r="D13" s="2482"/>
      <c r="E13" s="1955"/>
      <c r="F13" s="1957"/>
      <c r="G13" s="2118"/>
      <c r="H13" s="2345"/>
      <c r="I13" s="2346"/>
      <c r="J13" s="2345"/>
      <c r="K13" s="2346"/>
      <c r="L13" s="2345"/>
      <c r="M13" s="2346"/>
      <c r="N13" s="2480"/>
      <c r="O13" s="2482"/>
      <c r="P13" s="2345"/>
      <c r="Q13" s="2346"/>
      <c r="R13" s="2421"/>
      <c r="S13" s="2422"/>
      <c r="T13" s="2374"/>
      <c r="U13" s="1447">
        <f>AZ4</f>
        <v>-4.2299999999999951</v>
      </c>
      <c r="V13" s="2345"/>
      <c r="W13" s="2346"/>
      <c r="X13" s="2345"/>
      <c r="Y13" s="2346"/>
      <c r="Z13" s="2509"/>
      <c r="AA13" s="2451"/>
      <c r="AB13" s="2345"/>
      <c r="AC13" s="2357"/>
      <c r="AD13" s="2346"/>
      <c r="AE13" s="2345"/>
      <c r="AF13" s="2346"/>
      <c r="AG13" s="2345"/>
      <c r="AH13" s="2346"/>
      <c r="AI13" s="2371" t="s">
        <v>491</v>
      </c>
      <c r="AJ13" s="2372"/>
      <c r="AK13" s="2377">
        <v>2</v>
      </c>
      <c r="AL13" s="614"/>
      <c r="AM13" s="822" t="s">
        <v>492</v>
      </c>
      <c r="AN13" s="626">
        <v>3</v>
      </c>
      <c r="AO13" s="977"/>
      <c r="AP13" s="2467"/>
      <c r="AQ13" s="2468"/>
      <c r="AR13" s="2345"/>
      <c r="AS13" s="2346"/>
      <c r="AT13" s="2345"/>
      <c r="AU13" s="2346"/>
      <c r="AV13" s="2345"/>
      <c r="AW13" s="2346"/>
      <c r="AX13" s="2496"/>
      <c r="AY13" s="2468"/>
      <c r="AZ13" s="2349"/>
      <c r="BA13" s="2350"/>
      <c r="BB13" s="2351"/>
      <c r="BC13" s="2349"/>
      <c r="BD13" s="2350"/>
      <c r="BE13" s="2350"/>
      <c r="BF13" s="2351"/>
      <c r="BG13" s="834" t="s">
        <v>493</v>
      </c>
      <c r="BH13" s="824">
        <v>2</v>
      </c>
      <c r="BI13" s="991"/>
      <c r="BL13" s="2476"/>
      <c r="BM13" s="2345"/>
      <c r="BN13" s="2346"/>
      <c r="BO13" s="2345"/>
      <c r="BP13" s="2346"/>
      <c r="BQ13" s="345"/>
      <c r="BR13" s="282"/>
      <c r="BS13" s="2349" t="s">
        <v>494</v>
      </c>
      <c r="BT13" s="2350"/>
      <c r="BU13" s="2351"/>
      <c r="BV13" s="2349" t="s">
        <v>495</v>
      </c>
      <c r="BW13" s="2350"/>
      <c r="BX13" s="2350"/>
      <c r="BY13" s="2351"/>
      <c r="BZ13" s="834" t="s">
        <v>493</v>
      </c>
      <c r="CA13" s="824">
        <v>2</v>
      </c>
      <c r="CB13" s="991"/>
      <c r="CE13" s="2345"/>
      <c r="CF13" s="2346"/>
      <c r="CG13" s="2349" t="s">
        <v>496</v>
      </c>
      <c r="CH13" s="2350"/>
      <c r="CI13" s="2351"/>
      <c r="CJ13" s="423"/>
      <c r="CK13" s="426"/>
      <c r="CL13" s="2345"/>
      <c r="CM13" s="2346"/>
      <c r="CN13" s="2345"/>
      <c r="CO13" s="2346"/>
      <c r="CP13" s="2345"/>
      <c r="CQ13" s="2346"/>
      <c r="CR13" s="2345"/>
      <c r="CS13" s="2346"/>
      <c r="CT13" s="2349"/>
      <c r="CU13" s="2350"/>
      <c r="CV13" s="2351"/>
      <c r="CW13" s="2349"/>
      <c r="CX13" s="2350"/>
      <c r="CY13" s="2350"/>
      <c r="CZ13" s="2351"/>
      <c r="DA13" s="834" t="s">
        <v>493</v>
      </c>
      <c r="DB13" s="824">
        <v>2</v>
      </c>
      <c r="DC13" s="991"/>
      <c r="DF13" s="423"/>
      <c r="DG13" s="426"/>
      <c r="DH13" s="2345"/>
      <c r="DI13" s="2346"/>
      <c r="DJ13" s="2345"/>
      <c r="DK13" s="2346"/>
      <c r="DL13" s="2345"/>
      <c r="DM13" s="2346"/>
      <c r="DO13" s="1007"/>
      <c r="DP13" s="916"/>
    </row>
    <row r="14" spans="1:132" s="343" customFormat="1" ht="14.25" customHeight="1">
      <c r="A14" s="2439"/>
      <c r="B14" s="2480"/>
      <c r="C14" s="2481"/>
      <c r="D14" s="2482"/>
      <c r="E14" s="1955"/>
      <c r="F14" s="1957"/>
      <c r="G14" s="2118"/>
      <c r="H14" s="2345"/>
      <c r="I14" s="2346"/>
      <c r="J14" s="2345"/>
      <c r="K14" s="2346"/>
      <c r="L14" s="2345"/>
      <c r="M14" s="2346"/>
      <c r="N14" s="2480"/>
      <c r="O14" s="2482"/>
      <c r="P14" s="2345"/>
      <c r="Q14" s="2346"/>
      <c r="R14" s="2423"/>
      <c r="S14" s="2424"/>
      <c r="T14" s="2376"/>
      <c r="U14" s="878"/>
      <c r="V14" s="2345"/>
      <c r="W14" s="2346"/>
      <c r="X14" s="2345"/>
      <c r="Y14" s="2346"/>
      <c r="Z14" s="2510"/>
      <c r="AA14" s="2511"/>
      <c r="AB14" s="2345"/>
      <c r="AC14" s="2357"/>
      <c r="AD14" s="2346"/>
      <c r="AE14" s="2345"/>
      <c r="AF14" s="2346"/>
      <c r="AG14" s="2345"/>
      <c r="AH14" s="2346"/>
      <c r="AI14" s="2375"/>
      <c r="AJ14" s="2376"/>
      <c r="AK14" s="2379"/>
      <c r="AL14" s="554"/>
      <c r="AM14" s="2475" t="s">
        <v>497</v>
      </c>
      <c r="AN14" s="2470" t="s">
        <v>498</v>
      </c>
      <c r="AO14" s="2501">
        <f>AR4</f>
        <v>-4.1899999999999959</v>
      </c>
      <c r="AP14" s="2467"/>
      <c r="AQ14" s="2468"/>
      <c r="AR14" s="2345"/>
      <c r="AS14" s="2346"/>
      <c r="AT14" s="2345"/>
      <c r="AU14" s="2346"/>
      <c r="AV14" s="2345"/>
      <c r="AW14" s="2346"/>
      <c r="AX14" s="2496"/>
      <c r="AY14" s="2468"/>
      <c r="AZ14" s="2349" t="s">
        <v>499</v>
      </c>
      <c r="BA14" s="2350"/>
      <c r="BB14" s="2351"/>
      <c r="BC14" s="2349"/>
      <c r="BD14" s="2350"/>
      <c r="BE14" s="2350"/>
      <c r="BF14" s="2351"/>
      <c r="BG14" s="834" t="s">
        <v>500</v>
      </c>
      <c r="BH14" s="824">
        <v>3</v>
      </c>
      <c r="BI14" s="991"/>
      <c r="BJ14" s="803"/>
      <c r="BK14" s="806"/>
      <c r="BL14" s="2476"/>
      <c r="BM14" s="2345"/>
      <c r="BN14" s="2346"/>
      <c r="BO14" s="2345"/>
      <c r="BP14" s="2346"/>
      <c r="BQ14" s="2206" t="s">
        <v>501</v>
      </c>
      <c r="BR14" s="2208"/>
      <c r="BS14" s="2349"/>
      <c r="BT14" s="2350"/>
      <c r="BU14" s="2351"/>
      <c r="BV14" s="2349"/>
      <c r="BW14" s="2350"/>
      <c r="BX14" s="2350"/>
      <c r="BY14" s="2351"/>
      <c r="BZ14" s="834" t="s">
        <v>500</v>
      </c>
      <c r="CA14" s="824">
        <v>3</v>
      </c>
      <c r="CB14" s="991"/>
      <c r="CC14" s="851"/>
      <c r="CD14" s="806"/>
      <c r="CE14" s="2345"/>
      <c r="CF14" s="2346"/>
      <c r="CG14" s="2349"/>
      <c r="CH14" s="2350"/>
      <c r="CI14" s="2351"/>
      <c r="CJ14" s="423"/>
      <c r="CK14" s="426"/>
      <c r="CL14" s="2345"/>
      <c r="CM14" s="2346"/>
      <c r="CN14" s="2345"/>
      <c r="CO14" s="2346"/>
      <c r="CP14" s="2345"/>
      <c r="CQ14" s="2346"/>
      <c r="CR14" s="2345"/>
      <c r="CS14" s="2346"/>
      <c r="CT14" s="423"/>
      <c r="CU14" s="615"/>
      <c r="CV14" s="426"/>
      <c r="CW14" s="381"/>
      <c r="CX14" s="554"/>
      <c r="CY14" s="554"/>
      <c r="CZ14" s="382"/>
      <c r="DA14" s="834" t="s">
        <v>500</v>
      </c>
      <c r="DB14" s="824">
        <v>3</v>
      </c>
      <c r="DC14" s="991"/>
      <c r="DD14" s="851"/>
      <c r="DE14" s="806"/>
      <c r="DF14" s="423"/>
      <c r="DG14" s="426"/>
      <c r="DH14" s="2345"/>
      <c r="DI14" s="2346"/>
      <c r="DJ14" s="2345"/>
      <c r="DK14" s="2346"/>
      <c r="DL14" s="2345"/>
      <c r="DM14" s="2346"/>
      <c r="DN14" s="915"/>
      <c r="DO14" s="1007"/>
      <c r="DP14" s="916"/>
    </row>
    <row r="15" spans="1:132" s="343" customFormat="1" ht="14.25" customHeight="1">
      <c r="A15" s="2439"/>
      <c r="B15" s="2480"/>
      <c r="C15" s="2481"/>
      <c r="D15" s="2482"/>
      <c r="E15" s="873"/>
      <c r="F15" s="875"/>
      <c r="G15" s="876"/>
      <c r="H15" s="2345"/>
      <c r="I15" s="2346"/>
      <c r="J15" s="2345"/>
      <c r="K15" s="2346"/>
      <c r="L15" s="2345"/>
      <c r="M15" s="2346"/>
      <c r="N15" s="2480"/>
      <c r="O15" s="2482"/>
      <c r="P15" s="2345"/>
      <c r="Q15" s="2346"/>
      <c r="R15" s="2429" t="s">
        <v>502</v>
      </c>
      <c r="S15" s="2430"/>
      <c r="T15" s="903" t="s">
        <v>282</v>
      </c>
      <c r="U15" s="879">
        <f>AZ4</f>
        <v>-4.2299999999999951</v>
      </c>
      <c r="V15" s="2345"/>
      <c r="W15" s="2346"/>
      <c r="X15" s="2345"/>
      <c r="Y15" s="2346"/>
      <c r="Z15" s="2367" t="s">
        <v>503</v>
      </c>
      <c r="AA15" s="2396">
        <v>1</v>
      </c>
      <c r="AB15" s="370"/>
      <c r="AC15" s="614"/>
      <c r="AD15" s="383"/>
      <c r="AE15" s="2345"/>
      <c r="AF15" s="2346"/>
      <c r="AG15" s="2345"/>
      <c r="AH15" s="2346"/>
      <c r="AI15" s="2371" t="s">
        <v>504</v>
      </c>
      <c r="AJ15" s="2372"/>
      <c r="AK15" s="2377">
        <v>3</v>
      </c>
      <c r="AL15" s="2451"/>
      <c r="AM15" s="2475"/>
      <c r="AN15" s="2470"/>
      <c r="AO15" s="2501"/>
      <c r="AP15" s="2467"/>
      <c r="AQ15" s="2468"/>
      <c r="AR15" s="2345"/>
      <c r="AS15" s="2346"/>
      <c r="AT15" s="2345"/>
      <c r="AU15" s="2346"/>
      <c r="AV15" s="2345"/>
      <c r="AW15" s="2346"/>
      <c r="AX15" s="2496"/>
      <c r="AY15" s="2468"/>
      <c r="AZ15" s="2349"/>
      <c r="BA15" s="2350"/>
      <c r="BB15" s="2351"/>
      <c r="BC15" s="2349" t="s">
        <v>499</v>
      </c>
      <c r="BD15" s="2350"/>
      <c r="BE15" s="2350"/>
      <c r="BF15" s="2351"/>
      <c r="BG15" s="834" t="s">
        <v>505</v>
      </c>
      <c r="BH15" s="824">
        <v>4</v>
      </c>
      <c r="BI15" s="994"/>
      <c r="BJ15" s="803"/>
      <c r="BK15" s="806"/>
      <c r="BM15" s="2345"/>
      <c r="BN15" s="2346"/>
      <c r="BO15" s="2345"/>
      <c r="BP15" s="2346"/>
      <c r="BQ15" s="2206"/>
      <c r="BR15" s="2208"/>
      <c r="BS15" s="2349"/>
      <c r="BT15" s="2350"/>
      <c r="BU15" s="2351"/>
      <c r="BV15" s="2349"/>
      <c r="BW15" s="2350"/>
      <c r="BX15" s="2350"/>
      <c r="BY15" s="2351"/>
      <c r="BZ15" s="834" t="s">
        <v>505</v>
      </c>
      <c r="CA15" s="824">
        <v>4</v>
      </c>
      <c r="CB15" s="793"/>
      <c r="CC15" s="851"/>
      <c r="CD15" s="806"/>
      <c r="CE15" s="2345"/>
      <c r="CF15" s="2346"/>
      <c r="CG15" s="2349"/>
      <c r="CH15" s="2350"/>
      <c r="CI15" s="2351"/>
      <c r="CJ15" s="2432" t="s">
        <v>506</v>
      </c>
      <c r="CK15" s="2433"/>
      <c r="CL15" s="2345"/>
      <c r="CM15" s="2346"/>
      <c r="CN15" s="2345"/>
      <c r="CO15" s="2346"/>
      <c r="CP15" s="2345"/>
      <c r="CQ15" s="2346"/>
      <c r="CR15" s="2349" t="s">
        <v>501</v>
      </c>
      <c r="CS15" s="2351"/>
      <c r="CT15" s="2349" t="s">
        <v>507</v>
      </c>
      <c r="CU15" s="2350"/>
      <c r="CV15" s="2351"/>
      <c r="CW15" s="2349" t="s">
        <v>508</v>
      </c>
      <c r="CX15" s="2350"/>
      <c r="CY15" s="2350"/>
      <c r="CZ15" s="2351"/>
      <c r="DA15" s="834" t="s">
        <v>505</v>
      </c>
      <c r="DB15" s="824">
        <v>4</v>
      </c>
      <c r="DC15" s="994"/>
      <c r="DD15" s="851"/>
      <c r="DE15" s="806"/>
      <c r="DG15" s="916"/>
      <c r="DH15" s="370"/>
      <c r="DI15" s="383"/>
      <c r="DJ15" s="2345"/>
      <c r="DK15" s="2346"/>
      <c r="DL15" s="2345"/>
      <c r="DM15" s="2346"/>
      <c r="DN15" s="915"/>
      <c r="DO15" s="1007"/>
      <c r="DP15" s="916"/>
    </row>
    <row r="16" spans="1:132" s="343" customFormat="1" ht="14.25" customHeight="1">
      <c r="A16" s="2439"/>
      <c r="B16" s="2480"/>
      <c r="C16" s="2481"/>
      <c r="D16" s="2482"/>
      <c r="E16" s="873"/>
      <c r="F16" s="875"/>
      <c r="G16" s="876"/>
      <c r="H16" s="2345"/>
      <c r="I16" s="2346"/>
      <c r="J16" s="2345"/>
      <c r="K16" s="2346"/>
      <c r="L16" s="2345"/>
      <c r="M16" s="2346"/>
      <c r="N16" s="2480"/>
      <c r="O16" s="2482"/>
      <c r="P16" s="2349" t="s">
        <v>509</v>
      </c>
      <c r="Q16" s="2351"/>
      <c r="R16" s="2419" t="s">
        <v>510</v>
      </c>
      <c r="S16" s="2420"/>
      <c r="T16" s="2425" t="s">
        <v>270</v>
      </c>
      <c r="U16" s="2487">
        <f>+AZ4</f>
        <v>-4.2299999999999951</v>
      </c>
      <c r="V16" s="2345"/>
      <c r="W16" s="2346"/>
      <c r="X16" s="2345"/>
      <c r="Y16" s="2346"/>
      <c r="Z16" s="2345"/>
      <c r="AA16" s="2397"/>
      <c r="AB16" s="370"/>
      <c r="AC16" s="614"/>
      <c r="AD16" s="383"/>
      <c r="AE16" s="370"/>
      <c r="AF16" s="383"/>
      <c r="AG16" s="2345"/>
      <c r="AH16" s="2346"/>
      <c r="AI16" s="2375"/>
      <c r="AJ16" s="2376"/>
      <c r="AK16" s="2379"/>
      <c r="AL16" s="2451"/>
      <c r="AM16" s="2475" t="s">
        <v>511</v>
      </c>
      <c r="AN16" s="2386">
        <v>5</v>
      </c>
      <c r="AO16" s="976"/>
      <c r="AP16" s="2467"/>
      <c r="AQ16" s="2468"/>
      <c r="AR16" s="2345"/>
      <c r="AS16" s="2346"/>
      <c r="AT16" s="2345"/>
      <c r="AU16" s="2346"/>
      <c r="AV16" s="2345"/>
      <c r="AW16" s="2346"/>
      <c r="AX16" s="2496"/>
      <c r="AY16" s="2468"/>
      <c r="AZ16" s="859"/>
      <c r="BA16" s="384"/>
      <c r="BB16" s="385"/>
      <c r="BC16" s="2349"/>
      <c r="BD16" s="2350"/>
      <c r="BE16" s="2350"/>
      <c r="BF16" s="2351"/>
      <c r="BG16" s="989" t="s">
        <v>512</v>
      </c>
      <c r="BH16" s="990"/>
      <c r="BI16" s="789"/>
      <c r="BJ16" s="2371" t="s">
        <v>513</v>
      </c>
      <c r="BK16" s="2364">
        <v>1</v>
      </c>
      <c r="BL16" s="2489" t="s">
        <v>514</v>
      </c>
      <c r="BM16" s="2345"/>
      <c r="BN16" s="2346"/>
      <c r="BO16" s="2345"/>
      <c r="BP16" s="2346"/>
      <c r="BQ16" s="1964" t="s">
        <v>515</v>
      </c>
      <c r="BR16" s="2079"/>
      <c r="BS16" s="2349" t="s">
        <v>499</v>
      </c>
      <c r="BT16" s="2350"/>
      <c r="BU16" s="2351"/>
      <c r="BV16" s="2349" t="s">
        <v>499</v>
      </c>
      <c r="BW16" s="2350"/>
      <c r="BX16" s="2350"/>
      <c r="BY16" s="2351"/>
      <c r="BZ16" s="835" t="s">
        <v>512</v>
      </c>
      <c r="CA16" s="982"/>
      <c r="CB16" s="1000"/>
      <c r="CC16" s="2372" t="s">
        <v>513</v>
      </c>
      <c r="CD16" s="2364">
        <v>1</v>
      </c>
      <c r="CE16" s="2345"/>
      <c r="CF16" s="2346"/>
      <c r="CG16" s="2349"/>
      <c r="CH16" s="2350"/>
      <c r="CI16" s="2351"/>
      <c r="CJ16" s="2432"/>
      <c r="CK16" s="2433"/>
      <c r="CL16" s="370"/>
      <c r="CM16" s="383"/>
      <c r="CN16" s="2345"/>
      <c r="CO16" s="2346"/>
      <c r="CP16" s="370"/>
      <c r="CQ16" s="383"/>
      <c r="CR16" s="2349"/>
      <c r="CS16" s="2351"/>
      <c r="CT16" s="2349"/>
      <c r="CU16" s="2350"/>
      <c r="CV16" s="2351"/>
      <c r="CW16" s="2349"/>
      <c r="CX16" s="2350"/>
      <c r="CY16" s="2350"/>
      <c r="CZ16" s="2351"/>
      <c r="DA16" s="989" t="s">
        <v>512</v>
      </c>
      <c r="DB16" s="982"/>
      <c r="DC16" s="789"/>
      <c r="DD16" s="2371" t="s">
        <v>513</v>
      </c>
      <c r="DE16" s="2364">
        <v>1</v>
      </c>
      <c r="DF16" s="2349" t="s">
        <v>506</v>
      </c>
      <c r="DG16" s="2351"/>
      <c r="DH16" s="370"/>
      <c r="DI16" s="383"/>
      <c r="DJ16" s="2345"/>
      <c r="DK16" s="2346"/>
      <c r="DL16" s="2345"/>
      <c r="DM16" s="2346"/>
      <c r="DN16" s="2349" t="s">
        <v>516</v>
      </c>
      <c r="DO16" s="2350"/>
      <c r="DP16" s="2351"/>
    </row>
    <row r="17" spans="1:120" s="343" customFormat="1" ht="14.25" customHeight="1">
      <c r="A17" s="2439"/>
      <c r="B17" s="2480"/>
      <c r="C17" s="2481"/>
      <c r="D17" s="2482"/>
      <c r="E17" s="873"/>
      <c r="F17" s="875"/>
      <c r="G17" s="876"/>
      <c r="H17" s="2345"/>
      <c r="I17" s="2346"/>
      <c r="J17" s="2345"/>
      <c r="K17" s="2346"/>
      <c r="L17" s="2345"/>
      <c r="M17" s="2346"/>
      <c r="N17" s="2480"/>
      <c r="O17" s="2482"/>
      <c r="P17" s="2349"/>
      <c r="Q17" s="2351"/>
      <c r="R17" s="2423"/>
      <c r="S17" s="2424"/>
      <c r="T17" s="2427"/>
      <c r="U17" s="2488"/>
      <c r="V17" s="2345"/>
      <c r="W17" s="2346"/>
      <c r="X17" s="2345"/>
      <c r="Y17" s="2346"/>
      <c r="Z17" s="2347"/>
      <c r="AA17" s="2398"/>
      <c r="AB17" s="370"/>
      <c r="AC17" s="614"/>
      <c r="AD17" s="383"/>
      <c r="AE17" s="370"/>
      <c r="AF17" s="383"/>
      <c r="AG17" s="2345"/>
      <c r="AH17" s="2346"/>
      <c r="AI17" s="2492" t="s">
        <v>517</v>
      </c>
      <c r="AJ17" s="2493"/>
      <c r="AK17" s="986">
        <v>4</v>
      </c>
      <c r="AL17" s="2451"/>
      <c r="AM17" s="2475"/>
      <c r="AN17" s="2236"/>
      <c r="AO17" s="372"/>
      <c r="AP17" s="2467"/>
      <c r="AQ17" s="2468"/>
      <c r="AR17" s="2345"/>
      <c r="AS17" s="2346"/>
      <c r="AT17" s="2345"/>
      <c r="AU17" s="2346"/>
      <c r="AV17" s="2345"/>
      <c r="AW17" s="2346"/>
      <c r="AX17" s="2496"/>
      <c r="AY17" s="2468"/>
      <c r="AZ17" s="345"/>
      <c r="BA17" s="384"/>
      <c r="BB17" s="385"/>
      <c r="BD17" s="384"/>
      <c r="BE17" s="384"/>
      <c r="BF17" s="385"/>
      <c r="BG17" s="836" t="s">
        <v>518</v>
      </c>
      <c r="BH17" s="983">
        <v>5</v>
      </c>
      <c r="BI17" s="793"/>
      <c r="BJ17" s="2375"/>
      <c r="BK17" s="2431"/>
      <c r="BL17" s="2489"/>
      <c r="BM17" s="2345"/>
      <c r="BN17" s="2346"/>
      <c r="BO17" s="2345"/>
      <c r="BP17" s="2346"/>
      <c r="BQ17" s="1964"/>
      <c r="BR17" s="2079"/>
      <c r="BS17" s="2349"/>
      <c r="BT17" s="2350"/>
      <c r="BU17" s="2351"/>
      <c r="BV17" s="2349"/>
      <c r="BW17" s="2350"/>
      <c r="BX17" s="2350"/>
      <c r="BY17" s="2351"/>
      <c r="BZ17" s="836" t="s">
        <v>518</v>
      </c>
      <c r="CA17" s="955">
        <v>5</v>
      </c>
      <c r="CB17" s="1001"/>
      <c r="CC17" s="2376"/>
      <c r="CD17" s="2431"/>
      <c r="CE17" s="2345"/>
      <c r="CF17" s="2346"/>
      <c r="CG17" s="2349"/>
      <c r="CH17" s="2350"/>
      <c r="CI17" s="2351"/>
      <c r="CJ17" s="2432"/>
      <c r="CK17" s="2433"/>
      <c r="CL17" s="370"/>
      <c r="CM17" s="383"/>
      <c r="CN17" s="2345"/>
      <c r="CO17" s="2346"/>
      <c r="CP17" s="370"/>
      <c r="CQ17" s="383"/>
      <c r="CR17" s="2434" t="s">
        <v>519</v>
      </c>
      <c r="CS17" s="2435"/>
      <c r="CT17" s="2349"/>
      <c r="CU17" s="2350"/>
      <c r="CV17" s="2351"/>
      <c r="CW17" s="2349"/>
      <c r="CX17" s="2350"/>
      <c r="CY17" s="2350"/>
      <c r="CZ17" s="2351"/>
      <c r="DA17" s="836" t="s">
        <v>518</v>
      </c>
      <c r="DB17" s="983">
        <v>5</v>
      </c>
      <c r="DC17" s="793"/>
      <c r="DD17" s="2375"/>
      <c r="DE17" s="2431"/>
      <c r="DF17" s="2349"/>
      <c r="DG17" s="2351"/>
      <c r="DH17" s="370"/>
      <c r="DI17" s="383"/>
      <c r="DJ17" s="2345"/>
      <c r="DK17" s="2346"/>
      <c r="DL17" s="2345"/>
      <c r="DM17" s="2346"/>
      <c r="DN17" s="2349"/>
      <c r="DO17" s="2350"/>
      <c r="DP17" s="2351"/>
    </row>
    <row r="18" spans="1:120" s="343" customFormat="1" ht="14.25" customHeight="1">
      <c r="A18" s="2439"/>
      <c r="B18" s="873"/>
      <c r="C18" s="874"/>
      <c r="D18" s="875"/>
      <c r="E18" s="798"/>
      <c r="F18" s="797"/>
      <c r="G18" s="876"/>
      <c r="H18" s="2345"/>
      <c r="I18" s="2346"/>
      <c r="J18" s="2345"/>
      <c r="K18" s="2346"/>
      <c r="L18" s="2345"/>
      <c r="M18" s="2346"/>
      <c r="N18" s="2480"/>
      <c r="O18" s="2482"/>
      <c r="P18" s="2349"/>
      <c r="Q18" s="2351"/>
      <c r="R18" s="2429" t="s">
        <v>520</v>
      </c>
      <c r="S18" s="2430"/>
      <c r="T18" s="817">
        <v>4</v>
      </c>
      <c r="V18" s="2345"/>
      <c r="W18" s="2346"/>
      <c r="X18" s="2345"/>
      <c r="Y18" s="2346"/>
      <c r="Z18" s="2367" t="s">
        <v>521</v>
      </c>
      <c r="AA18" s="2396">
        <v>2</v>
      </c>
      <c r="AB18" s="370"/>
      <c r="AC18" s="614"/>
      <c r="AD18" s="383"/>
      <c r="AG18" s="2345"/>
      <c r="AH18" s="2346"/>
      <c r="AI18" s="2371" t="s">
        <v>522</v>
      </c>
      <c r="AJ18" s="2372"/>
      <c r="AK18" s="2377">
        <v>5</v>
      </c>
      <c r="AL18" s="2499"/>
      <c r="AM18" s="822" t="s">
        <v>523</v>
      </c>
      <c r="AN18" s="975">
        <v>6</v>
      </c>
      <c r="AO18" s="977"/>
      <c r="AP18" s="2467"/>
      <c r="AQ18" s="2468"/>
      <c r="AR18" s="2345"/>
      <c r="AS18" s="2346"/>
      <c r="AT18" s="2345"/>
      <c r="AU18" s="2346"/>
      <c r="AV18" s="2345"/>
      <c r="AW18" s="2346"/>
      <c r="AX18" s="2496"/>
      <c r="AY18" s="2468"/>
      <c r="AZ18" s="2349" t="s">
        <v>524</v>
      </c>
      <c r="BA18" s="2350"/>
      <c r="BB18" s="2351"/>
      <c r="BC18" s="2349" t="s">
        <v>525</v>
      </c>
      <c r="BD18" s="2350"/>
      <c r="BE18" s="2350"/>
      <c r="BF18" s="2351"/>
      <c r="BG18" s="837" t="s">
        <v>526</v>
      </c>
      <c r="BH18" s="985"/>
      <c r="BI18" s="789"/>
      <c r="BJ18" s="2371" t="s">
        <v>527</v>
      </c>
      <c r="BK18" s="2364">
        <v>2</v>
      </c>
      <c r="BL18" s="2489"/>
      <c r="BM18" s="2345"/>
      <c r="BN18" s="2346"/>
      <c r="BO18" s="2345"/>
      <c r="BP18" s="2346"/>
      <c r="BQ18" s="1964"/>
      <c r="BR18" s="2079"/>
      <c r="BS18" s="2349"/>
      <c r="BT18" s="2350"/>
      <c r="BU18" s="2351"/>
      <c r="BV18" s="2349"/>
      <c r="BW18" s="2350"/>
      <c r="BX18" s="2350"/>
      <c r="BY18" s="2351"/>
      <c r="BZ18" s="837" t="s">
        <v>526</v>
      </c>
      <c r="CA18" s="984"/>
      <c r="CB18" s="1002"/>
      <c r="CC18" s="2372" t="s">
        <v>527</v>
      </c>
      <c r="CD18" s="2364">
        <v>2</v>
      </c>
      <c r="CE18" s="2345"/>
      <c r="CF18" s="2346"/>
      <c r="CG18" s="344"/>
      <c r="CH18" s="792"/>
      <c r="CI18" s="793"/>
      <c r="CJ18" s="2432"/>
      <c r="CK18" s="2433"/>
      <c r="CL18" s="613"/>
      <c r="CM18" s="612"/>
      <c r="CN18" s="613"/>
      <c r="CO18" s="612"/>
      <c r="CP18" s="370"/>
      <c r="CQ18" s="383"/>
      <c r="CR18" s="2434"/>
      <c r="CS18" s="2435"/>
      <c r="CT18" s="2349"/>
      <c r="CU18" s="2350"/>
      <c r="CV18" s="2351"/>
      <c r="CW18" s="2349"/>
      <c r="CX18" s="2350"/>
      <c r="CY18" s="2350"/>
      <c r="CZ18" s="2351"/>
      <c r="DA18" s="837" t="s">
        <v>526</v>
      </c>
      <c r="DB18" s="985"/>
      <c r="DC18" s="789"/>
      <c r="DD18" s="2371" t="s">
        <v>527</v>
      </c>
      <c r="DE18" s="2364">
        <v>2</v>
      </c>
      <c r="DF18" s="2349"/>
      <c r="DG18" s="2351"/>
      <c r="DH18" s="613"/>
      <c r="DI18" s="612"/>
      <c r="DJ18" s="613"/>
      <c r="DK18" s="612"/>
      <c r="DL18" s="2345"/>
      <c r="DM18" s="2346"/>
      <c r="DN18" s="2349"/>
      <c r="DO18" s="2350"/>
      <c r="DP18" s="2351"/>
    </row>
    <row r="19" spans="1:120" s="343" customFormat="1" ht="14.25" customHeight="1">
      <c r="A19" s="2439"/>
      <c r="B19" s="484"/>
      <c r="C19" s="485"/>
      <c r="D19" s="486"/>
      <c r="E19" s="484"/>
      <c r="F19" s="486"/>
      <c r="G19" s="487"/>
      <c r="H19" s="2345"/>
      <c r="I19" s="2346"/>
      <c r="J19" s="2345"/>
      <c r="K19" s="2346"/>
      <c r="L19" s="2345"/>
      <c r="M19" s="2346"/>
      <c r="N19" s="2480"/>
      <c r="O19" s="2482"/>
      <c r="P19" s="2349"/>
      <c r="Q19" s="2351"/>
      <c r="R19" s="2429" t="s">
        <v>528</v>
      </c>
      <c r="S19" s="2430"/>
      <c r="T19" s="850">
        <v>5</v>
      </c>
      <c r="U19" s="880"/>
      <c r="V19" s="345"/>
      <c r="W19" s="346"/>
      <c r="X19" s="2345"/>
      <c r="Y19" s="2346"/>
      <c r="Z19" s="2453"/>
      <c r="AA19" s="2398"/>
      <c r="AB19" s="2371" t="s">
        <v>529</v>
      </c>
      <c r="AC19" s="2364">
        <v>1</v>
      </c>
      <c r="AD19" s="2385">
        <f>+AZ4</f>
        <v>-4.2299999999999951</v>
      </c>
      <c r="AG19" s="2345"/>
      <c r="AH19" s="2346"/>
      <c r="AI19" s="2375"/>
      <c r="AJ19" s="2376"/>
      <c r="AK19" s="2379"/>
      <c r="AL19" s="2499"/>
      <c r="AM19" s="823" t="s">
        <v>530</v>
      </c>
      <c r="AN19" s="626">
        <v>7</v>
      </c>
      <c r="AO19" s="977"/>
      <c r="AP19" s="2467"/>
      <c r="AQ19" s="2468"/>
      <c r="AR19" s="2345"/>
      <c r="AS19" s="2346"/>
      <c r="AT19" s="2345"/>
      <c r="AU19" s="2346"/>
      <c r="AV19" s="345"/>
      <c r="AW19" s="346"/>
      <c r="AX19" s="2496"/>
      <c r="AY19" s="2468"/>
      <c r="AZ19" s="2349"/>
      <c r="BA19" s="2350"/>
      <c r="BB19" s="2351"/>
      <c r="BC19" s="2349"/>
      <c r="BD19" s="2350"/>
      <c r="BE19" s="2350"/>
      <c r="BF19" s="2351"/>
      <c r="BG19" s="838" t="s">
        <v>531</v>
      </c>
      <c r="BH19" s="985">
        <v>6</v>
      </c>
      <c r="BI19" s="789"/>
      <c r="BJ19" s="2375"/>
      <c r="BK19" s="2431"/>
      <c r="BL19" s="2489"/>
      <c r="BM19" s="2345"/>
      <c r="BN19" s="2346"/>
      <c r="BO19" s="2345"/>
      <c r="BP19" s="2346"/>
      <c r="BQ19" s="1964"/>
      <c r="BR19" s="2079"/>
      <c r="BS19" s="345"/>
      <c r="BT19" s="384"/>
      <c r="BU19" s="385"/>
      <c r="BW19" s="384"/>
      <c r="BX19" s="384"/>
      <c r="BY19" s="385"/>
      <c r="BZ19" s="838" t="s">
        <v>531</v>
      </c>
      <c r="CA19" s="824">
        <v>6</v>
      </c>
      <c r="CB19" s="1002"/>
      <c r="CC19" s="2376"/>
      <c r="CD19" s="2431"/>
      <c r="CE19" s="2345"/>
      <c r="CF19" s="2346"/>
      <c r="CG19" s="344"/>
      <c r="CH19" s="792"/>
      <c r="CI19" s="793"/>
      <c r="CJ19" s="2432"/>
      <c r="CK19" s="2433"/>
      <c r="CL19" s="613"/>
      <c r="CM19" s="612"/>
      <c r="CN19" s="613"/>
      <c r="CO19" s="612"/>
      <c r="CP19" s="370"/>
      <c r="CQ19" s="383"/>
      <c r="CR19" s="2434"/>
      <c r="CS19" s="2435"/>
      <c r="CT19" s="2349"/>
      <c r="CU19" s="2350"/>
      <c r="CV19" s="2351"/>
      <c r="CW19" s="2349"/>
      <c r="CX19" s="2350"/>
      <c r="CY19" s="2350"/>
      <c r="CZ19" s="2351"/>
      <c r="DA19" s="838" t="s">
        <v>531</v>
      </c>
      <c r="DB19" s="985">
        <v>6</v>
      </c>
      <c r="DC19" s="789"/>
      <c r="DD19" s="2375"/>
      <c r="DE19" s="2431"/>
      <c r="DF19" s="2349"/>
      <c r="DG19" s="2351"/>
      <c r="DH19" s="613"/>
      <c r="DI19" s="612"/>
      <c r="DJ19" s="613"/>
      <c r="DK19" s="612"/>
      <c r="DL19" s="2345"/>
      <c r="DM19" s="2346"/>
      <c r="DN19" s="344"/>
      <c r="DO19" s="792"/>
      <c r="DP19" s="793"/>
    </row>
    <row r="20" spans="1:120" s="343" customFormat="1" ht="14.25" customHeight="1">
      <c r="A20" s="2439"/>
      <c r="B20" s="484"/>
      <c r="C20" s="485"/>
      <c r="D20" s="486"/>
      <c r="E20" s="484"/>
      <c r="F20" s="486"/>
      <c r="G20" s="487"/>
      <c r="H20" s="2345"/>
      <c r="I20" s="2346"/>
      <c r="J20" s="2345"/>
      <c r="K20" s="2346"/>
      <c r="L20" s="2345"/>
      <c r="M20" s="2346"/>
      <c r="N20" s="2480"/>
      <c r="O20" s="2482"/>
      <c r="P20" s="2349"/>
      <c r="Q20" s="2351"/>
      <c r="R20" s="2419" t="s">
        <v>532</v>
      </c>
      <c r="S20" s="2420"/>
      <c r="T20" s="2425">
        <v>6</v>
      </c>
      <c r="U20" s="881"/>
      <c r="V20" s="345"/>
      <c r="W20" s="346"/>
      <c r="X20" s="381"/>
      <c r="Y20" s="382"/>
      <c r="Z20" s="2367" t="s">
        <v>533</v>
      </c>
      <c r="AA20" s="2396">
        <v>3</v>
      </c>
      <c r="AB20" s="2375"/>
      <c r="AC20" s="2431"/>
      <c r="AD20" s="2385"/>
      <c r="AE20" s="2367" t="s">
        <v>534</v>
      </c>
      <c r="AF20" s="944" t="s">
        <v>151</v>
      </c>
      <c r="AG20" s="2345"/>
      <c r="AH20" s="2346"/>
      <c r="AI20" s="2371" t="s">
        <v>535</v>
      </c>
      <c r="AJ20" s="2372"/>
      <c r="AK20" s="2377">
        <v>6</v>
      </c>
      <c r="AL20" s="974">
        <f>+AR4</f>
        <v>-4.1899999999999959</v>
      </c>
      <c r="AM20" s="2406" t="s">
        <v>536</v>
      </c>
      <c r="AN20" s="2474">
        <v>8</v>
      </c>
      <c r="AO20" s="976"/>
      <c r="AP20" s="2467"/>
      <c r="AQ20" s="2468"/>
      <c r="AR20" s="2345"/>
      <c r="AS20" s="2346"/>
      <c r="AT20" s="2345"/>
      <c r="AU20" s="2346"/>
      <c r="AV20" s="345"/>
      <c r="AW20" s="346"/>
      <c r="AX20" s="2496"/>
      <c r="AY20" s="2468"/>
      <c r="AZ20" s="2349"/>
      <c r="BA20" s="2350"/>
      <c r="BB20" s="2351"/>
      <c r="BC20" s="2349"/>
      <c r="BD20" s="2350"/>
      <c r="BE20" s="2350"/>
      <c r="BF20" s="2351"/>
      <c r="BG20" s="838" t="s">
        <v>537</v>
      </c>
      <c r="BH20" s="986">
        <v>7</v>
      </c>
      <c r="BI20" s="789"/>
      <c r="BJ20" s="843" t="s">
        <v>538</v>
      </c>
      <c r="BK20" s="842">
        <v>3</v>
      </c>
      <c r="BL20" s="2489"/>
      <c r="BM20" s="2345"/>
      <c r="BN20" s="2346"/>
      <c r="BO20" s="2345"/>
      <c r="BP20" s="2346"/>
      <c r="BQ20" s="1964"/>
      <c r="BR20" s="2079"/>
      <c r="BS20" s="2349" t="s">
        <v>524</v>
      </c>
      <c r="BT20" s="2350"/>
      <c r="BU20" s="2351"/>
      <c r="BV20" s="2349" t="s">
        <v>525</v>
      </c>
      <c r="BW20" s="2350"/>
      <c r="BX20" s="2350"/>
      <c r="BY20" s="2351"/>
      <c r="BZ20" s="838" t="s">
        <v>537</v>
      </c>
      <c r="CA20" s="824">
        <v>7</v>
      </c>
      <c r="CB20" s="1002"/>
      <c r="CC20" s="852" t="s">
        <v>538</v>
      </c>
      <c r="CD20" s="842">
        <v>3</v>
      </c>
      <c r="CE20" s="2345"/>
      <c r="CF20" s="2346"/>
      <c r="CG20" s="2349" t="s">
        <v>539</v>
      </c>
      <c r="CH20" s="2350"/>
      <c r="CI20" s="2351"/>
      <c r="CJ20" s="2432"/>
      <c r="CK20" s="2433"/>
      <c r="CL20" s="613"/>
      <c r="CM20" s="612"/>
      <c r="CN20" s="613"/>
      <c r="CO20" s="612"/>
      <c r="CP20" s="370"/>
      <c r="CQ20" s="383"/>
      <c r="CR20" s="2434"/>
      <c r="CS20" s="2435"/>
      <c r="CT20" s="345"/>
      <c r="CU20" s="384"/>
      <c r="CV20" s="385"/>
      <c r="CX20" s="384"/>
      <c r="CY20" s="384"/>
      <c r="CZ20" s="385"/>
      <c r="DA20" s="838" t="s">
        <v>537</v>
      </c>
      <c r="DB20" s="986">
        <v>7</v>
      </c>
      <c r="DC20" s="789"/>
      <c r="DD20" s="852" t="s">
        <v>538</v>
      </c>
      <c r="DE20" s="842">
        <v>3</v>
      </c>
      <c r="DF20" s="2349"/>
      <c r="DG20" s="2351"/>
      <c r="DH20" s="613"/>
      <c r="DI20" s="612"/>
      <c r="DJ20" s="613"/>
      <c r="DK20" s="612"/>
      <c r="DL20" s="2345"/>
      <c r="DM20" s="2346"/>
      <c r="DN20" s="2349" t="s">
        <v>539</v>
      </c>
      <c r="DO20" s="2350"/>
      <c r="DP20" s="2351"/>
    </row>
    <row r="21" spans="1:120" s="343" customFormat="1" ht="14.25" customHeight="1">
      <c r="A21" s="2439"/>
      <c r="B21" s="485"/>
      <c r="C21" s="485"/>
      <c r="D21" s="485"/>
      <c r="E21" s="484"/>
      <c r="F21" s="486"/>
      <c r="G21" s="487"/>
      <c r="H21" s="2345"/>
      <c r="I21" s="2346"/>
      <c r="J21" s="2345"/>
      <c r="K21" s="2346"/>
      <c r="L21" s="2345"/>
      <c r="M21" s="2346"/>
      <c r="N21" s="2480"/>
      <c r="O21" s="2482"/>
      <c r="P21" s="2349"/>
      <c r="Q21" s="2351"/>
      <c r="R21" s="2423"/>
      <c r="S21" s="2424"/>
      <c r="T21" s="2427"/>
      <c r="U21" s="882"/>
      <c r="V21" s="345"/>
      <c r="W21" s="346"/>
      <c r="X21" s="381"/>
      <c r="Y21" s="382"/>
      <c r="Z21" s="2337"/>
      <c r="AA21" s="2397"/>
      <c r="AB21" s="2371" t="s">
        <v>540</v>
      </c>
      <c r="AC21" s="2364">
        <v>2</v>
      </c>
      <c r="AD21" s="2385"/>
      <c r="AE21" s="2345"/>
      <c r="AF21" s="945"/>
      <c r="AG21" s="2345"/>
      <c r="AH21" s="2346"/>
      <c r="AI21" s="2375"/>
      <c r="AJ21" s="2376"/>
      <c r="AK21" s="2379"/>
      <c r="AM21" s="2406"/>
      <c r="AN21" s="2474"/>
      <c r="AO21" s="372"/>
      <c r="AP21" s="2467"/>
      <c r="AQ21" s="2468"/>
      <c r="AR21" s="2345"/>
      <c r="AS21" s="2346"/>
      <c r="AT21" s="2345"/>
      <c r="AU21" s="2346"/>
      <c r="AV21" s="345"/>
      <c r="AW21" s="346"/>
      <c r="AX21" s="2496"/>
      <c r="AY21" s="2468"/>
      <c r="AZ21" s="859"/>
      <c r="BA21" s="384"/>
      <c r="BB21" s="384"/>
      <c r="BC21" s="2349" t="s">
        <v>541</v>
      </c>
      <c r="BD21" s="2350"/>
      <c r="BE21" s="2350"/>
      <c r="BF21" s="2351"/>
      <c r="BG21" s="839" t="s">
        <v>542</v>
      </c>
      <c r="BH21" s="982"/>
      <c r="BI21" s="2469">
        <f>+BL4</f>
        <v>-4.2699999999999942</v>
      </c>
      <c r="BJ21" s="2367" t="s">
        <v>543</v>
      </c>
      <c r="BK21" s="2364">
        <v>4</v>
      </c>
      <c r="BL21" s="2489"/>
      <c r="BM21" s="2345"/>
      <c r="BN21" s="2346"/>
      <c r="BO21" s="2345"/>
      <c r="BP21" s="2346"/>
      <c r="BQ21" s="1964"/>
      <c r="BR21" s="2079"/>
      <c r="BS21" s="2349"/>
      <c r="BT21" s="2350"/>
      <c r="BU21" s="2351"/>
      <c r="BV21" s="2349"/>
      <c r="BW21" s="2350"/>
      <c r="BX21" s="2350"/>
      <c r="BY21" s="2351"/>
      <c r="BZ21" s="839" t="s">
        <v>542</v>
      </c>
      <c r="CA21" s="982"/>
      <c r="CB21" s="2448">
        <f>+CE4</f>
        <v>-4.3499999999999925</v>
      </c>
      <c r="CC21" s="2471" t="s">
        <v>543</v>
      </c>
      <c r="CD21" s="2364">
        <v>4</v>
      </c>
      <c r="CE21" s="2345"/>
      <c r="CF21" s="2346"/>
      <c r="CG21" s="2349"/>
      <c r="CH21" s="2350"/>
      <c r="CI21" s="2351"/>
      <c r="CJ21" s="2432"/>
      <c r="CK21" s="2433"/>
      <c r="CL21" s="613"/>
      <c r="CM21" s="612"/>
      <c r="CN21" s="613"/>
      <c r="CO21" s="612"/>
      <c r="CP21" s="370"/>
      <c r="CQ21" s="383"/>
      <c r="CR21" s="2434"/>
      <c r="CS21" s="2435"/>
      <c r="CT21" s="2349" t="s">
        <v>524</v>
      </c>
      <c r="CU21" s="2350"/>
      <c r="CV21" s="2351"/>
      <c r="CW21" s="2349" t="s">
        <v>525</v>
      </c>
      <c r="CX21" s="2350"/>
      <c r="CY21" s="2350"/>
      <c r="CZ21" s="2351"/>
      <c r="DA21" s="839" t="s">
        <v>542</v>
      </c>
      <c r="DB21" s="982"/>
      <c r="DC21" s="2500">
        <f>+DF4</f>
        <v>-4.4599999999999902</v>
      </c>
      <c r="DD21" s="2367" t="s">
        <v>543</v>
      </c>
      <c r="DE21" s="2364">
        <v>4</v>
      </c>
      <c r="DF21" s="2349"/>
      <c r="DG21" s="2351"/>
      <c r="DH21" s="613"/>
      <c r="DI21" s="612"/>
      <c r="DJ21" s="613"/>
      <c r="DK21" s="612"/>
      <c r="DL21" s="2345"/>
      <c r="DM21" s="2346"/>
      <c r="DN21" s="2349"/>
      <c r="DO21" s="2350"/>
      <c r="DP21" s="2351"/>
    </row>
    <row r="22" spans="1:120" s="343" customFormat="1" ht="14.25" customHeight="1">
      <c r="A22" s="2439"/>
      <c r="B22" s="485"/>
      <c r="C22" s="485"/>
      <c r="D22" s="485"/>
      <c r="E22" s="484"/>
      <c r="F22" s="486"/>
      <c r="G22" s="2486"/>
      <c r="H22" s="2345"/>
      <c r="I22" s="2346"/>
      <c r="J22" s="2345"/>
      <c r="K22" s="2346"/>
      <c r="L22" s="2345"/>
      <c r="M22" s="2346"/>
      <c r="N22" s="484"/>
      <c r="O22" s="485"/>
      <c r="P22" s="2349"/>
      <c r="Q22" s="2351"/>
      <c r="R22" s="2417" t="s">
        <v>544</v>
      </c>
      <c r="S22" s="2418"/>
      <c r="T22" s="852">
        <v>7</v>
      </c>
      <c r="U22" s="883"/>
      <c r="W22" s="346"/>
      <c r="Y22" s="346"/>
      <c r="Z22" s="2453"/>
      <c r="AA22" s="2398"/>
      <c r="AB22" s="2375"/>
      <c r="AC22" s="2431"/>
      <c r="AD22" s="2385"/>
      <c r="AE22" s="2345"/>
      <c r="AF22" s="945"/>
      <c r="AG22" s="345"/>
      <c r="AH22" s="346"/>
      <c r="AI22" s="2371" t="s">
        <v>545</v>
      </c>
      <c r="AJ22" s="2372"/>
      <c r="AK22" s="2377">
        <v>7</v>
      </c>
      <c r="AM22" s="2406" t="s">
        <v>546</v>
      </c>
      <c r="AN22" s="2386">
        <v>9</v>
      </c>
      <c r="AO22" s="976"/>
      <c r="AP22" s="2467"/>
      <c r="AQ22" s="2468"/>
      <c r="AR22" s="2345"/>
      <c r="AS22" s="2346"/>
      <c r="AT22" s="2345"/>
      <c r="AU22" s="2346"/>
      <c r="AX22" s="2496"/>
      <c r="AY22" s="2468"/>
      <c r="AZ22" s="345"/>
      <c r="BC22" s="2349"/>
      <c r="BD22" s="2350"/>
      <c r="BE22" s="2350"/>
      <c r="BF22" s="2351"/>
      <c r="BG22" s="836" t="s">
        <v>518</v>
      </c>
      <c r="BH22" s="987">
        <v>8</v>
      </c>
      <c r="BI22" s="2469"/>
      <c r="BJ22" s="2347"/>
      <c r="BK22" s="2431"/>
      <c r="BL22" s="2489"/>
      <c r="BM22" s="2345"/>
      <c r="BN22" s="2346"/>
      <c r="BO22" s="345"/>
      <c r="BP22" s="346"/>
      <c r="BQ22" s="1964"/>
      <c r="BR22" s="2079"/>
      <c r="BS22" s="2349"/>
      <c r="BT22" s="2350"/>
      <c r="BU22" s="2351"/>
      <c r="BV22" s="2349"/>
      <c r="BW22" s="2350"/>
      <c r="BX22" s="2350"/>
      <c r="BY22" s="2351"/>
      <c r="BZ22" s="836" t="s">
        <v>518</v>
      </c>
      <c r="CA22" s="987">
        <v>8</v>
      </c>
      <c r="CB22" s="2448"/>
      <c r="CC22" s="2472"/>
      <c r="CD22" s="2431"/>
      <c r="CE22" s="2345"/>
      <c r="CF22" s="2346"/>
      <c r="CG22" s="2349"/>
      <c r="CH22" s="2350"/>
      <c r="CI22" s="2351"/>
      <c r="CJ22" s="2432"/>
      <c r="CK22" s="2433"/>
      <c r="CL22" s="345"/>
      <c r="CM22" s="346"/>
      <c r="CN22" s="345"/>
      <c r="CO22" s="346"/>
      <c r="CP22" s="370"/>
      <c r="CQ22" s="383"/>
      <c r="CR22" s="2434"/>
      <c r="CS22" s="2435"/>
      <c r="CT22" s="2349"/>
      <c r="CU22" s="2350"/>
      <c r="CV22" s="2351"/>
      <c r="CW22" s="2349"/>
      <c r="CX22" s="2350"/>
      <c r="CY22" s="2350"/>
      <c r="CZ22" s="2351"/>
      <c r="DA22" s="836" t="s">
        <v>518</v>
      </c>
      <c r="DB22" s="987">
        <v>8</v>
      </c>
      <c r="DC22" s="2500"/>
      <c r="DD22" s="2347"/>
      <c r="DE22" s="2431"/>
      <c r="DF22" s="2349"/>
      <c r="DG22" s="2351"/>
      <c r="DH22" s="345"/>
      <c r="DI22" s="346"/>
      <c r="DJ22" s="345"/>
      <c r="DK22" s="346"/>
      <c r="DL22" s="2345"/>
      <c r="DM22" s="2346"/>
      <c r="DN22" s="2349"/>
      <c r="DO22" s="2350"/>
      <c r="DP22" s="2351"/>
    </row>
    <row r="23" spans="1:120" s="343" customFormat="1" ht="14.25" customHeight="1">
      <c r="A23" s="2439"/>
      <c r="B23" s="485"/>
      <c r="C23" s="485"/>
      <c r="D23" s="485"/>
      <c r="E23" s="484"/>
      <c r="F23" s="486"/>
      <c r="G23" s="2486"/>
      <c r="H23" s="2345"/>
      <c r="I23" s="2346"/>
      <c r="J23" s="2345"/>
      <c r="K23" s="2346"/>
      <c r="L23" s="2345"/>
      <c r="M23" s="2346"/>
      <c r="N23" s="484"/>
      <c r="O23" s="611"/>
      <c r="P23" s="2349"/>
      <c r="Q23" s="2351"/>
      <c r="R23" s="2361" t="s">
        <v>547</v>
      </c>
      <c r="S23" s="2362"/>
      <c r="T23" s="850">
        <v>8</v>
      </c>
      <c r="U23" s="879"/>
      <c r="V23" s="2367" t="s">
        <v>548</v>
      </c>
      <c r="W23" s="2428" t="s">
        <v>151</v>
      </c>
      <c r="Y23" s="346"/>
      <c r="Z23" s="2367" t="s">
        <v>549</v>
      </c>
      <c r="AA23" s="2396">
        <v>4</v>
      </c>
      <c r="AB23" s="2371" t="s">
        <v>550</v>
      </c>
      <c r="AC23" s="2380">
        <v>3</v>
      </c>
      <c r="AD23" s="2383"/>
      <c r="AE23" s="2347"/>
      <c r="AF23" s="921">
        <f>+AZ4</f>
        <v>-4.2299999999999951</v>
      </c>
      <c r="AG23" s="345"/>
      <c r="AH23" s="346"/>
      <c r="AI23" s="2373"/>
      <c r="AJ23" s="2374"/>
      <c r="AK23" s="2378"/>
      <c r="AL23" s="2384"/>
      <c r="AM23" s="2406"/>
      <c r="AN23" s="2386"/>
      <c r="AO23" s="372"/>
      <c r="AR23" s="2345"/>
      <c r="AS23" s="2346"/>
      <c r="AT23" s="2345"/>
      <c r="AU23" s="2346"/>
      <c r="AX23" s="2496"/>
      <c r="AY23" s="2468"/>
      <c r="AZ23" s="345"/>
      <c r="BC23" s="2349"/>
      <c r="BD23" s="2350"/>
      <c r="BE23" s="2350"/>
      <c r="BF23" s="2351"/>
      <c r="BG23" s="917" t="s">
        <v>526</v>
      </c>
      <c r="BH23" s="987"/>
      <c r="BI23" s="981"/>
      <c r="BJ23" s="2367" t="s">
        <v>551</v>
      </c>
      <c r="BK23" s="2380">
        <f>+BK21+1</f>
        <v>5</v>
      </c>
      <c r="BL23" s="2489"/>
      <c r="BM23" s="2345"/>
      <c r="BN23" s="2346"/>
      <c r="BO23" s="345"/>
      <c r="BP23" s="346"/>
      <c r="BQ23" s="1964"/>
      <c r="BR23" s="2079"/>
      <c r="BU23" s="346"/>
      <c r="BV23" s="859"/>
      <c r="BW23" s="384"/>
      <c r="BX23" s="384"/>
      <c r="BY23" s="385"/>
      <c r="BZ23" s="917" t="s">
        <v>526</v>
      </c>
      <c r="CA23" s="992"/>
      <c r="CB23" s="1003"/>
      <c r="CC23" s="2471" t="s">
        <v>551</v>
      </c>
      <c r="CD23" s="2380">
        <f>+CD21+1</f>
        <v>5</v>
      </c>
      <c r="CE23" s="2345"/>
      <c r="CF23" s="2346"/>
      <c r="CG23" s="2349"/>
      <c r="CH23" s="2350"/>
      <c r="CI23" s="2351"/>
      <c r="CJ23" s="915"/>
      <c r="CK23" s="916"/>
      <c r="CL23" s="345"/>
      <c r="CM23" s="793"/>
      <c r="CN23" s="345"/>
      <c r="CO23" s="793"/>
      <c r="CP23" s="370"/>
      <c r="CQ23" s="383"/>
      <c r="CR23" s="2434"/>
      <c r="CS23" s="2435"/>
      <c r="CT23" s="2349"/>
      <c r="CU23" s="2350"/>
      <c r="CV23" s="2351"/>
      <c r="CW23" s="2349"/>
      <c r="CX23" s="2350"/>
      <c r="CY23" s="2350"/>
      <c r="CZ23" s="2351"/>
      <c r="DA23" s="917" t="s">
        <v>526</v>
      </c>
      <c r="DB23" s="987"/>
      <c r="DC23" s="981"/>
      <c r="DD23" s="2367" t="s">
        <v>551</v>
      </c>
      <c r="DE23" s="2380">
        <f>+DE21+1</f>
        <v>5</v>
      </c>
      <c r="DF23" s="345"/>
      <c r="DG23" s="793"/>
      <c r="DH23" s="345"/>
      <c r="DI23" s="793"/>
      <c r="DJ23" s="345"/>
      <c r="DK23" s="793"/>
      <c r="DL23" s="2345"/>
      <c r="DM23" s="2346"/>
      <c r="DN23" s="2349"/>
      <c r="DO23" s="2350"/>
      <c r="DP23" s="2351"/>
    </row>
    <row r="24" spans="1:120" s="343" customFormat="1" ht="14.25" customHeight="1">
      <c r="A24" s="2439"/>
      <c r="B24" s="485"/>
      <c r="C24" s="485"/>
      <c r="D24" s="485"/>
      <c r="E24" s="484"/>
      <c r="F24" s="486"/>
      <c r="G24" s="2486"/>
      <c r="H24" s="2345"/>
      <c r="I24" s="2346"/>
      <c r="J24" s="2345"/>
      <c r="K24" s="2346"/>
      <c r="L24" s="2345"/>
      <c r="M24" s="2346"/>
      <c r="N24" s="484"/>
      <c r="O24" s="611"/>
      <c r="P24" s="2349"/>
      <c r="Q24" s="2351"/>
      <c r="R24" s="2429" t="s">
        <v>552</v>
      </c>
      <c r="S24" s="2430"/>
      <c r="T24" s="850" t="s">
        <v>553</v>
      </c>
      <c r="U24" s="879">
        <f>+AZ4</f>
        <v>-4.2299999999999951</v>
      </c>
      <c r="V24" s="2345"/>
      <c r="W24" s="2407"/>
      <c r="Y24" s="346"/>
      <c r="Z24" s="2453"/>
      <c r="AA24" s="2398"/>
      <c r="AB24" s="2373"/>
      <c r="AC24" s="2381"/>
      <c r="AD24" s="2383"/>
      <c r="AE24" s="2367" t="s">
        <v>554</v>
      </c>
      <c r="AF24" s="2396">
        <v>2</v>
      </c>
      <c r="AG24" s="2494"/>
      <c r="AH24" s="2495"/>
      <c r="AI24" s="2375"/>
      <c r="AJ24" s="2376"/>
      <c r="AK24" s="2379"/>
      <c r="AL24" s="2384"/>
      <c r="AM24" s="2406" t="s">
        <v>555</v>
      </c>
      <c r="AN24" s="2386">
        <v>10</v>
      </c>
      <c r="AO24" s="976"/>
      <c r="AR24" s="2345"/>
      <c r="AS24" s="2346"/>
      <c r="AT24" s="2345"/>
      <c r="AU24" s="2346"/>
      <c r="AX24" s="2497"/>
      <c r="AY24" s="2498"/>
      <c r="AZ24" s="345"/>
      <c r="BC24" s="2349"/>
      <c r="BD24" s="2350"/>
      <c r="BE24" s="2350"/>
      <c r="BF24" s="2351"/>
      <c r="BG24" s="838" t="s">
        <v>531</v>
      </c>
      <c r="BH24" s="985">
        <v>9</v>
      </c>
      <c r="BI24" s="789"/>
      <c r="BJ24" s="2347"/>
      <c r="BK24" s="2382"/>
      <c r="BL24" s="2489"/>
      <c r="BM24" s="2345"/>
      <c r="BN24" s="2346"/>
      <c r="BO24" s="345"/>
      <c r="BP24" s="793"/>
      <c r="BQ24" s="1964"/>
      <c r="BR24" s="2079"/>
      <c r="BU24" s="346"/>
      <c r="BV24" s="859"/>
      <c r="BW24" s="384"/>
      <c r="BX24" s="384"/>
      <c r="BY24" s="385"/>
      <c r="BZ24" s="838" t="s">
        <v>531</v>
      </c>
      <c r="CA24" s="985">
        <v>9</v>
      </c>
      <c r="CB24" s="1002"/>
      <c r="CC24" s="2472"/>
      <c r="CD24" s="2382"/>
      <c r="CE24" s="2345"/>
      <c r="CF24" s="2346"/>
      <c r="CG24" s="2464"/>
      <c r="CH24" s="2465"/>
      <c r="CI24" s="2466"/>
      <c r="CJ24" s="915"/>
      <c r="CK24" s="916"/>
      <c r="CL24" s="900"/>
      <c r="CM24" s="901"/>
      <c r="CN24" s="900"/>
      <c r="CO24" s="901"/>
      <c r="CP24" s="370"/>
      <c r="CQ24" s="383"/>
      <c r="CR24" s="2434"/>
      <c r="CS24" s="2435"/>
      <c r="CT24" s="2349"/>
      <c r="CU24" s="2350"/>
      <c r="CV24" s="2351"/>
      <c r="CW24" s="891"/>
      <c r="CX24" s="892"/>
      <c r="CY24" s="892"/>
      <c r="CZ24" s="893"/>
      <c r="DA24" s="838" t="s">
        <v>531</v>
      </c>
      <c r="DB24" s="985">
        <v>9</v>
      </c>
      <c r="DC24" s="789"/>
      <c r="DD24" s="2347"/>
      <c r="DE24" s="2382"/>
      <c r="DF24" s="900"/>
      <c r="DG24" s="901"/>
      <c r="DH24" s="900"/>
      <c r="DI24" s="901"/>
      <c r="DJ24" s="900"/>
      <c r="DK24" s="901"/>
      <c r="DL24" s="2345"/>
      <c r="DM24" s="2346"/>
      <c r="DN24" s="2464"/>
      <c r="DO24" s="2465"/>
      <c r="DP24" s="2466"/>
    </row>
    <row r="25" spans="1:120" s="343" customFormat="1" ht="14.25" customHeight="1">
      <c r="A25" s="2439"/>
      <c r="B25" s="485"/>
      <c r="C25" s="485"/>
      <c r="D25" s="485"/>
      <c r="E25" s="484"/>
      <c r="F25" s="486"/>
      <c r="G25" s="2486"/>
      <c r="H25" s="2347"/>
      <c r="I25" s="2348"/>
      <c r="J25" s="2347"/>
      <c r="K25" s="2348"/>
      <c r="L25" s="2347"/>
      <c r="M25" s="2348"/>
      <c r="N25" s="2413"/>
      <c r="O25" s="2414"/>
      <c r="P25" s="2415"/>
      <c r="Q25" s="2416"/>
      <c r="R25" s="2419" t="s">
        <v>556</v>
      </c>
      <c r="S25" s="2420"/>
      <c r="T25" s="2425">
        <v>10</v>
      </c>
      <c r="U25" s="581"/>
      <c r="V25" s="2347"/>
      <c r="W25" s="899">
        <f>AZ4</f>
        <v>-4.2299999999999951</v>
      </c>
      <c r="X25" s="816" t="s">
        <v>104</v>
      </c>
      <c r="Y25" s="896" t="s">
        <v>151</v>
      </c>
      <c r="Z25" s="2367" t="s">
        <v>557</v>
      </c>
      <c r="AA25" s="2396" t="s">
        <v>558</v>
      </c>
      <c r="AB25" s="2375"/>
      <c r="AC25" s="2382"/>
      <c r="AD25" s="2383"/>
      <c r="AE25" s="2345"/>
      <c r="AF25" s="2454"/>
      <c r="AG25" s="371"/>
      <c r="AH25" s="849"/>
      <c r="AI25" s="2371" t="s">
        <v>559</v>
      </c>
      <c r="AJ25" s="2372"/>
      <c r="AK25" s="2377">
        <v>8</v>
      </c>
      <c r="AL25" s="2384"/>
      <c r="AM25" s="2406"/>
      <c r="AN25" s="2386"/>
      <c r="AO25" s="372"/>
      <c r="AR25" s="2347"/>
      <c r="AS25" s="2348"/>
      <c r="AT25" s="2345"/>
      <c r="AU25" s="2346"/>
      <c r="AX25" s="829" t="s">
        <v>104</v>
      </c>
      <c r="AY25" s="830" t="s">
        <v>151</v>
      </c>
      <c r="AZ25" s="345"/>
      <c r="BB25" s="793"/>
      <c r="BC25" s="2349"/>
      <c r="BD25" s="2350"/>
      <c r="BE25" s="2350"/>
      <c r="BF25" s="2351"/>
      <c r="BG25" s="838" t="s">
        <v>560</v>
      </c>
      <c r="BH25" s="986">
        <v>10</v>
      </c>
      <c r="BI25" s="789"/>
      <c r="BJ25" s="902" t="s">
        <v>561</v>
      </c>
      <c r="BK25" s="831">
        <v>6</v>
      </c>
      <c r="BL25" s="2489"/>
      <c r="BM25" s="2347"/>
      <c r="BN25" s="2348"/>
      <c r="BO25" s="345"/>
      <c r="BP25" s="793"/>
      <c r="BQ25" s="345"/>
      <c r="BR25" s="346"/>
      <c r="BS25" s="345"/>
      <c r="BU25" s="793"/>
      <c r="BV25" s="859"/>
      <c r="BW25" s="384"/>
      <c r="BX25" s="384"/>
      <c r="BY25" s="385"/>
      <c r="BZ25" s="838" t="s">
        <v>560</v>
      </c>
      <c r="CA25" s="986">
        <v>10</v>
      </c>
      <c r="CB25" s="1002"/>
      <c r="CC25" s="903" t="s">
        <v>561</v>
      </c>
      <c r="CD25" s="831">
        <v>6</v>
      </c>
      <c r="CE25" s="2347"/>
      <c r="CF25" s="2348"/>
      <c r="CG25" s="345"/>
      <c r="CI25" s="793"/>
      <c r="CJ25" s="915"/>
      <c r="CK25" s="916"/>
      <c r="CL25" s="345"/>
      <c r="CM25" s="793"/>
      <c r="CN25" s="345"/>
      <c r="CO25" s="793"/>
      <c r="CP25" s="1580"/>
      <c r="CQ25" s="1581"/>
      <c r="CR25" s="2436"/>
      <c r="CS25" s="2437"/>
      <c r="CT25" s="345"/>
      <c r="CV25" s="793"/>
      <c r="CW25" s="345"/>
      <c r="CZ25" s="793"/>
      <c r="DA25" s="838" t="s">
        <v>560</v>
      </c>
      <c r="DB25" s="986">
        <v>10</v>
      </c>
      <c r="DC25" s="789"/>
      <c r="DD25" s="903" t="s">
        <v>561</v>
      </c>
      <c r="DE25" s="831">
        <v>6</v>
      </c>
      <c r="DF25" s="345"/>
      <c r="DG25" s="793"/>
      <c r="DH25" s="345"/>
      <c r="DI25" s="793"/>
      <c r="DJ25" s="345"/>
      <c r="DK25" s="793"/>
      <c r="DL25" s="2347"/>
      <c r="DM25" s="2348"/>
      <c r="DN25" s="345"/>
      <c r="DP25" s="793"/>
    </row>
    <row r="26" spans="1:120" s="343" customFormat="1" ht="14.25" customHeight="1">
      <c r="A26" s="2439"/>
      <c r="B26" s="812" t="s">
        <v>104</v>
      </c>
      <c r="C26" s="812">
        <v>1</v>
      </c>
      <c r="D26" s="813"/>
      <c r="E26" s="815" t="s">
        <v>104</v>
      </c>
      <c r="F26" s="814" t="s">
        <v>151</v>
      </c>
      <c r="G26" s="487"/>
      <c r="H26" s="816" t="s">
        <v>104</v>
      </c>
      <c r="I26" s="848" t="s">
        <v>151</v>
      </c>
      <c r="J26" s="816" t="s">
        <v>104</v>
      </c>
      <c r="K26" s="894">
        <v>1</v>
      </c>
      <c r="L26" s="816" t="s">
        <v>104</v>
      </c>
      <c r="M26" s="894">
        <v>1</v>
      </c>
      <c r="N26" s="815" t="s">
        <v>104</v>
      </c>
      <c r="O26" s="814" t="s">
        <v>151</v>
      </c>
      <c r="P26" s="816" t="s">
        <v>104</v>
      </c>
      <c r="Q26" s="848">
        <v>1</v>
      </c>
      <c r="R26" s="2421"/>
      <c r="S26" s="2422"/>
      <c r="T26" s="2426"/>
      <c r="U26" s="581"/>
      <c r="V26" s="2345" t="s">
        <v>562</v>
      </c>
      <c r="W26" s="2407">
        <v>2</v>
      </c>
      <c r="X26" s="515"/>
      <c r="Y26" s="973">
        <f>AZ4</f>
        <v>-4.2299999999999951</v>
      </c>
      <c r="Z26" s="2337"/>
      <c r="AA26" s="2397"/>
      <c r="AB26" s="2371" t="s">
        <v>563</v>
      </c>
      <c r="AC26" s="2364">
        <v>4</v>
      </c>
      <c r="AD26" s="2369"/>
      <c r="AE26" s="2345"/>
      <c r="AF26" s="2454"/>
      <c r="AG26" s="820" t="s">
        <v>104</v>
      </c>
      <c r="AH26" s="828">
        <v>1</v>
      </c>
      <c r="AI26" s="2373"/>
      <c r="AJ26" s="2374"/>
      <c r="AK26" s="2378"/>
      <c r="AL26" s="2384"/>
      <c r="AM26" s="2406" t="s">
        <v>564</v>
      </c>
      <c r="AN26" s="2386">
        <v>11</v>
      </c>
      <c r="AO26" s="976"/>
      <c r="AP26" s="850" t="s">
        <v>104</v>
      </c>
      <c r="AQ26" s="828">
        <v>1</v>
      </c>
      <c r="AR26" s="816" t="s">
        <v>104</v>
      </c>
      <c r="AS26" s="848" t="s">
        <v>151</v>
      </c>
      <c r="AT26" s="820" t="s">
        <v>104</v>
      </c>
      <c r="AU26" s="828">
        <v>1</v>
      </c>
      <c r="AV26" s="820" t="s">
        <v>104</v>
      </c>
      <c r="AW26" s="831">
        <v>1</v>
      </c>
      <c r="AX26" s="515"/>
      <c r="AY26" s="899">
        <f>BQ4</f>
        <v>-4.2999999999999936</v>
      </c>
      <c r="AZ26" s="345"/>
      <c r="BB26" s="346"/>
      <c r="BC26" s="2415"/>
      <c r="BD26" s="2473"/>
      <c r="BE26" s="2473"/>
      <c r="BF26" s="2416"/>
      <c r="BG26" s="840" t="s">
        <v>537</v>
      </c>
      <c r="BH26" s="986">
        <v>11</v>
      </c>
      <c r="BI26" s="2451"/>
      <c r="BJ26" s="902" t="s">
        <v>565</v>
      </c>
      <c r="BK26" s="831">
        <v>7</v>
      </c>
      <c r="BL26" s="2489"/>
      <c r="BM26" s="816" t="s">
        <v>104</v>
      </c>
      <c r="BN26" s="896">
        <v>1</v>
      </c>
      <c r="BO26" s="2441"/>
      <c r="BP26" s="2442"/>
      <c r="BQ26" s="995" t="s">
        <v>566</v>
      </c>
      <c r="BR26" s="998" t="s">
        <v>151</v>
      </c>
      <c r="BS26" s="345"/>
      <c r="BU26" s="346"/>
      <c r="BV26" s="345"/>
      <c r="BY26" s="346"/>
      <c r="BZ26" s="840" t="s">
        <v>537</v>
      </c>
      <c r="CA26" s="986">
        <v>11</v>
      </c>
      <c r="CB26" s="2339"/>
      <c r="CC26" s="903" t="s">
        <v>565</v>
      </c>
      <c r="CD26" s="831">
        <v>7</v>
      </c>
      <c r="CE26" s="816" t="s">
        <v>104</v>
      </c>
      <c r="CF26" s="896">
        <v>1</v>
      </c>
      <c r="CG26" s="2342" t="s">
        <v>567</v>
      </c>
      <c r="CH26" s="2343"/>
      <c r="CI26" s="2340" t="s">
        <v>568</v>
      </c>
      <c r="CJ26" s="345"/>
      <c r="CK26" s="346"/>
      <c r="CL26" s="345"/>
      <c r="CM26" s="346"/>
      <c r="CN26" s="345"/>
      <c r="CO26" s="346"/>
      <c r="CP26" s="816" t="s">
        <v>104</v>
      </c>
      <c r="CQ26" s="896">
        <v>1</v>
      </c>
      <c r="CR26" s="995" t="s">
        <v>566</v>
      </c>
      <c r="CS26" s="896" t="s">
        <v>151</v>
      </c>
      <c r="CT26" s="345"/>
      <c r="CV26" s="346"/>
      <c r="CW26" s="345"/>
      <c r="CZ26" s="346"/>
      <c r="DA26" s="840" t="s">
        <v>537</v>
      </c>
      <c r="DB26" s="986">
        <v>11</v>
      </c>
      <c r="DC26" s="2451"/>
      <c r="DD26" s="903" t="s">
        <v>565</v>
      </c>
      <c r="DE26" s="831">
        <v>7</v>
      </c>
      <c r="DF26" s="345"/>
      <c r="DG26" s="346"/>
      <c r="DH26" s="345"/>
      <c r="DI26" s="346"/>
      <c r="DJ26" s="345"/>
      <c r="DK26" s="346"/>
      <c r="DL26" s="816" t="s">
        <v>104</v>
      </c>
      <c r="DM26" s="896">
        <v>1</v>
      </c>
      <c r="DN26" s="2342" t="s">
        <v>567</v>
      </c>
      <c r="DO26" s="2343"/>
      <c r="DP26" s="2340" t="s">
        <v>568</v>
      </c>
    </row>
    <row r="27" spans="1:120" s="343" customFormat="1" ht="14.25" customHeight="1">
      <c r="A27" s="2439"/>
      <c r="B27" s="814" t="s">
        <v>108</v>
      </c>
      <c r="C27" s="814">
        <v>2</v>
      </c>
      <c r="D27" s="969" t="s">
        <v>91</v>
      </c>
      <c r="E27" s="488"/>
      <c r="F27" s="970">
        <f>H4</f>
        <v>-4.0399999999999991</v>
      </c>
      <c r="G27" s="487"/>
      <c r="H27" s="817"/>
      <c r="I27" s="899">
        <f>+AZ4</f>
        <v>-4.2299999999999951</v>
      </c>
      <c r="J27" s="819"/>
      <c r="K27" s="818"/>
      <c r="L27" s="817"/>
      <c r="M27" s="817"/>
      <c r="N27" s="488"/>
      <c r="O27" s="970">
        <f>+Z4</f>
        <v>-4.1199999999999974</v>
      </c>
      <c r="P27" s="816" t="s">
        <v>108</v>
      </c>
      <c r="Q27" s="848" t="s">
        <v>282</v>
      </c>
      <c r="R27" s="2423"/>
      <c r="S27" s="2424"/>
      <c r="T27" s="2427"/>
      <c r="U27" s="801"/>
      <c r="V27" s="2345"/>
      <c r="W27" s="2407"/>
      <c r="X27" s="816" t="s">
        <v>108</v>
      </c>
      <c r="Y27" s="896" t="s">
        <v>282</v>
      </c>
      <c r="Z27" s="2337"/>
      <c r="AA27" s="2397"/>
      <c r="AB27" s="2373"/>
      <c r="AC27" s="2452"/>
      <c r="AD27" s="2369"/>
      <c r="AE27" s="2347"/>
      <c r="AF27" s="2455"/>
      <c r="AG27" s="825" t="s">
        <v>108</v>
      </c>
      <c r="AH27" s="832" t="s">
        <v>282</v>
      </c>
      <c r="AI27" s="2375"/>
      <c r="AJ27" s="2376"/>
      <c r="AK27" s="2379"/>
      <c r="AL27" s="605"/>
      <c r="AM27" s="2406"/>
      <c r="AN27" s="2386"/>
      <c r="AO27" s="372"/>
      <c r="AP27" s="848" t="s">
        <v>108</v>
      </c>
      <c r="AQ27" s="848" t="s">
        <v>282</v>
      </c>
      <c r="AR27" s="515"/>
      <c r="AS27" s="978">
        <f>+AV4</f>
        <v>-4.2099999999999955</v>
      </c>
      <c r="AT27" s="979"/>
      <c r="AU27" s="976"/>
      <c r="AV27" s="979"/>
      <c r="AW27" s="976"/>
      <c r="AX27" s="825" t="s">
        <v>108</v>
      </c>
      <c r="AY27" s="898" t="s">
        <v>282</v>
      </c>
      <c r="AZ27" s="2368" t="s">
        <v>569</v>
      </c>
      <c r="BA27" s="2387" t="s">
        <v>570</v>
      </c>
      <c r="BB27" s="2388"/>
      <c r="BC27" s="2368" t="s">
        <v>571</v>
      </c>
      <c r="BD27" s="2387" t="s">
        <v>572</v>
      </c>
      <c r="BE27" s="2393"/>
      <c r="BF27" s="2388"/>
      <c r="BG27" s="839" t="s">
        <v>573</v>
      </c>
      <c r="BH27" s="982">
        <v>12</v>
      </c>
      <c r="BI27" s="2451"/>
      <c r="BJ27" s="826" t="s">
        <v>574</v>
      </c>
      <c r="BK27" s="831">
        <v>8</v>
      </c>
      <c r="BL27" s="2489"/>
      <c r="BM27" s="816" t="s">
        <v>108</v>
      </c>
      <c r="BN27" s="896" t="s">
        <v>282</v>
      </c>
      <c r="BO27" s="345"/>
      <c r="BP27" s="346"/>
      <c r="BQ27" s="996"/>
      <c r="BR27" s="999">
        <f>CE4</f>
        <v>-4.3499999999999925</v>
      </c>
      <c r="BS27" s="2368" t="s">
        <v>569</v>
      </c>
      <c r="BT27" s="2387" t="s">
        <v>570</v>
      </c>
      <c r="BU27" s="2388"/>
      <c r="BV27" s="2368" t="s">
        <v>571</v>
      </c>
      <c r="BW27" s="2387" t="s">
        <v>572</v>
      </c>
      <c r="BX27" s="2393"/>
      <c r="BY27" s="2388"/>
      <c r="BZ27" s="839" t="s">
        <v>573</v>
      </c>
      <c r="CA27" s="982">
        <v>12</v>
      </c>
      <c r="CB27" s="2339"/>
      <c r="CC27" s="853" t="s">
        <v>574</v>
      </c>
      <c r="CD27" s="831">
        <v>8</v>
      </c>
      <c r="CE27" s="816" t="s">
        <v>108</v>
      </c>
      <c r="CF27" s="896" t="s">
        <v>282</v>
      </c>
      <c r="CG27" s="2340" t="s">
        <v>575</v>
      </c>
      <c r="CH27" s="2340" t="s">
        <v>466</v>
      </c>
      <c r="CI27" s="2344"/>
      <c r="CJ27" s="345"/>
      <c r="CK27" s="346"/>
      <c r="CL27" s="345"/>
      <c r="CM27" s="346"/>
      <c r="CN27" s="345"/>
      <c r="CO27" s="346"/>
      <c r="CP27" s="816" t="s">
        <v>108</v>
      </c>
      <c r="CQ27" s="896" t="s">
        <v>282</v>
      </c>
      <c r="CR27" s="996"/>
      <c r="CS27" s="999">
        <f>+DF4</f>
        <v>-4.4599999999999902</v>
      </c>
      <c r="CT27" s="2368" t="s">
        <v>569</v>
      </c>
      <c r="CU27" s="2387" t="s">
        <v>570</v>
      </c>
      <c r="CV27" s="2388"/>
      <c r="CW27" s="2368" t="s">
        <v>571</v>
      </c>
      <c r="CX27" s="2387" t="s">
        <v>572</v>
      </c>
      <c r="CY27" s="2393"/>
      <c r="CZ27" s="2388"/>
      <c r="DA27" s="839" t="s">
        <v>573</v>
      </c>
      <c r="DB27" s="982">
        <v>12</v>
      </c>
      <c r="DC27" s="2451"/>
      <c r="DD27" s="853" t="s">
        <v>574</v>
      </c>
      <c r="DE27" s="831">
        <v>8</v>
      </c>
      <c r="DF27" s="345"/>
      <c r="DG27" s="346"/>
      <c r="DH27" s="345"/>
      <c r="DI27" s="346"/>
      <c r="DJ27" s="345"/>
      <c r="DK27" s="346"/>
      <c r="DL27" s="816" t="s">
        <v>108</v>
      </c>
      <c r="DM27" s="896" t="s">
        <v>282</v>
      </c>
      <c r="DN27" s="2340" t="s">
        <v>575</v>
      </c>
      <c r="DO27" s="2340" t="s">
        <v>466</v>
      </c>
      <c r="DP27" s="2344"/>
    </row>
    <row r="28" spans="1:120" s="343" customFormat="1" ht="14.25" customHeight="1">
      <c r="A28" s="2439"/>
      <c r="B28" s="2399" t="s">
        <v>113</v>
      </c>
      <c r="C28" s="2400"/>
      <c r="D28" s="2401"/>
      <c r="E28" s="815" t="s">
        <v>108</v>
      </c>
      <c r="F28" s="814">
        <v>2</v>
      </c>
      <c r="G28" s="2402" t="s">
        <v>185</v>
      </c>
      <c r="H28" s="820" t="s">
        <v>108</v>
      </c>
      <c r="I28" s="831">
        <v>2</v>
      </c>
      <c r="J28" s="820" t="s">
        <v>108</v>
      </c>
      <c r="K28" s="831">
        <v>2</v>
      </c>
      <c r="L28" s="820" t="s">
        <v>108</v>
      </c>
      <c r="M28" s="831">
        <v>2</v>
      </c>
      <c r="N28" s="821" t="s">
        <v>108</v>
      </c>
      <c r="O28" s="971">
        <v>2</v>
      </c>
      <c r="P28" s="515"/>
      <c r="Q28" s="972">
        <f>AG4</f>
        <v>-4.1499999999999968</v>
      </c>
      <c r="R28" s="2361" t="s">
        <v>576</v>
      </c>
      <c r="S28" s="2362"/>
      <c r="T28" s="850">
        <v>11</v>
      </c>
      <c r="U28" s="787"/>
      <c r="V28" s="2347"/>
      <c r="W28" s="2408"/>
      <c r="X28" s="371"/>
      <c r="Y28" s="899">
        <f>+AG4</f>
        <v>-4.1499999999999968</v>
      </c>
      <c r="Z28" s="2404">
        <f>+AZ4</f>
        <v>-4.2299999999999951</v>
      </c>
      <c r="AA28" s="2405"/>
      <c r="AB28" s="2375"/>
      <c r="AC28" s="2431"/>
      <c r="AD28" s="2409"/>
      <c r="AE28" s="816" t="s">
        <v>416</v>
      </c>
      <c r="AF28" s="896">
        <v>3</v>
      </c>
      <c r="AG28" s="515"/>
      <c r="AH28" s="899">
        <f>AM4</f>
        <v>-4.1699999999999964</v>
      </c>
      <c r="AI28" s="2491" t="s">
        <v>112</v>
      </c>
      <c r="AJ28" s="2386"/>
      <c r="AK28" s="985">
        <v>9</v>
      </c>
      <c r="AL28" s="802"/>
      <c r="AM28" s="954" t="s">
        <v>112</v>
      </c>
      <c r="AN28" s="920">
        <v>12</v>
      </c>
      <c r="AO28" s="372"/>
      <c r="AP28" s="920"/>
      <c r="AQ28" s="899">
        <f>+AV4</f>
        <v>-4.2099999999999955</v>
      </c>
      <c r="AR28" s="820" t="s">
        <v>108</v>
      </c>
      <c r="AS28" s="850">
        <v>2</v>
      </c>
      <c r="AT28" s="827" t="s">
        <v>108</v>
      </c>
      <c r="AU28" s="897">
        <v>2</v>
      </c>
      <c r="AV28" s="827" t="s">
        <v>108</v>
      </c>
      <c r="AW28" s="895">
        <v>2</v>
      </c>
      <c r="AX28" s="2404" t="s">
        <v>113</v>
      </c>
      <c r="AY28" s="2405"/>
      <c r="AZ28" s="2369"/>
      <c r="BA28" s="2389"/>
      <c r="BB28" s="2390"/>
      <c r="BC28" s="2369"/>
      <c r="BD28" s="2389"/>
      <c r="BE28" s="2394"/>
      <c r="BF28" s="2390"/>
      <c r="BG28" s="841" t="s">
        <v>112</v>
      </c>
      <c r="BH28" s="986">
        <v>13</v>
      </c>
      <c r="BI28" s="988"/>
      <c r="BJ28" s="826" t="s">
        <v>112</v>
      </c>
      <c r="BK28" s="831">
        <v>9</v>
      </c>
      <c r="BL28" s="2490"/>
      <c r="BM28" s="515"/>
      <c r="BN28" s="899">
        <f>+BQ4</f>
        <v>-4.2999999999999936</v>
      </c>
      <c r="BO28" s="371"/>
      <c r="BP28" s="372"/>
      <c r="BQ28" s="997" t="s">
        <v>577</v>
      </c>
      <c r="BR28" s="828">
        <v>2</v>
      </c>
      <c r="BS28" s="2369"/>
      <c r="BT28" s="2389"/>
      <c r="BU28" s="2390"/>
      <c r="BV28" s="2369"/>
      <c r="BW28" s="2389"/>
      <c r="BX28" s="2394"/>
      <c r="BY28" s="2390"/>
      <c r="BZ28" s="841" t="s">
        <v>112</v>
      </c>
      <c r="CA28" s="986">
        <v>13</v>
      </c>
      <c r="CB28" s="988"/>
      <c r="CC28" s="853" t="s">
        <v>112</v>
      </c>
      <c r="CD28" s="831">
        <v>9</v>
      </c>
      <c r="CE28" s="515"/>
      <c r="CF28" s="899">
        <f>+CJ4</f>
        <v>-4.3699999999999921</v>
      </c>
      <c r="CG28" s="2341"/>
      <c r="CH28" s="2341"/>
      <c r="CI28" s="2341"/>
      <c r="CJ28" s="2363" t="s">
        <v>578</v>
      </c>
      <c r="CK28" s="2364"/>
      <c r="CL28" s="2363" t="s">
        <v>579</v>
      </c>
      <c r="CM28" s="2364"/>
      <c r="CN28" s="2363" t="s">
        <v>580</v>
      </c>
      <c r="CO28" s="2364"/>
      <c r="CP28" s="515"/>
      <c r="CQ28" s="376" t="s">
        <v>113</v>
      </c>
      <c r="CR28" s="997" t="s">
        <v>577</v>
      </c>
      <c r="CS28" s="828">
        <v>2</v>
      </c>
      <c r="CT28" s="2369"/>
      <c r="CU28" s="2389"/>
      <c r="CV28" s="2390"/>
      <c r="CW28" s="2369"/>
      <c r="CX28" s="2389"/>
      <c r="CY28" s="2394"/>
      <c r="CZ28" s="2390"/>
      <c r="DA28" s="841" t="s">
        <v>112</v>
      </c>
      <c r="DB28" s="986">
        <v>13</v>
      </c>
      <c r="DC28" s="988"/>
      <c r="DD28" s="853" t="s">
        <v>112</v>
      </c>
      <c r="DE28" s="831">
        <v>9</v>
      </c>
      <c r="DF28" s="2363" t="s">
        <v>578</v>
      </c>
      <c r="DG28" s="2364"/>
      <c r="DH28" s="2363" t="s">
        <v>579</v>
      </c>
      <c r="DI28" s="2364"/>
      <c r="DJ28" s="2363" t="s">
        <v>580</v>
      </c>
      <c r="DK28" s="2364"/>
      <c r="DL28" s="515"/>
      <c r="DM28" s="376" t="s">
        <v>113</v>
      </c>
      <c r="DN28" s="2341"/>
      <c r="DO28" s="2341"/>
      <c r="DP28" s="2341"/>
    </row>
    <row r="29" spans="1:120" s="343" customFormat="1" ht="14.25" customHeight="1">
      <c r="A29" s="2440"/>
      <c r="B29" s="489"/>
      <c r="C29" s="489"/>
      <c r="D29" s="490"/>
      <c r="E29" s="491"/>
      <c r="F29" s="492"/>
      <c r="G29" s="2403"/>
      <c r="H29" s="362"/>
      <c r="I29" s="363"/>
      <c r="J29" s="362"/>
      <c r="K29" s="363"/>
      <c r="L29" s="362"/>
      <c r="M29" s="363"/>
      <c r="N29" s="610"/>
      <c r="O29" s="609"/>
      <c r="P29" s="362"/>
      <c r="Q29" s="363"/>
      <c r="R29" s="364"/>
      <c r="S29" s="364"/>
      <c r="T29" s="364"/>
      <c r="U29" s="364"/>
      <c r="V29" s="362"/>
      <c r="W29" s="365"/>
      <c r="X29" s="362"/>
      <c r="Y29" s="365"/>
      <c r="Z29" s="368"/>
      <c r="AA29" s="369"/>
      <c r="AB29" s="368"/>
      <c r="AC29" s="369"/>
      <c r="AD29" s="369"/>
      <c r="AE29" s="804"/>
      <c r="AF29" s="805"/>
      <c r="AG29" s="362"/>
      <c r="AH29" s="365"/>
      <c r="AI29" s="2410"/>
      <c r="AJ29" s="2411"/>
      <c r="AK29" s="2411"/>
      <c r="AL29" s="2412"/>
      <c r="AM29" s="2410"/>
      <c r="AN29" s="2411"/>
      <c r="AO29" s="2412"/>
      <c r="AP29" s="364"/>
      <c r="AQ29" s="365"/>
      <c r="AR29" s="362"/>
      <c r="AS29" s="365"/>
      <c r="AT29" s="362"/>
      <c r="AU29" s="365"/>
      <c r="AV29" s="366"/>
      <c r="AW29" s="367"/>
      <c r="AX29" s="362"/>
      <c r="AY29" s="365"/>
      <c r="AZ29" s="2370"/>
      <c r="BA29" s="2391"/>
      <c r="BB29" s="2392"/>
      <c r="BC29" s="2370"/>
      <c r="BD29" s="2391"/>
      <c r="BE29" s="2395"/>
      <c r="BF29" s="2392"/>
      <c r="BG29" s="808"/>
      <c r="BH29" s="808"/>
      <c r="BI29" s="363"/>
      <c r="BJ29" s="368"/>
      <c r="BK29" s="845"/>
      <c r="BL29" s="846" t="s">
        <v>30</v>
      </c>
      <c r="BM29" s="362"/>
      <c r="BN29" s="365"/>
      <c r="BO29" s="2443" t="s">
        <v>30</v>
      </c>
      <c r="BP29" s="2444"/>
      <c r="BQ29" s="860"/>
      <c r="BR29" s="365"/>
      <c r="BS29" s="2370"/>
      <c r="BT29" s="2391"/>
      <c r="BU29" s="2392"/>
      <c r="BV29" s="2370"/>
      <c r="BW29" s="2391"/>
      <c r="BX29" s="2395"/>
      <c r="BY29" s="2392"/>
      <c r="BZ29" s="361"/>
      <c r="CA29" s="808"/>
      <c r="CB29" s="363"/>
      <c r="CC29" s="369"/>
      <c r="CD29" s="845"/>
      <c r="CE29" s="362"/>
      <c r="CF29" s="365"/>
      <c r="CG29" s="752" t="s">
        <v>293</v>
      </c>
      <c r="CH29" s="752" t="s">
        <v>293</v>
      </c>
      <c r="CI29" s="752" t="s">
        <v>293</v>
      </c>
      <c r="CJ29" s="2365"/>
      <c r="CK29" s="2366"/>
      <c r="CL29" s="2365"/>
      <c r="CM29" s="2366"/>
      <c r="CN29" s="2365"/>
      <c r="CO29" s="2366"/>
      <c r="CP29" s="362"/>
      <c r="CQ29" s="365"/>
      <c r="CR29" s="362"/>
      <c r="CS29" s="365"/>
      <c r="CT29" s="2370"/>
      <c r="CU29" s="2391"/>
      <c r="CV29" s="2392"/>
      <c r="CW29" s="2370"/>
      <c r="CX29" s="2391"/>
      <c r="CY29" s="2395"/>
      <c r="CZ29" s="2392"/>
      <c r="DA29" s="361"/>
      <c r="DB29" s="808"/>
      <c r="DC29" s="363"/>
      <c r="DD29" s="369"/>
      <c r="DE29" s="845"/>
      <c r="DF29" s="2365"/>
      <c r="DG29" s="2366"/>
      <c r="DH29" s="2365"/>
      <c r="DI29" s="2366"/>
      <c r="DJ29" s="2365"/>
      <c r="DK29" s="2366"/>
      <c r="DL29" s="362"/>
      <c r="DM29" s="365"/>
      <c r="DN29" s="752" t="s">
        <v>293</v>
      </c>
      <c r="DO29" s="752" t="s">
        <v>293</v>
      </c>
      <c r="DP29" s="752" t="s">
        <v>293</v>
      </c>
    </row>
    <row r="30" spans="1:120" ht="17.45" customHeight="1">
      <c r="A30" s="483">
        <v>1</v>
      </c>
      <c r="B30" s="493"/>
      <c r="C30" s="494"/>
      <c r="D30" s="495"/>
      <c r="E30" s="496"/>
      <c r="F30" s="495"/>
      <c r="G30" s="497"/>
      <c r="H30" s="355"/>
      <c r="I30" s="359"/>
      <c r="J30" s="355"/>
      <c r="K30" s="359"/>
      <c r="L30" s="355"/>
      <c r="M30" s="359"/>
      <c r="N30" s="496"/>
      <c r="O30" s="608"/>
      <c r="P30" s="355"/>
      <c r="Q30" s="359"/>
      <c r="R30" s="343"/>
      <c r="S30" s="360"/>
      <c r="T30" s="360"/>
      <c r="U30" s="359"/>
      <c r="V30" s="355"/>
      <c r="W30" s="359"/>
      <c r="X30" s="355"/>
      <c r="Y30" s="359"/>
      <c r="Z30" s="355"/>
      <c r="AA30" s="360"/>
      <c r="AB30" s="355"/>
      <c r="AC30" s="360"/>
      <c r="AD30" s="360"/>
      <c r="AE30" s="355"/>
      <c r="AF30" s="359"/>
      <c r="AG30" s="355"/>
      <c r="AH30" s="359"/>
      <c r="AI30" s="355"/>
      <c r="AJ30" s="360"/>
      <c r="AK30" s="373"/>
      <c r="AL30" s="359"/>
      <c r="AM30" s="355"/>
      <c r="AN30" s="360"/>
      <c r="AO30" s="359"/>
      <c r="AP30" s="360"/>
      <c r="AQ30" s="359"/>
      <c r="AR30" s="355"/>
      <c r="AS30" s="359"/>
      <c r="AT30" s="355"/>
      <c r="AU30" s="359"/>
      <c r="AV30" s="355"/>
      <c r="AW30" s="359"/>
      <c r="AX30" s="355"/>
      <c r="AY30" s="359"/>
      <c r="AZ30" s="355"/>
      <c r="BA30" s="922"/>
      <c r="BB30" s="923"/>
      <c r="BC30" s="355"/>
      <c r="BD30" s="922"/>
      <c r="BE30" s="928"/>
      <c r="BF30" s="923"/>
      <c r="BG30" s="360"/>
      <c r="BH30" s="360"/>
      <c r="BI30" s="373"/>
      <c r="BJ30" s="355"/>
      <c r="BK30" s="359"/>
      <c r="BL30" s="356"/>
      <c r="BM30" s="355"/>
      <c r="BN30" s="359"/>
      <c r="BO30" s="355"/>
      <c r="BP30" s="359"/>
      <c r="BQ30" s="861"/>
      <c r="BR30" s="359"/>
      <c r="BS30" s="355"/>
      <c r="BT30" s="922"/>
      <c r="BU30" s="923"/>
      <c r="BV30" s="355"/>
      <c r="BW30" s="922"/>
      <c r="BX30" s="928"/>
      <c r="BY30" s="923"/>
      <c r="BZ30" s="355"/>
      <c r="CA30" s="360"/>
      <c r="CB30" s="844"/>
      <c r="CC30" s="360"/>
      <c r="CD30" s="359"/>
      <c r="CE30" s="355"/>
      <c r="CF30" s="359"/>
      <c r="CG30" s="355"/>
      <c r="CH30" s="356"/>
      <c r="CI30" s="359"/>
      <c r="CJ30" s="355"/>
      <c r="CK30" s="359"/>
      <c r="CL30" s="355"/>
      <c r="CM30" s="359"/>
      <c r="CN30" s="355"/>
      <c r="CO30" s="359"/>
      <c r="CP30" s="355"/>
      <c r="CQ30" s="359"/>
      <c r="CR30" s="360"/>
      <c r="CS30" s="359"/>
      <c r="CT30" s="355"/>
      <c r="CU30" s="922"/>
      <c r="CV30" s="923"/>
      <c r="CW30" s="355"/>
      <c r="CX30" s="922"/>
      <c r="CY30" s="928"/>
      <c r="CZ30" s="923"/>
      <c r="DA30" s="355"/>
      <c r="DB30" s="360"/>
      <c r="DC30" s="844"/>
      <c r="DD30" s="360"/>
      <c r="DE30" s="359"/>
      <c r="DF30" s="355"/>
      <c r="DG30" s="359"/>
      <c r="DH30" s="355"/>
      <c r="DI30" s="359"/>
      <c r="DJ30" s="355"/>
      <c r="DK30" s="359"/>
      <c r="DL30" s="355"/>
      <c r="DM30" s="359"/>
      <c r="DN30" s="355"/>
      <c r="DO30" s="356"/>
      <c r="DP30" s="359"/>
    </row>
    <row r="31" spans="1:120" ht="17.45" customHeight="1">
      <c r="A31" s="480">
        <v>2</v>
      </c>
      <c r="B31" s="498"/>
      <c r="C31" s="499"/>
      <c r="D31" s="500"/>
      <c r="E31" s="501"/>
      <c r="F31" s="500"/>
      <c r="G31" s="502"/>
      <c r="H31" s="348"/>
      <c r="I31" s="347"/>
      <c r="J31" s="348"/>
      <c r="K31" s="347"/>
      <c r="L31" s="348"/>
      <c r="M31" s="347"/>
      <c r="N31" s="501"/>
      <c r="O31" s="606"/>
      <c r="P31" s="348"/>
      <c r="Q31" s="347"/>
      <c r="R31" s="348"/>
      <c r="S31" s="350"/>
      <c r="T31" s="350"/>
      <c r="U31" s="347"/>
      <c r="V31" s="348"/>
      <c r="W31" s="347"/>
      <c r="X31" s="348"/>
      <c r="Y31" s="347"/>
      <c r="Z31" s="348"/>
      <c r="AA31" s="350"/>
      <c r="AB31" s="348"/>
      <c r="AC31" s="350"/>
      <c r="AD31" s="350"/>
      <c r="AE31" s="348"/>
      <c r="AF31" s="347"/>
      <c r="AG31" s="348"/>
      <c r="AH31" s="347"/>
      <c r="AI31" s="348"/>
      <c r="AJ31" s="350"/>
      <c r="AK31" s="374"/>
      <c r="AL31" s="347"/>
      <c r="AM31" s="348"/>
      <c r="AN31" s="350"/>
      <c r="AO31" s="347"/>
      <c r="AP31" s="350"/>
      <c r="AQ31" s="347"/>
      <c r="AR31" s="348"/>
      <c r="AS31" s="347"/>
      <c r="AT31" s="348"/>
      <c r="AU31" s="347"/>
      <c r="AV31" s="348"/>
      <c r="AW31" s="347"/>
      <c r="AX31" s="348"/>
      <c r="AY31" s="347"/>
      <c r="AZ31" s="348"/>
      <c r="BA31" s="922"/>
      <c r="BB31" s="923"/>
      <c r="BC31" s="348"/>
      <c r="BD31" s="922"/>
      <c r="BE31" s="928"/>
      <c r="BF31" s="923"/>
      <c r="BG31" s="350"/>
      <c r="BH31" s="350"/>
      <c r="BI31" s="374"/>
      <c r="BJ31" s="348"/>
      <c r="BK31" s="347"/>
      <c r="BL31" s="349"/>
      <c r="BM31" s="348"/>
      <c r="BN31" s="347"/>
      <c r="BO31" s="348"/>
      <c r="BP31" s="347"/>
      <c r="BQ31" s="862"/>
      <c r="BR31" s="347"/>
      <c r="BS31" s="348"/>
      <c r="BT31" s="922"/>
      <c r="BU31" s="923"/>
      <c r="BV31" s="348"/>
      <c r="BW31" s="922"/>
      <c r="BX31" s="928"/>
      <c r="BY31" s="923"/>
      <c r="BZ31" s="348"/>
      <c r="CA31" s="350"/>
      <c r="CB31" s="790"/>
      <c r="CC31" s="350"/>
      <c r="CD31" s="347"/>
      <c r="CE31" s="348"/>
      <c r="CF31" s="347"/>
      <c r="CG31" s="348"/>
      <c r="CH31" s="349"/>
      <c r="CI31" s="347"/>
      <c r="CJ31" s="348"/>
      <c r="CK31" s="347"/>
      <c r="CL31" s="348"/>
      <c r="CM31" s="347"/>
      <c r="CN31" s="348"/>
      <c r="CO31" s="347"/>
      <c r="CP31" s="348"/>
      <c r="CQ31" s="347"/>
      <c r="CR31" s="350"/>
      <c r="CS31" s="347"/>
      <c r="CT31" s="348"/>
      <c r="CU31" s="922"/>
      <c r="CV31" s="923"/>
      <c r="CW31" s="348"/>
      <c r="CX31" s="922"/>
      <c r="CY31" s="928"/>
      <c r="CZ31" s="923"/>
      <c r="DA31" s="348"/>
      <c r="DB31" s="350"/>
      <c r="DC31" s="790"/>
      <c r="DD31" s="350"/>
      <c r="DE31" s="347"/>
      <c r="DF31" s="348"/>
      <c r="DG31" s="347"/>
      <c r="DH31" s="348"/>
      <c r="DI31" s="347"/>
      <c r="DJ31" s="348"/>
      <c r="DK31" s="347"/>
      <c r="DL31" s="348"/>
      <c r="DM31" s="347"/>
      <c r="DN31" s="348"/>
      <c r="DO31" s="349"/>
      <c r="DP31" s="347"/>
    </row>
    <row r="32" spans="1:120" ht="17.45" customHeight="1" thickBot="1">
      <c r="A32" s="481">
        <v>3</v>
      </c>
      <c r="B32" s="503"/>
      <c r="C32" s="504"/>
      <c r="D32" s="505"/>
      <c r="E32" s="506"/>
      <c r="F32" s="505"/>
      <c r="G32" s="507"/>
      <c r="H32" s="352"/>
      <c r="I32" s="351"/>
      <c r="J32" s="352"/>
      <c r="K32" s="351"/>
      <c r="L32" s="352"/>
      <c r="M32" s="351"/>
      <c r="N32" s="506"/>
      <c r="O32" s="607"/>
      <c r="P32" s="352"/>
      <c r="Q32" s="351"/>
      <c r="R32" s="352"/>
      <c r="S32" s="354"/>
      <c r="T32" s="354"/>
      <c r="U32" s="351"/>
      <c r="V32" s="352"/>
      <c r="W32" s="351"/>
      <c r="X32" s="352"/>
      <c r="Y32" s="351"/>
      <c r="Z32" s="352"/>
      <c r="AA32" s="354"/>
      <c r="AB32" s="352"/>
      <c r="AC32" s="354"/>
      <c r="AD32" s="354"/>
      <c r="AE32" s="352"/>
      <c r="AF32" s="351"/>
      <c r="AG32" s="352"/>
      <c r="AH32" s="351"/>
      <c r="AI32" s="352"/>
      <c r="AJ32" s="354"/>
      <c r="AK32" s="375"/>
      <c r="AL32" s="351"/>
      <c r="AM32" s="352"/>
      <c r="AN32" s="354"/>
      <c r="AO32" s="351"/>
      <c r="AP32" s="354"/>
      <c r="AQ32" s="351"/>
      <c r="AR32" s="352"/>
      <c r="AS32" s="351"/>
      <c r="AT32" s="352"/>
      <c r="AU32" s="351"/>
      <c r="AV32" s="352"/>
      <c r="AW32" s="351"/>
      <c r="AX32" s="352"/>
      <c r="AY32" s="351"/>
      <c r="AZ32" s="352"/>
      <c r="BA32" s="924"/>
      <c r="BB32" s="925"/>
      <c r="BC32" s="352"/>
      <c r="BD32" s="924"/>
      <c r="BE32" s="929"/>
      <c r="BF32" s="925"/>
      <c r="BG32" s="354"/>
      <c r="BH32" s="354"/>
      <c r="BI32" s="375"/>
      <c r="BJ32" s="352"/>
      <c r="BK32" s="351"/>
      <c r="BL32" s="353"/>
      <c r="BM32" s="352"/>
      <c r="BN32" s="351"/>
      <c r="BO32" s="352"/>
      <c r="BP32" s="351"/>
      <c r="BQ32" s="863"/>
      <c r="BR32" s="351"/>
      <c r="BS32" s="352"/>
      <c r="BT32" s="924"/>
      <c r="BU32" s="925"/>
      <c r="BV32" s="352"/>
      <c r="BW32" s="924"/>
      <c r="BX32" s="929"/>
      <c r="BY32" s="925"/>
      <c r="BZ32" s="352"/>
      <c r="CA32" s="354"/>
      <c r="CB32" s="854"/>
      <c r="CC32" s="354"/>
      <c r="CD32" s="351"/>
      <c r="CE32" s="352"/>
      <c r="CF32" s="351"/>
      <c r="CG32" s="352"/>
      <c r="CH32" s="353"/>
      <c r="CI32" s="351"/>
      <c r="CJ32" s="352"/>
      <c r="CK32" s="351"/>
      <c r="CL32" s="352"/>
      <c r="CM32" s="351"/>
      <c r="CN32" s="352"/>
      <c r="CO32" s="351"/>
      <c r="CP32" s="352"/>
      <c r="CQ32" s="351"/>
      <c r="CR32" s="354"/>
      <c r="CS32" s="351"/>
      <c r="CT32" s="352"/>
      <c r="CU32" s="924"/>
      <c r="CV32" s="925"/>
      <c r="CW32" s="352"/>
      <c r="CX32" s="924"/>
      <c r="CY32" s="929"/>
      <c r="CZ32" s="925"/>
      <c r="DA32" s="352"/>
      <c r="DB32" s="354"/>
      <c r="DC32" s="854"/>
      <c r="DD32" s="354"/>
      <c r="DE32" s="351"/>
      <c r="DF32" s="352"/>
      <c r="DG32" s="351"/>
      <c r="DH32" s="352"/>
      <c r="DI32" s="351"/>
      <c r="DJ32" s="352"/>
      <c r="DK32" s="351"/>
      <c r="DL32" s="352"/>
      <c r="DM32" s="351"/>
      <c r="DN32" s="352"/>
      <c r="DO32" s="353"/>
      <c r="DP32" s="351"/>
    </row>
    <row r="33" spans="1:120" ht="17.45" customHeight="1" thickTop="1">
      <c r="A33" s="483">
        <v>4</v>
      </c>
      <c r="B33" s="498"/>
      <c r="C33" s="499"/>
      <c r="D33" s="500"/>
      <c r="E33" s="501"/>
      <c r="F33" s="500"/>
      <c r="G33" s="502"/>
      <c r="H33" s="348"/>
      <c r="I33" s="347"/>
      <c r="J33" s="348"/>
      <c r="K33" s="347"/>
      <c r="L33" s="348"/>
      <c r="M33" s="347"/>
      <c r="N33" s="501"/>
      <c r="O33" s="606"/>
      <c r="P33" s="348"/>
      <c r="Q33" s="347"/>
      <c r="R33" s="348"/>
      <c r="S33" s="350"/>
      <c r="T33" s="350"/>
      <c r="U33" s="347"/>
      <c r="V33" s="348"/>
      <c r="W33" s="347"/>
      <c r="X33" s="348"/>
      <c r="Y33" s="347"/>
      <c r="Z33" s="348"/>
      <c r="AA33" s="350"/>
      <c r="AB33" s="348"/>
      <c r="AC33" s="350"/>
      <c r="AD33" s="350"/>
      <c r="AE33" s="348"/>
      <c r="AF33" s="347"/>
      <c r="AG33" s="348"/>
      <c r="AH33" s="347"/>
      <c r="AI33" s="348"/>
      <c r="AJ33" s="350"/>
      <c r="AK33" s="374"/>
      <c r="AL33" s="347"/>
      <c r="AM33" s="348"/>
      <c r="AN33" s="350"/>
      <c r="AO33" s="347"/>
      <c r="AP33" s="350"/>
      <c r="AQ33" s="347"/>
      <c r="AR33" s="348"/>
      <c r="AS33" s="347"/>
      <c r="AT33" s="348"/>
      <c r="AU33" s="347"/>
      <c r="AV33" s="348"/>
      <c r="AW33" s="347"/>
      <c r="AX33" s="348"/>
      <c r="AY33" s="347"/>
      <c r="AZ33" s="355"/>
      <c r="BA33" s="926"/>
      <c r="BB33" s="927"/>
      <c r="BC33" s="355"/>
      <c r="BD33" s="926"/>
      <c r="BE33" s="930"/>
      <c r="BF33" s="927"/>
      <c r="BG33" s="350"/>
      <c r="BH33" s="350"/>
      <c r="BI33" s="374"/>
      <c r="BJ33" s="348"/>
      <c r="BK33" s="347"/>
      <c r="BL33" s="349"/>
      <c r="BM33" s="348"/>
      <c r="BN33" s="347"/>
      <c r="BO33" s="348"/>
      <c r="BP33" s="347"/>
      <c r="BQ33" s="862"/>
      <c r="BR33" s="347"/>
      <c r="BS33" s="355"/>
      <c r="BT33" s="926"/>
      <c r="BU33" s="927"/>
      <c r="BV33" s="355"/>
      <c r="BW33" s="926"/>
      <c r="BX33" s="930"/>
      <c r="BY33" s="927"/>
      <c r="BZ33" s="348"/>
      <c r="CA33" s="350"/>
      <c r="CB33" s="790"/>
      <c r="CC33" s="350"/>
      <c r="CD33" s="347"/>
      <c r="CE33" s="348"/>
      <c r="CF33" s="347"/>
      <c r="CG33" s="348"/>
      <c r="CH33" s="349"/>
      <c r="CI33" s="347"/>
      <c r="CJ33" s="348"/>
      <c r="CK33" s="347"/>
      <c r="CL33" s="348"/>
      <c r="CM33" s="347"/>
      <c r="CN33" s="348"/>
      <c r="CO33" s="347"/>
      <c r="CP33" s="348"/>
      <c r="CQ33" s="347"/>
      <c r="CR33" s="350"/>
      <c r="CS33" s="347"/>
      <c r="CT33" s="355"/>
      <c r="CU33" s="926"/>
      <c r="CV33" s="927"/>
      <c r="CW33" s="355"/>
      <c r="CX33" s="926"/>
      <c r="CY33" s="930"/>
      <c r="CZ33" s="927"/>
      <c r="DA33" s="348"/>
      <c r="DB33" s="350"/>
      <c r="DC33" s="790"/>
      <c r="DD33" s="350"/>
      <c r="DE33" s="347"/>
      <c r="DF33" s="348"/>
      <c r="DG33" s="347"/>
      <c r="DH33" s="348"/>
      <c r="DI33" s="347"/>
      <c r="DJ33" s="348"/>
      <c r="DK33" s="347"/>
      <c r="DL33" s="348"/>
      <c r="DM33" s="347"/>
      <c r="DN33" s="348"/>
      <c r="DO33" s="349"/>
      <c r="DP33" s="347"/>
    </row>
    <row r="34" spans="1:120" ht="17.45" customHeight="1">
      <c r="A34" s="480">
        <v>5</v>
      </c>
      <c r="B34" s="498"/>
      <c r="C34" s="499"/>
      <c r="D34" s="500"/>
      <c r="E34" s="501"/>
      <c r="F34" s="500"/>
      <c r="G34" s="502"/>
      <c r="H34" s="348"/>
      <c r="I34" s="347"/>
      <c r="J34" s="348"/>
      <c r="K34" s="347"/>
      <c r="L34" s="348"/>
      <c r="M34" s="347"/>
      <c r="N34" s="501"/>
      <c r="O34" s="606"/>
      <c r="P34" s="348"/>
      <c r="Q34" s="347"/>
      <c r="R34" s="348"/>
      <c r="S34" s="350"/>
      <c r="T34" s="350"/>
      <c r="U34" s="347"/>
      <c r="V34" s="348"/>
      <c r="W34" s="347"/>
      <c r="X34" s="348"/>
      <c r="Y34" s="347"/>
      <c r="Z34" s="348"/>
      <c r="AA34" s="350"/>
      <c r="AB34" s="348"/>
      <c r="AC34" s="350"/>
      <c r="AD34" s="350"/>
      <c r="AE34" s="348"/>
      <c r="AF34" s="347"/>
      <c r="AG34" s="348"/>
      <c r="AH34" s="347"/>
      <c r="AI34" s="348"/>
      <c r="AJ34" s="350"/>
      <c r="AK34" s="374"/>
      <c r="AL34" s="347"/>
      <c r="AM34" s="348"/>
      <c r="AN34" s="350"/>
      <c r="AO34" s="347"/>
      <c r="AP34" s="350"/>
      <c r="AQ34" s="347"/>
      <c r="AR34" s="348"/>
      <c r="AS34" s="347"/>
      <c r="AT34" s="348"/>
      <c r="AU34" s="347"/>
      <c r="AV34" s="348"/>
      <c r="AW34" s="347"/>
      <c r="AX34" s="348"/>
      <c r="AY34" s="347"/>
      <c r="AZ34" s="348"/>
      <c r="BA34" s="922"/>
      <c r="BB34" s="923"/>
      <c r="BC34" s="348"/>
      <c r="BD34" s="922"/>
      <c r="BE34" s="928"/>
      <c r="BF34" s="923"/>
      <c r="BG34" s="350"/>
      <c r="BH34" s="350"/>
      <c r="BI34" s="374"/>
      <c r="BJ34" s="348"/>
      <c r="BK34" s="347"/>
      <c r="BL34" s="349"/>
      <c r="BM34" s="348"/>
      <c r="BN34" s="347"/>
      <c r="BO34" s="348"/>
      <c r="BP34" s="347"/>
      <c r="BQ34" s="862"/>
      <c r="BR34" s="347"/>
      <c r="BS34" s="348"/>
      <c r="BT34" s="922"/>
      <c r="BU34" s="923"/>
      <c r="BV34" s="348"/>
      <c r="BW34" s="922"/>
      <c r="BX34" s="928"/>
      <c r="BY34" s="923"/>
      <c r="BZ34" s="348"/>
      <c r="CA34" s="350"/>
      <c r="CB34" s="790"/>
      <c r="CC34" s="350"/>
      <c r="CD34" s="347"/>
      <c r="CE34" s="348"/>
      <c r="CF34" s="347"/>
      <c r="CG34" s="348"/>
      <c r="CH34" s="349"/>
      <c r="CI34" s="347"/>
      <c r="CJ34" s="348"/>
      <c r="CK34" s="347"/>
      <c r="CL34" s="348"/>
      <c r="CM34" s="347"/>
      <c r="CN34" s="348"/>
      <c r="CO34" s="347"/>
      <c r="CP34" s="348"/>
      <c r="CQ34" s="347"/>
      <c r="CR34" s="350"/>
      <c r="CS34" s="347"/>
      <c r="CT34" s="348"/>
      <c r="CU34" s="922"/>
      <c r="CV34" s="923"/>
      <c r="CW34" s="348"/>
      <c r="CX34" s="922"/>
      <c r="CY34" s="928"/>
      <c r="CZ34" s="923"/>
      <c r="DA34" s="348"/>
      <c r="DB34" s="350"/>
      <c r="DC34" s="790"/>
      <c r="DD34" s="350"/>
      <c r="DE34" s="347"/>
      <c r="DF34" s="348"/>
      <c r="DG34" s="347"/>
      <c r="DH34" s="348"/>
      <c r="DI34" s="347"/>
      <c r="DJ34" s="348"/>
      <c r="DK34" s="347"/>
      <c r="DL34" s="348"/>
      <c r="DM34" s="347"/>
      <c r="DN34" s="348"/>
      <c r="DO34" s="349"/>
      <c r="DP34" s="347"/>
    </row>
    <row r="35" spans="1:120" ht="17.45" customHeight="1" thickBot="1">
      <c r="A35" s="481">
        <v>6</v>
      </c>
      <c r="B35" s="503"/>
      <c r="C35" s="504"/>
      <c r="D35" s="505"/>
      <c r="E35" s="506"/>
      <c r="F35" s="505"/>
      <c r="G35" s="507"/>
      <c r="H35" s="352"/>
      <c r="I35" s="351"/>
      <c r="J35" s="352"/>
      <c r="K35" s="351"/>
      <c r="L35" s="352"/>
      <c r="M35" s="351"/>
      <c r="N35" s="506"/>
      <c r="O35" s="607"/>
      <c r="P35" s="352"/>
      <c r="Q35" s="351"/>
      <c r="R35" s="352"/>
      <c r="S35" s="354"/>
      <c r="T35" s="354"/>
      <c r="U35" s="351"/>
      <c r="V35" s="352"/>
      <c r="W35" s="351"/>
      <c r="X35" s="352"/>
      <c r="Y35" s="351"/>
      <c r="Z35" s="352"/>
      <c r="AA35" s="354"/>
      <c r="AB35" s="352"/>
      <c r="AC35" s="354"/>
      <c r="AD35" s="354"/>
      <c r="AE35" s="352"/>
      <c r="AF35" s="351"/>
      <c r="AG35" s="352"/>
      <c r="AH35" s="351"/>
      <c r="AI35" s="352"/>
      <c r="AJ35" s="354"/>
      <c r="AK35" s="375"/>
      <c r="AL35" s="351"/>
      <c r="AM35" s="352"/>
      <c r="AN35" s="354"/>
      <c r="AO35" s="351"/>
      <c r="AP35" s="354"/>
      <c r="AQ35" s="351"/>
      <c r="AR35" s="352"/>
      <c r="AS35" s="351"/>
      <c r="AT35" s="352"/>
      <c r="AU35" s="351"/>
      <c r="AV35" s="352"/>
      <c r="AW35" s="351"/>
      <c r="AX35" s="352"/>
      <c r="AY35" s="351"/>
      <c r="AZ35" s="352"/>
      <c r="BA35" s="924"/>
      <c r="BB35" s="925"/>
      <c r="BC35" s="352"/>
      <c r="BD35" s="924"/>
      <c r="BE35" s="929"/>
      <c r="BF35" s="925"/>
      <c r="BG35" s="354"/>
      <c r="BH35" s="354"/>
      <c r="BI35" s="375"/>
      <c r="BJ35" s="352"/>
      <c r="BK35" s="351"/>
      <c r="BL35" s="353"/>
      <c r="BM35" s="352"/>
      <c r="BN35" s="351"/>
      <c r="BO35" s="352"/>
      <c r="BP35" s="351"/>
      <c r="BQ35" s="863"/>
      <c r="BR35" s="351"/>
      <c r="BS35" s="352"/>
      <c r="BT35" s="924"/>
      <c r="BU35" s="925"/>
      <c r="BV35" s="352"/>
      <c r="BW35" s="924"/>
      <c r="BX35" s="929"/>
      <c r="BY35" s="925"/>
      <c r="BZ35" s="352"/>
      <c r="CA35" s="354"/>
      <c r="CB35" s="854"/>
      <c r="CC35" s="354"/>
      <c r="CD35" s="351"/>
      <c r="CE35" s="352"/>
      <c r="CF35" s="351"/>
      <c r="CG35" s="352"/>
      <c r="CH35" s="353"/>
      <c r="CI35" s="351"/>
      <c r="CJ35" s="352"/>
      <c r="CK35" s="351"/>
      <c r="CL35" s="352"/>
      <c r="CM35" s="351"/>
      <c r="CN35" s="352"/>
      <c r="CO35" s="351"/>
      <c r="CP35" s="352"/>
      <c r="CQ35" s="351"/>
      <c r="CR35" s="354"/>
      <c r="CS35" s="351"/>
      <c r="CT35" s="352"/>
      <c r="CU35" s="924"/>
      <c r="CV35" s="925"/>
      <c r="CW35" s="352"/>
      <c r="CX35" s="924"/>
      <c r="CY35" s="929"/>
      <c r="CZ35" s="925"/>
      <c r="DA35" s="352"/>
      <c r="DB35" s="354"/>
      <c r="DC35" s="854"/>
      <c r="DD35" s="354"/>
      <c r="DE35" s="351"/>
      <c r="DF35" s="352"/>
      <c r="DG35" s="351"/>
      <c r="DH35" s="352"/>
      <c r="DI35" s="351"/>
      <c r="DJ35" s="352"/>
      <c r="DK35" s="351"/>
      <c r="DL35" s="352"/>
      <c r="DM35" s="351"/>
      <c r="DN35" s="352"/>
      <c r="DO35" s="353"/>
      <c r="DP35" s="351"/>
    </row>
    <row r="36" spans="1:120" ht="17.45" customHeight="1" thickTop="1">
      <c r="A36" s="480">
        <v>7</v>
      </c>
      <c r="B36" s="498"/>
      <c r="C36" s="499"/>
      <c r="D36" s="500"/>
      <c r="E36" s="501"/>
      <c r="F36" s="500"/>
      <c r="G36" s="502"/>
      <c r="H36" s="348"/>
      <c r="I36" s="347"/>
      <c r="J36" s="348"/>
      <c r="K36" s="347"/>
      <c r="L36" s="348"/>
      <c r="M36" s="347"/>
      <c r="N36" s="501"/>
      <c r="O36" s="606"/>
      <c r="P36" s="348"/>
      <c r="Q36" s="347"/>
      <c r="R36" s="348"/>
      <c r="S36" s="350"/>
      <c r="T36" s="350"/>
      <c r="U36" s="347"/>
      <c r="V36" s="348"/>
      <c r="W36" s="347"/>
      <c r="X36" s="348"/>
      <c r="Y36" s="347"/>
      <c r="Z36" s="348"/>
      <c r="AA36" s="350"/>
      <c r="AB36" s="348"/>
      <c r="AC36" s="350"/>
      <c r="AD36" s="350"/>
      <c r="AE36" s="348"/>
      <c r="AF36" s="347"/>
      <c r="AG36" s="348"/>
      <c r="AH36" s="347"/>
      <c r="AI36" s="348"/>
      <c r="AJ36" s="350"/>
      <c r="AK36" s="374"/>
      <c r="AL36" s="347"/>
      <c r="AM36" s="348"/>
      <c r="AN36" s="350"/>
      <c r="AO36" s="347"/>
      <c r="AP36" s="350"/>
      <c r="AQ36" s="347"/>
      <c r="AR36" s="348"/>
      <c r="AS36" s="347"/>
      <c r="AT36" s="348"/>
      <c r="AU36" s="347"/>
      <c r="AV36" s="348"/>
      <c r="AW36" s="347"/>
      <c r="AX36" s="348"/>
      <c r="AY36" s="347"/>
      <c r="AZ36" s="348"/>
      <c r="BA36" s="922"/>
      <c r="BB36" s="923"/>
      <c r="BC36" s="348"/>
      <c r="BD36" s="922"/>
      <c r="BE36" s="928"/>
      <c r="BF36" s="923"/>
      <c r="BG36" s="350"/>
      <c r="BH36" s="350"/>
      <c r="BI36" s="374"/>
      <c r="BJ36" s="348"/>
      <c r="BK36" s="347"/>
      <c r="BL36" s="349"/>
      <c r="BM36" s="348"/>
      <c r="BN36" s="347"/>
      <c r="BO36" s="348"/>
      <c r="BP36" s="347"/>
      <c r="BQ36" s="862"/>
      <c r="BR36" s="347"/>
      <c r="BS36" s="348"/>
      <c r="BT36" s="922"/>
      <c r="BU36" s="923"/>
      <c r="BV36" s="348"/>
      <c r="BW36" s="922"/>
      <c r="BX36" s="928"/>
      <c r="BY36" s="923"/>
      <c r="BZ36" s="348"/>
      <c r="CA36" s="350"/>
      <c r="CB36" s="790"/>
      <c r="CC36" s="350"/>
      <c r="CD36" s="347"/>
      <c r="CE36" s="348"/>
      <c r="CF36" s="347"/>
      <c r="CG36" s="348"/>
      <c r="CH36" s="349"/>
      <c r="CI36" s="347"/>
      <c r="CJ36" s="348"/>
      <c r="CK36" s="347"/>
      <c r="CL36" s="348"/>
      <c r="CM36" s="347"/>
      <c r="CN36" s="348"/>
      <c r="CO36" s="347"/>
      <c r="CP36" s="348"/>
      <c r="CQ36" s="347"/>
      <c r="CR36" s="350"/>
      <c r="CS36" s="347"/>
      <c r="CT36" s="348"/>
      <c r="CU36" s="922"/>
      <c r="CV36" s="923"/>
      <c r="CW36" s="348"/>
      <c r="CX36" s="922"/>
      <c r="CY36" s="928"/>
      <c r="CZ36" s="923"/>
      <c r="DA36" s="348"/>
      <c r="DB36" s="350"/>
      <c r="DC36" s="790"/>
      <c r="DD36" s="350"/>
      <c r="DE36" s="347"/>
      <c r="DF36" s="348"/>
      <c r="DG36" s="347"/>
      <c r="DH36" s="348"/>
      <c r="DI36" s="347"/>
      <c r="DJ36" s="348"/>
      <c r="DK36" s="347"/>
      <c r="DL36" s="348"/>
      <c r="DM36" s="347"/>
      <c r="DN36" s="348"/>
      <c r="DO36" s="349"/>
      <c r="DP36" s="347"/>
    </row>
    <row r="37" spans="1:120" ht="17.45" customHeight="1">
      <c r="A37" s="480">
        <v>8</v>
      </c>
      <c r="B37" s="498"/>
      <c r="C37" s="499"/>
      <c r="D37" s="500"/>
      <c r="E37" s="501"/>
      <c r="F37" s="500"/>
      <c r="G37" s="502"/>
      <c r="H37" s="348"/>
      <c r="I37" s="347"/>
      <c r="J37" s="348"/>
      <c r="K37" s="347"/>
      <c r="L37" s="348"/>
      <c r="M37" s="347"/>
      <c r="N37" s="501"/>
      <c r="O37" s="606"/>
      <c r="P37" s="348"/>
      <c r="Q37" s="347"/>
      <c r="R37" s="348"/>
      <c r="S37" s="350"/>
      <c r="T37" s="350"/>
      <c r="U37" s="347"/>
      <c r="V37" s="348"/>
      <c r="W37" s="347"/>
      <c r="X37" s="348"/>
      <c r="Y37" s="347"/>
      <c r="Z37" s="348"/>
      <c r="AA37" s="350"/>
      <c r="AB37" s="348"/>
      <c r="AC37" s="350"/>
      <c r="AD37" s="350"/>
      <c r="AE37" s="348"/>
      <c r="AF37" s="347"/>
      <c r="AG37" s="348"/>
      <c r="AH37" s="347"/>
      <c r="AI37" s="348"/>
      <c r="AJ37" s="350"/>
      <c r="AK37" s="374"/>
      <c r="AL37" s="347"/>
      <c r="AM37" s="348"/>
      <c r="AN37" s="350"/>
      <c r="AO37" s="347"/>
      <c r="AP37" s="350"/>
      <c r="AQ37" s="347"/>
      <c r="AR37" s="348"/>
      <c r="AS37" s="347"/>
      <c r="AT37" s="348"/>
      <c r="AU37" s="347"/>
      <c r="AV37" s="348"/>
      <c r="AW37" s="347"/>
      <c r="AX37" s="348"/>
      <c r="AY37" s="347"/>
      <c r="AZ37" s="348"/>
      <c r="BA37" s="922"/>
      <c r="BB37" s="923"/>
      <c r="BC37" s="348"/>
      <c r="BD37" s="922"/>
      <c r="BE37" s="928"/>
      <c r="BF37" s="923"/>
      <c r="BG37" s="350"/>
      <c r="BH37" s="350"/>
      <c r="BI37" s="374"/>
      <c r="BJ37" s="348"/>
      <c r="BK37" s="347"/>
      <c r="BL37" s="349"/>
      <c r="BM37" s="348"/>
      <c r="BN37" s="347"/>
      <c r="BO37" s="348"/>
      <c r="BP37" s="347"/>
      <c r="BQ37" s="862"/>
      <c r="BR37" s="347"/>
      <c r="BS37" s="348"/>
      <c r="BT37" s="922"/>
      <c r="BU37" s="923"/>
      <c r="BV37" s="348"/>
      <c r="BW37" s="922"/>
      <c r="BX37" s="928"/>
      <c r="BY37" s="923"/>
      <c r="BZ37" s="348"/>
      <c r="CA37" s="350"/>
      <c r="CB37" s="790"/>
      <c r="CC37" s="350"/>
      <c r="CD37" s="347"/>
      <c r="CE37" s="348"/>
      <c r="CF37" s="347"/>
      <c r="CG37" s="348"/>
      <c r="CH37" s="349"/>
      <c r="CI37" s="347"/>
      <c r="CJ37" s="348"/>
      <c r="CK37" s="347"/>
      <c r="CL37" s="348"/>
      <c r="CM37" s="347"/>
      <c r="CN37" s="348"/>
      <c r="CO37" s="347"/>
      <c r="CP37" s="348"/>
      <c r="CQ37" s="347"/>
      <c r="CR37" s="350"/>
      <c r="CS37" s="347"/>
      <c r="CT37" s="348"/>
      <c r="CU37" s="922"/>
      <c r="CV37" s="923"/>
      <c r="CW37" s="348"/>
      <c r="CX37" s="922"/>
      <c r="CY37" s="928"/>
      <c r="CZ37" s="923"/>
      <c r="DA37" s="348"/>
      <c r="DB37" s="350"/>
      <c r="DC37" s="790"/>
      <c r="DD37" s="350"/>
      <c r="DE37" s="347"/>
      <c r="DF37" s="348"/>
      <c r="DG37" s="347"/>
      <c r="DH37" s="348"/>
      <c r="DI37" s="347"/>
      <c r="DJ37" s="348"/>
      <c r="DK37" s="347"/>
      <c r="DL37" s="348"/>
      <c r="DM37" s="347"/>
      <c r="DN37" s="348"/>
      <c r="DO37" s="349"/>
      <c r="DP37" s="347"/>
    </row>
    <row r="38" spans="1:120" ht="17.45" customHeight="1" thickBot="1">
      <c r="A38" s="481">
        <v>9</v>
      </c>
      <c r="B38" s="503"/>
      <c r="C38" s="504"/>
      <c r="D38" s="505"/>
      <c r="E38" s="506"/>
      <c r="F38" s="505"/>
      <c r="G38" s="507"/>
      <c r="H38" s="352"/>
      <c r="I38" s="351"/>
      <c r="J38" s="352"/>
      <c r="K38" s="351"/>
      <c r="L38" s="352"/>
      <c r="M38" s="351"/>
      <c r="N38" s="506"/>
      <c r="O38" s="607"/>
      <c r="P38" s="352"/>
      <c r="Q38" s="351"/>
      <c r="R38" s="352"/>
      <c r="S38" s="354"/>
      <c r="T38" s="354"/>
      <c r="U38" s="351"/>
      <c r="V38" s="352"/>
      <c r="W38" s="351"/>
      <c r="X38" s="352"/>
      <c r="Y38" s="351"/>
      <c r="Z38" s="352"/>
      <c r="AA38" s="354"/>
      <c r="AB38" s="352"/>
      <c r="AC38" s="354"/>
      <c r="AD38" s="354"/>
      <c r="AE38" s="352"/>
      <c r="AF38" s="351"/>
      <c r="AG38" s="352"/>
      <c r="AH38" s="351"/>
      <c r="AI38" s="352"/>
      <c r="AJ38" s="354"/>
      <c r="AK38" s="375"/>
      <c r="AL38" s="351"/>
      <c r="AM38" s="352"/>
      <c r="AN38" s="354"/>
      <c r="AO38" s="351"/>
      <c r="AP38" s="354"/>
      <c r="AQ38" s="351"/>
      <c r="AR38" s="352"/>
      <c r="AS38" s="351"/>
      <c r="AT38" s="352"/>
      <c r="AU38" s="351"/>
      <c r="AV38" s="352"/>
      <c r="AW38" s="351"/>
      <c r="AX38" s="352"/>
      <c r="AY38" s="351"/>
      <c r="AZ38" s="352"/>
      <c r="BA38" s="924"/>
      <c r="BB38" s="925"/>
      <c r="BC38" s="352"/>
      <c r="BD38" s="924"/>
      <c r="BE38" s="929"/>
      <c r="BF38" s="925"/>
      <c r="BG38" s="354"/>
      <c r="BH38" s="354"/>
      <c r="BI38" s="375"/>
      <c r="BJ38" s="352"/>
      <c r="BK38" s="351"/>
      <c r="BL38" s="353"/>
      <c r="BM38" s="352"/>
      <c r="BN38" s="351"/>
      <c r="BO38" s="352"/>
      <c r="BP38" s="351"/>
      <c r="BQ38" s="863"/>
      <c r="BR38" s="351"/>
      <c r="BS38" s="352"/>
      <c r="BT38" s="924"/>
      <c r="BU38" s="925"/>
      <c r="BV38" s="352"/>
      <c r="BW38" s="924"/>
      <c r="BX38" s="929"/>
      <c r="BY38" s="925"/>
      <c r="BZ38" s="352"/>
      <c r="CA38" s="354"/>
      <c r="CB38" s="854"/>
      <c r="CC38" s="354"/>
      <c r="CD38" s="351"/>
      <c r="CE38" s="352"/>
      <c r="CF38" s="351"/>
      <c r="CG38" s="352"/>
      <c r="CH38" s="353"/>
      <c r="CI38" s="351"/>
      <c r="CJ38" s="352"/>
      <c r="CK38" s="351"/>
      <c r="CL38" s="352"/>
      <c r="CM38" s="351"/>
      <c r="CN38" s="352"/>
      <c r="CO38" s="351"/>
      <c r="CP38" s="352"/>
      <c r="CQ38" s="351"/>
      <c r="CR38" s="354"/>
      <c r="CS38" s="351"/>
      <c r="CT38" s="352"/>
      <c r="CU38" s="924"/>
      <c r="CV38" s="925"/>
      <c r="CW38" s="352"/>
      <c r="CX38" s="924"/>
      <c r="CY38" s="929"/>
      <c r="CZ38" s="925"/>
      <c r="DA38" s="352"/>
      <c r="DB38" s="354"/>
      <c r="DC38" s="854"/>
      <c r="DD38" s="354"/>
      <c r="DE38" s="351"/>
      <c r="DF38" s="352"/>
      <c r="DG38" s="351"/>
      <c r="DH38" s="352"/>
      <c r="DI38" s="351"/>
      <c r="DJ38" s="352"/>
      <c r="DK38" s="351"/>
      <c r="DL38" s="352"/>
      <c r="DM38" s="351"/>
      <c r="DN38" s="352"/>
      <c r="DO38" s="353"/>
      <c r="DP38" s="351"/>
    </row>
    <row r="39" spans="1:120" ht="17.45" customHeight="1" thickTop="1">
      <c r="A39" s="480">
        <v>10</v>
      </c>
      <c r="B39" s="498"/>
      <c r="C39" s="499"/>
      <c r="D39" s="500"/>
      <c r="E39" s="501"/>
      <c r="F39" s="500"/>
      <c r="G39" s="502"/>
      <c r="H39" s="348"/>
      <c r="I39" s="347"/>
      <c r="J39" s="348"/>
      <c r="K39" s="347"/>
      <c r="L39" s="348"/>
      <c r="M39" s="347"/>
      <c r="N39" s="501"/>
      <c r="O39" s="606"/>
      <c r="P39" s="348"/>
      <c r="Q39" s="347"/>
      <c r="R39" s="348"/>
      <c r="S39" s="350"/>
      <c r="T39" s="350"/>
      <c r="U39" s="347"/>
      <c r="V39" s="348"/>
      <c r="W39" s="347"/>
      <c r="X39" s="348"/>
      <c r="Y39" s="347"/>
      <c r="Z39" s="348"/>
      <c r="AA39" s="350"/>
      <c r="AB39" s="348"/>
      <c r="AC39" s="350"/>
      <c r="AD39" s="350"/>
      <c r="AE39" s="348"/>
      <c r="AF39" s="347"/>
      <c r="AG39" s="348"/>
      <c r="AH39" s="347"/>
      <c r="AI39" s="348"/>
      <c r="AJ39" s="350"/>
      <c r="AK39" s="374"/>
      <c r="AL39" s="347"/>
      <c r="AM39" s="348"/>
      <c r="AN39" s="350"/>
      <c r="AO39" s="347"/>
      <c r="AP39" s="350"/>
      <c r="AQ39" s="347"/>
      <c r="AR39" s="348"/>
      <c r="AS39" s="347"/>
      <c r="AT39" s="348"/>
      <c r="AU39" s="347"/>
      <c r="AV39" s="348"/>
      <c r="AW39" s="347"/>
      <c r="AX39" s="348"/>
      <c r="AY39" s="347"/>
      <c r="AZ39" s="348"/>
      <c r="BA39" s="922"/>
      <c r="BB39" s="923"/>
      <c r="BC39" s="348"/>
      <c r="BD39" s="922"/>
      <c r="BE39" s="928"/>
      <c r="BF39" s="923"/>
      <c r="BG39" s="350"/>
      <c r="BH39" s="350"/>
      <c r="BI39" s="374"/>
      <c r="BJ39" s="348"/>
      <c r="BK39" s="347"/>
      <c r="BL39" s="349"/>
      <c r="BM39" s="348"/>
      <c r="BN39" s="347"/>
      <c r="BO39" s="348"/>
      <c r="BP39" s="347"/>
      <c r="BQ39" s="862"/>
      <c r="BR39" s="347"/>
      <c r="BS39" s="348"/>
      <c r="BT39" s="922"/>
      <c r="BU39" s="923"/>
      <c r="BV39" s="348"/>
      <c r="BW39" s="922"/>
      <c r="BX39" s="928"/>
      <c r="BY39" s="923"/>
      <c r="BZ39" s="348"/>
      <c r="CA39" s="350"/>
      <c r="CB39" s="790"/>
      <c r="CC39" s="350"/>
      <c r="CD39" s="347"/>
      <c r="CE39" s="348"/>
      <c r="CF39" s="347"/>
      <c r="CG39" s="348"/>
      <c r="CH39" s="349"/>
      <c r="CI39" s="347"/>
      <c r="CJ39" s="348"/>
      <c r="CK39" s="347"/>
      <c r="CL39" s="348"/>
      <c r="CM39" s="347"/>
      <c r="CN39" s="348"/>
      <c r="CO39" s="347"/>
      <c r="CP39" s="348"/>
      <c r="CQ39" s="347"/>
      <c r="CR39" s="350"/>
      <c r="CS39" s="347"/>
      <c r="CT39" s="348"/>
      <c r="CU39" s="922"/>
      <c r="CV39" s="923"/>
      <c r="CW39" s="348"/>
      <c r="CX39" s="922"/>
      <c r="CY39" s="928"/>
      <c r="CZ39" s="923"/>
      <c r="DA39" s="348"/>
      <c r="DB39" s="350"/>
      <c r="DC39" s="790"/>
      <c r="DD39" s="350"/>
      <c r="DE39" s="347"/>
      <c r="DF39" s="348"/>
      <c r="DG39" s="347"/>
      <c r="DH39" s="348"/>
      <c r="DI39" s="347"/>
      <c r="DJ39" s="348"/>
      <c r="DK39" s="347"/>
      <c r="DL39" s="348"/>
      <c r="DM39" s="347"/>
      <c r="DN39" s="348"/>
      <c r="DO39" s="349"/>
      <c r="DP39" s="347"/>
    </row>
    <row r="40" spans="1:120" ht="17.45" customHeight="1">
      <c r="A40" s="480">
        <v>11</v>
      </c>
      <c r="B40" s="498"/>
      <c r="C40" s="499"/>
      <c r="D40" s="500"/>
      <c r="E40" s="501"/>
      <c r="F40" s="500"/>
      <c r="G40" s="502"/>
      <c r="H40" s="348"/>
      <c r="I40" s="347"/>
      <c r="J40" s="348"/>
      <c r="K40" s="347"/>
      <c r="L40" s="348"/>
      <c r="M40" s="347"/>
      <c r="N40" s="501"/>
      <c r="O40" s="606"/>
      <c r="P40" s="348"/>
      <c r="Q40" s="347"/>
      <c r="R40" s="348"/>
      <c r="S40" s="350"/>
      <c r="T40" s="350"/>
      <c r="U40" s="347"/>
      <c r="V40" s="348"/>
      <c r="W40" s="347"/>
      <c r="X40" s="348"/>
      <c r="Y40" s="347"/>
      <c r="Z40" s="348"/>
      <c r="AA40" s="350"/>
      <c r="AB40" s="348"/>
      <c r="AC40" s="350"/>
      <c r="AD40" s="350"/>
      <c r="AE40" s="348"/>
      <c r="AF40" s="347"/>
      <c r="AG40" s="348"/>
      <c r="AH40" s="347"/>
      <c r="AI40" s="348"/>
      <c r="AJ40" s="350"/>
      <c r="AK40" s="374"/>
      <c r="AL40" s="347"/>
      <c r="AM40" s="348"/>
      <c r="AN40" s="350"/>
      <c r="AO40" s="347"/>
      <c r="AP40" s="350"/>
      <c r="AQ40" s="347"/>
      <c r="AR40" s="348"/>
      <c r="AS40" s="347"/>
      <c r="AT40" s="348"/>
      <c r="AU40" s="347"/>
      <c r="AV40" s="348"/>
      <c r="AW40" s="347"/>
      <c r="AX40" s="348"/>
      <c r="AY40" s="347"/>
      <c r="AZ40" s="348"/>
      <c r="BA40" s="922"/>
      <c r="BB40" s="923"/>
      <c r="BC40" s="348"/>
      <c r="BD40" s="922"/>
      <c r="BE40" s="928"/>
      <c r="BF40" s="923"/>
      <c r="BG40" s="350"/>
      <c r="BH40" s="350"/>
      <c r="BI40" s="374"/>
      <c r="BJ40" s="348"/>
      <c r="BK40" s="347"/>
      <c r="BL40" s="349"/>
      <c r="BM40" s="348"/>
      <c r="BN40" s="347"/>
      <c r="BO40" s="348"/>
      <c r="BP40" s="347"/>
      <c r="BQ40" s="862"/>
      <c r="BR40" s="347"/>
      <c r="BS40" s="348"/>
      <c r="BT40" s="922"/>
      <c r="BU40" s="923"/>
      <c r="BV40" s="348"/>
      <c r="BW40" s="922"/>
      <c r="BX40" s="928"/>
      <c r="BY40" s="923"/>
      <c r="BZ40" s="348"/>
      <c r="CA40" s="350"/>
      <c r="CB40" s="790"/>
      <c r="CC40" s="350"/>
      <c r="CD40" s="347"/>
      <c r="CE40" s="348"/>
      <c r="CF40" s="347"/>
      <c r="CG40" s="348"/>
      <c r="CH40" s="349"/>
      <c r="CI40" s="347"/>
      <c r="CJ40" s="348"/>
      <c r="CK40" s="347"/>
      <c r="CL40" s="348"/>
      <c r="CM40" s="347"/>
      <c r="CN40" s="348"/>
      <c r="CO40" s="347"/>
      <c r="CP40" s="348"/>
      <c r="CQ40" s="347"/>
      <c r="CR40" s="350"/>
      <c r="CS40" s="347"/>
      <c r="CT40" s="348"/>
      <c r="CU40" s="922"/>
      <c r="CV40" s="923"/>
      <c r="CW40" s="348"/>
      <c r="CX40" s="922"/>
      <c r="CY40" s="928"/>
      <c r="CZ40" s="923"/>
      <c r="DA40" s="348"/>
      <c r="DB40" s="350"/>
      <c r="DC40" s="790"/>
      <c r="DD40" s="350"/>
      <c r="DE40" s="347"/>
      <c r="DF40" s="348"/>
      <c r="DG40" s="347"/>
      <c r="DH40" s="348"/>
      <c r="DI40" s="347"/>
      <c r="DJ40" s="348"/>
      <c r="DK40" s="347"/>
      <c r="DL40" s="348"/>
      <c r="DM40" s="347"/>
      <c r="DN40" s="348"/>
      <c r="DO40" s="349"/>
      <c r="DP40" s="347"/>
    </row>
    <row r="41" spans="1:120" ht="17.45" customHeight="1" thickBot="1">
      <c r="A41" s="481">
        <v>12</v>
      </c>
      <c r="B41" s="503"/>
      <c r="C41" s="504"/>
      <c r="D41" s="505"/>
      <c r="E41" s="506"/>
      <c r="F41" s="505"/>
      <c r="G41" s="507"/>
      <c r="H41" s="352"/>
      <c r="I41" s="351"/>
      <c r="J41" s="352"/>
      <c r="K41" s="351"/>
      <c r="L41" s="352"/>
      <c r="M41" s="351"/>
      <c r="N41" s="506"/>
      <c r="O41" s="607"/>
      <c r="P41" s="352"/>
      <c r="Q41" s="351"/>
      <c r="R41" s="352"/>
      <c r="S41" s="354"/>
      <c r="T41" s="354"/>
      <c r="U41" s="351"/>
      <c r="V41" s="352"/>
      <c r="W41" s="351"/>
      <c r="X41" s="352"/>
      <c r="Y41" s="351"/>
      <c r="Z41" s="352"/>
      <c r="AA41" s="354"/>
      <c r="AB41" s="352"/>
      <c r="AC41" s="354"/>
      <c r="AD41" s="354"/>
      <c r="AE41" s="352"/>
      <c r="AF41" s="351"/>
      <c r="AG41" s="352"/>
      <c r="AH41" s="351"/>
      <c r="AI41" s="352"/>
      <c r="AJ41" s="354"/>
      <c r="AK41" s="375"/>
      <c r="AL41" s="351"/>
      <c r="AM41" s="352"/>
      <c r="AN41" s="354"/>
      <c r="AO41" s="351"/>
      <c r="AP41" s="354"/>
      <c r="AQ41" s="351"/>
      <c r="AR41" s="352"/>
      <c r="AS41" s="351"/>
      <c r="AT41" s="352"/>
      <c r="AU41" s="351"/>
      <c r="AV41" s="352"/>
      <c r="AW41" s="351"/>
      <c r="AX41" s="352"/>
      <c r="AY41" s="351"/>
      <c r="AZ41" s="352"/>
      <c r="BA41" s="924"/>
      <c r="BB41" s="925"/>
      <c r="BC41" s="352"/>
      <c r="BD41" s="924"/>
      <c r="BE41" s="929"/>
      <c r="BF41" s="925"/>
      <c r="BG41" s="354"/>
      <c r="BH41" s="354"/>
      <c r="BI41" s="375"/>
      <c r="BJ41" s="352"/>
      <c r="BK41" s="351"/>
      <c r="BL41" s="353"/>
      <c r="BM41" s="352"/>
      <c r="BN41" s="351"/>
      <c r="BO41" s="352"/>
      <c r="BP41" s="351"/>
      <c r="BQ41" s="863"/>
      <c r="BR41" s="351"/>
      <c r="BS41" s="352"/>
      <c r="BT41" s="924"/>
      <c r="BU41" s="925"/>
      <c r="BV41" s="352"/>
      <c r="BW41" s="924"/>
      <c r="BX41" s="929"/>
      <c r="BY41" s="925"/>
      <c r="BZ41" s="352"/>
      <c r="CA41" s="354"/>
      <c r="CB41" s="854"/>
      <c r="CC41" s="354"/>
      <c r="CD41" s="351"/>
      <c r="CE41" s="352"/>
      <c r="CF41" s="351"/>
      <c r="CG41" s="352"/>
      <c r="CH41" s="353"/>
      <c r="CI41" s="351"/>
      <c r="CJ41" s="352"/>
      <c r="CK41" s="351"/>
      <c r="CL41" s="352"/>
      <c r="CM41" s="351"/>
      <c r="CN41" s="352"/>
      <c r="CO41" s="351"/>
      <c r="CP41" s="352"/>
      <c r="CQ41" s="351"/>
      <c r="CR41" s="354"/>
      <c r="CS41" s="351"/>
      <c r="CT41" s="352"/>
      <c r="CU41" s="924"/>
      <c r="CV41" s="925"/>
      <c r="CW41" s="352"/>
      <c r="CX41" s="924"/>
      <c r="CY41" s="929"/>
      <c r="CZ41" s="925"/>
      <c r="DA41" s="352"/>
      <c r="DB41" s="354"/>
      <c r="DC41" s="854"/>
      <c r="DD41" s="354"/>
      <c r="DE41" s="351"/>
      <c r="DF41" s="352"/>
      <c r="DG41" s="351"/>
      <c r="DH41" s="352"/>
      <c r="DI41" s="351"/>
      <c r="DJ41" s="352"/>
      <c r="DK41" s="351"/>
      <c r="DL41" s="352"/>
      <c r="DM41" s="351"/>
      <c r="DN41" s="352"/>
      <c r="DO41" s="353"/>
      <c r="DP41" s="351"/>
    </row>
    <row r="42" spans="1:120" ht="17.45" customHeight="1" thickTop="1">
      <c r="A42" s="482">
        <v>13</v>
      </c>
      <c r="B42" s="498"/>
      <c r="C42" s="499"/>
      <c r="D42" s="500"/>
      <c r="E42" s="501"/>
      <c r="F42" s="500"/>
      <c r="G42" s="502"/>
      <c r="H42" s="348"/>
      <c r="I42" s="347"/>
      <c r="J42" s="348"/>
      <c r="K42" s="347"/>
      <c r="L42" s="348"/>
      <c r="M42" s="347"/>
      <c r="N42" s="501"/>
      <c r="O42" s="606"/>
      <c r="P42" s="348"/>
      <c r="Q42" s="347"/>
      <c r="R42" s="348"/>
      <c r="S42" s="350"/>
      <c r="T42" s="350"/>
      <c r="U42" s="347"/>
      <c r="V42" s="348"/>
      <c r="W42" s="347"/>
      <c r="X42" s="348"/>
      <c r="Y42" s="347"/>
      <c r="Z42" s="348"/>
      <c r="AA42" s="350"/>
      <c r="AB42" s="348"/>
      <c r="AC42" s="350"/>
      <c r="AD42" s="350"/>
      <c r="AE42" s="348"/>
      <c r="AF42" s="347"/>
      <c r="AG42" s="348"/>
      <c r="AH42" s="347"/>
      <c r="AI42" s="348"/>
      <c r="AJ42" s="350"/>
      <c r="AK42" s="374"/>
      <c r="AL42" s="347"/>
      <c r="AM42" s="348"/>
      <c r="AN42" s="350"/>
      <c r="AO42" s="347"/>
      <c r="AP42" s="350"/>
      <c r="AQ42" s="347"/>
      <c r="AR42" s="348"/>
      <c r="AS42" s="347"/>
      <c r="AT42" s="348"/>
      <c r="AU42" s="347"/>
      <c r="AV42" s="348"/>
      <c r="AW42" s="347"/>
      <c r="AX42" s="348"/>
      <c r="AY42" s="347"/>
      <c r="AZ42" s="348"/>
      <c r="BA42" s="922"/>
      <c r="BB42" s="923"/>
      <c r="BC42" s="348"/>
      <c r="BD42" s="922"/>
      <c r="BE42" s="928"/>
      <c r="BF42" s="923"/>
      <c r="BG42" s="350"/>
      <c r="BH42" s="350"/>
      <c r="BI42" s="374"/>
      <c r="BJ42" s="348"/>
      <c r="BK42" s="347"/>
      <c r="BL42" s="349"/>
      <c r="BM42" s="348"/>
      <c r="BN42" s="347"/>
      <c r="BO42" s="348"/>
      <c r="BP42" s="347"/>
      <c r="BQ42" s="862"/>
      <c r="BR42" s="347"/>
      <c r="BS42" s="348"/>
      <c r="BT42" s="922"/>
      <c r="BU42" s="923"/>
      <c r="BV42" s="348"/>
      <c r="BW42" s="922"/>
      <c r="BX42" s="928"/>
      <c r="BY42" s="923"/>
      <c r="BZ42" s="348"/>
      <c r="CA42" s="350"/>
      <c r="CB42" s="790"/>
      <c r="CC42" s="350"/>
      <c r="CD42" s="347"/>
      <c r="CE42" s="348"/>
      <c r="CF42" s="347"/>
      <c r="CG42" s="348"/>
      <c r="CH42" s="349"/>
      <c r="CI42" s="347"/>
      <c r="CJ42" s="348"/>
      <c r="CK42" s="347"/>
      <c r="CL42" s="348"/>
      <c r="CM42" s="347"/>
      <c r="CN42" s="348"/>
      <c r="CO42" s="347"/>
      <c r="CP42" s="348"/>
      <c r="CQ42" s="347"/>
      <c r="CR42" s="350"/>
      <c r="CS42" s="347"/>
      <c r="CT42" s="348"/>
      <c r="CU42" s="922"/>
      <c r="CV42" s="923"/>
      <c r="CW42" s="348"/>
      <c r="CX42" s="922"/>
      <c r="CY42" s="928"/>
      <c r="CZ42" s="923"/>
      <c r="DA42" s="348"/>
      <c r="DB42" s="350"/>
      <c r="DC42" s="790"/>
      <c r="DD42" s="350"/>
      <c r="DE42" s="347"/>
      <c r="DF42" s="348"/>
      <c r="DG42" s="347"/>
      <c r="DH42" s="348"/>
      <c r="DI42" s="347"/>
      <c r="DJ42" s="348"/>
      <c r="DK42" s="347"/>
      <c r="DL42" s="348"/>
      <c r="DM42" s="347"/>
      <c r="DN42" s="348"/>
      <c r="DO42" s="349"/>
      <c r="DP42" s="347"/>
    </row>
    <row r="43" spans="1:120" ht="17.45" customHeight="1">
      <c r="A43" s="480">
        <v>14</v>
      </c>
      <c r="B43" s="498"/>
      <c r="C43" s="499"/>
      <c r="D43" s="500"/>
      <c r="E43" s="501"/>
      <c r="F43" s="500"/>
      <c r="G43" s="502"/>
      <c r="H43" s="348"/>
      <c r="I43" s="347"/>
      <c r="J43" s="348"/>
      <c r="K43" s="347"/>
      <c r="L43" s="348"/>
      <c r="M43" s="347"/>
      <c r="N43" s="501"/>
      <c r="O43" s="606"/>
      <c r="P43" s="348"/>
      <c r="Q43" s="347"/>
      <c r="R43" s="348"/>
      <c r="S43" s="350"/>
      <c r="T43" s="350"/>
      <c r="U43" s="347"/>
      <c r="V43" s="348"/>
      <c r="W43" s="347"/>
      <c r="X43" s="348"/>
      <c r="Y43" s="347"/>
      <c r="Z43" s="348"/>
      <c r="AA43" s="350"/>
      <c r="AB43" s="348"/>
      <c r="AC43" s="350"/>
      <c r="AD43" s="350"/>
      <c r="AE43" s="348"/>
      <c r="AF43" s="347"/>
      <c r="AG43" s="348"/>
      <c r="AH43" s="347"/>
      <c r="AI43" s="348"/>
      <c r="AJ43" s="350"/>
      <c r="AK43" s="374"/>
      <c r="AL43" s="350"/>
      <c r="AM43" s="348"/>
      <c r="AN43" s="350"/>
      <c r="AO43" s="347"/>
      <c r="AP43" s="350"/>
      <c r="AQ43" s="347"/>
      <c r="AR43" s="348"/>
      <c r="AS43" s="347"/>
      <c r="AT43" s="348"/>
      <c r="AU43" s="347"/>
      <c r="AV43" s="348"/>
      <c r="AW43" s="347"/>
      <c r="AX43" s="348"/>
      <c r="AY43" s="347"/>
      <c r="AZ43" s="348"/>
      <c r="BA43" s="922"/>
      <c r="BB43" s="923"/>
      <c r="BC43" s="348"/>
      <c r="BD43" s="922"/>
      <c r="BE43" s="928"/>
      <c r="BF43" s="923"/>
      <c r="BG43" s="350"/>
      <c r="BH43" s="350"/>
      <c r="BI43" s="374"/>
      <c r="BJ43" s="348"/>
      <c r="BK43" s="347"/>
      <c r="BL43" s="349"/>
      <c r="BM43" s="348"/>
      <c r="BN43" s="347"/>
      <c r="BO43" s="348"/>
      <c r="BP43" s="347"/>
      <c r="BQ43" s="862"/>
      <c r="BR43" s="347"/>
      <c r="BS43" s="348"/>
      <c r="BT43" s="922"/>
      <c r="BU43" s="923"/>
      <c r="BV43" s="348"/>
      <c r="BW43" s="922"/>
      <c r="BX43" s="928"/>
      <c r="BY43" s="923"/>
      <c r="BZ43" s="348"/>
      <c r="CA43" s="350"/>
      <c r="CB43" s="790"/>
      <c r="CC43" s="350"/>
      <c r="CD43" s="347"/>
      <c r="CE43" s="348"/>
      <c r="CF43" s="347"/>
      <c r="CG43" s="348"/>
      <c r="CH43" s="349"/>
      <c r="CI43" s="347"/>
      <c r="CJ43" s="348"/>
      <c r="CK43" s="347"/>
      <c r="CL43" s="348"/>
      <c r="CM43" s="347"/>
      <c r="CN43" s="348"/>
      <c r="CO43" s="347"/>
      <c r="CP43" s="348"/>
      <c r="CQ43" s="347"/>
      <c r="CR43" s="350"/>
      <c r="CS43" s="347"/>
      <c r="CT43" s="348"/>
      <c r="CU43" s="922"/>
      <c r="CV43" s="923"/>
      <c r="CW43" s="348"/>
      <c r="CX43" s="922"/>
      <c r="CY43" s="928"/>
      <c r="CZ43" s="923"/>
      <c r="DA43" s="348"/>
      <c r="DB43" s="350"/>
      <c r="DC43" s="790"/>
      <c r="DD43" s="350"/>
      <c r="DE43" s="347"/>
      <c r="DF43" s="348"/>
      <c r="DG43" s="347"/>
      <c r="DH43" s="348"/>
      <c r="DI43" s="347"/>
      <c r="DJ43" s="348"/>
      <c r="DK43" s="347"/>
      <c r="DL43" s="348"/>
      <c r="DM43" s="347"/>
      <c r="DN43" s="348"/>
      <c r="DO43" s="349"/>
      <c r="DP43" s="347"/>
    </row>
    <row r="44" spans="1:120" ht="17.45" customHeight="1">
      <c r="A44" s="480">
        <v>15</v>
      </c>
      <c r="B44" s="498"/>
      <c r="C44" s="499"/>
      <c r="D44" s="500"/>
      <c r="E44" s="501"/>
      <c r="F44" s="500"/>
      <c r="G44" s="502"/>
      <c r="H44" s="348"/>
      <c r="I44" s="347"/>
      <c r="J44" s="348"/>
      <c r="K44" s="347"/>
      <c r="L44" s="348"/>
      <c r="M44" s="347"/>
      <c r="N44" s="501"/>
      <c r="O44" s="606"/>
      <c r="P44" s="348"/>
      <c r="Q44" s="347"/>
      <c r="R44" s="348"/>
      <c r="S44" s="350"/>
      <c r="T44" s="350"/>
      <c r="U44" s="347"/>
      <c r="V44" s="348"/>
      <c r="W44" s="347"/>
      <c r="X44" s="348"/>
      <c r="Y44" s="347"/>
      <c r="Z44" s="348"/>
      <c r="AA44" s="350"/>
      <c r="AB44" s="348"/>
      <c r="AC44" s="350"/>
      <c r="AD44" s="350"/>
      <c r="AE44" s="348"/>
      <c r="AF44" s="347"/>
      <c r="AG44" s="348"/>
      <c r="AH44" s="347"/>
      <c r="AI44" s="348"/>
      <c r="AJ44" s="350"/>
      <c r="AK44" s="374"/>
      <c r="AL44" s="350"/>
      <c r="AM44" s="348"/>
      <c r="AN44" s="350"/>
      <c r="AO44" s="347"/>
      <c r="AP44" s="350"/>
      <c r="AQ44" s="347"/>
      <c r="AR44" s="348"/>
      <c r="AS44" s="347"/>
      <c r="AT44" s="348"/>
      <c r="AU44" s="347"/>
      <c r="AV44" s="348"/>
      <c r="AW44" s="347"/>
      <c r="AX44" s="348"/>
      <c r="AY44" s="347"/>
      <c r="AZ44" s="348"/>
      <c r="BA44" s="922"/>
      <c r="BB44" s="923"/>
      <c r="BC44" s="348"/>
      <c r="BD44" s="922"/>
      <c r="BE44" s="928"/>
      <c r="BF44" s="923"/>
      <c r="BG44" s="350"/>
      <c r="BH44" s="350"/>
      <c r="BI44" s="374"/>
      <c r="BJ44" s="348"/>
      <c r="BK44" s="347"/>
      <c r="BL44" s="349"/>
      <c r="BM44" s="348"/>
      <c r="BN44" s="347"/>
      <c r="BO44" s="348"/>
      <c r="BP44" s="347"/>
      <c r="BQ44" s="862"/>
      <c r="BR44" s="347"/>
      <c r="BS44" s="348"/>
      <c r="BT44" s="922"/>
      <c r="BU44" s="923"/>
      <c r="BV44" s="348"/>
      <c r="BW44" s="922"/>
      <c r="BX44" s="928"/>
      <c r="BY44" s="923"/>
      <c r="BZ44" s="348"/>
      <c r="CA44" s="350"/>
      <c r="CB44" s="790"/>
      <c r="CC44" s="350"/>
      <c r="CD44" s="347"/>
      <c r="CE44" s="348"/>
      <c r="CF44" s="347"/>
      <c r="CG44" s="348"/>
      <c r="CH44" s="349"/>
      <c r="CI44" s="347"/>
      <c r="CJ44" s="348"/>
      <c r="CK44" s="347"/>
      <c r="CL44" s="348"/>
      <c r="CM44" s="347"/>
      <c r="CN44" s="348"/>
      <c r="CO44" s="347"/>
      <c r="CP44" s="348"/>
      <c r="CQ44" s="347"/>
      <c r="CR44" s="350"/>
      <c r="CS44" s="347"/>
      <c r="CT44" s="348"/>
      <c r="CU44" s="922"/>
      <c r="CV44" s="923"/>
      <c r="CW44" s="348"/>
      <c r="CX44" s="922"/>
      <c r="CY44" s="928"/>
      <c r="CZ44" s="923"/>
      <c r="DA44" s="348"/>
      <c r="DB44" s="350"/>
      <c r="DC44" s="790"/>
      <c r="DD44" s="350"/>
      <c r="DE44" s="347"/>
      <c r="DF44" s="348"/>
      <c r="DG44" s="347"/>
      <c r="DH44" s="348"/>
      <c r="DI44" s="347"/>
      <c r="DJ44" s="348"/>
      <c r="DK44" s="347"/>
      <c r="DL44" s="348"/>
      <c r="DM44" s="347"/>
      <c r="DN44" s="348"/>
      <c r="DO44" s="349"/>
      <c r="DP44" s="347"/>
    </row>
  </sheetData>
  <mergeCells count="296">
    <mergeCell ref="AG3:AO3"/>
    <mergeCell ref="Z3:AF3"/>
    <mergeCell ref="CP3:CS4"/>
    <mergeCell ref="CP6:CQ15"/>
    <mergeCell ref="CR6:CS14"/>
    <mergeCell ref="AZ18:BB20"/>
    <mergeCell ref="BC18:BF20"/>
    <mergeCell ref="CC3:CO3"/>
    <mergeCell ref="CJ4:CK4"/>
    <mergeCell ref="CL4:CM4"/>
    <mergeCell ref="CN4:CO4"/>
    <mergeCell ref="CL6:CM15"/>
    <mergeCell ref="BQ3:CB3"/>
    <mergeCell ref="AG4:AH4"/>
    <mergeCell ref="AP3:AY3"/>
    <mergeCell ref="AR4:AS4"/>
    <mergeCell ref="AT4:AU4"/>
    <mergeCell ref="BJ5:BK12"/>
    <mergeCell ref="AZ3:BF3"/>
    <mergeCell ref="BG3:BP3"/>
    <mergeCell ref="AK11:AK12"/>
    <mergeCell ref="BG5:BI6"/>
    <mergeCell ref="Z11:AA14"/>
    <mergeCell ref="AI11:AJ12"/>
    <mergeCell ref="DC21:DC22"/>
    <mergeCell ref="DC26:DC27"/>
    <mergeCell ref="CP5:CQ5"/>
    <mergeCell ref="CT27:CT29"/>
    <mergeCell ref="DA4:DC4"/>
    <mergeCell ref="DA5:DC6"/>
    <mergeCell ref="CW4:CZ4"/>
    <mergeCell ref="Z4:AA4"/>
    <mergeCell ref="AB4:AD4"/>
    <mergeCell ref="AE4:AF4"/>
    <mergeCell ref="BS27:BS29"/>
    <mergeCell ref="BS4:BU4"/>
    <mergeCell ref="AG5:AH21"/>
    <mergeCell ref="AI22:AJ24"/>
    <mergeCell ref="AK22:AK24"/>
    <mergeCell ref="AM14:AM15"/>
    <mergeCell ref="AO14:AO15"/>
    <mergeCell ref="AN14:AN15"/>
    <mergeCell ref="AP4:AQ4"/>
    <mergeCell ref="AM11:AM12"/>
    <mergeCell ref="BJ21:BJ22"/>
    <mergeCell ref="BJ18:BJ19"/>
    <mergeCell ref="AI18:AJ19"/>
    <mergeCell ref="AK18:AK19"/>
    <mergeCell ref="AE5:AF15"/>
    <mergeCell ref="AI15:AJ16"/>
    <mergeCell ref="AA23:AA24"/>
    <mergeCell ref="CG5:CI12"/>
    <mergeCell ref="CG4:CI4"/>
    <mergeCell ref="CG20:CI23"/>
    <mergeCell ref="CG24:CI24"/>
    <mergeCell ref="CG13:CI17"/>
    <mergeCell ref="CE4:CF4"/>
    <mergeCell ref="AI17:AJ17"/>
    <mergeCell ref="BK16:BK17"/>
    <mergeCell ref="AC19:AC20"/>
    <mergeCell ref="AG24:AH24"/>
    <mergeCell ref="AI20:AJ21"/>
    <mergeCell ref="AV5:AW18"/>
    <mergeCell ref="AX5:AY24"/>
    <mergeCell ref="AB23:AB25"/>
    <mergeCell ref="AB19:AB20"/>
    <mergeCell ref="AB21:AB22"/>
    <mergeCell ref="AI13:AJ14"/>
    <mergeCell ref="AL18:AL19"/>
    <mergeCell ref="AL15:AL17"/>
    <mergeCell ref="BV4:BY4"/>
    <mergeCell ref="BQ4:BR4"/>
    <mergeCell ref="Z18:Z19"/>
    <mergeCell ref="Z20:Z22"/>
    <mergeCell ref="AK13:AK14"/>
    <mergeCell ref="AK15:AK16"/>
    <mergeCell ref="AT5:AU25"/>
    <mergeCell ref="CC21:CC22"/>
    <mergeCell ref="CD21:CD22"/>
    <mergeCell ref="P3:Y3"/>
    <mergeCell ref="R16:S17"/>
    <mergeCell ref="R12:S14"/>
    <mergeCell ref="T12:T14"/>
    <mergeCell ref="T16:T17"/>
    <mergeCell ref="U16:U17"/>
    <mergeCell ref="R18:S18"/>
    <mergeCell ref="R5:U7"/>
    <mergeCell ref="BM4:BN4"/>
    <mergeCell ref="BO4:BP4"/>
    <mergeCell ref="AI4:AL4"/>
    <mergeCell ref="AB5:AD14"/>
    <mergeCell ref="AI5:AL8"/>
    <mergeCell ref="BL16:BL28"/>
    <mergeCell ref="AC21:AC22"/>
    <mergeCell ref="AI28:AJ28"/>
    <mergeCell ref="AE20:AE23"/>
    <mergeCell ref="E3:F3"/>
    <mergeCell ref="B3:D3"/>
    <mergeCell ref="X4:Y4"/>
    <mergeCell ref="V4:W4"/>
    <mergeCell ref="R4:U4"/>
    <mergeCell ref="P4:Q4"/>
    <mergeCell ref="H5:I25"/>
    <mergeCell ref="B4:D17"/>
    <mergeCell ref="E4:F14"/>
    <mergeCell ref="N5:O21"/>
    <mergeCell ref="P5:Q15"/>
    <mergeCell ref="G4:G14"/>
    <mergeCell ref="R20:S21"/>
    <mergeCell ref="R19:S19"/>
    <mergeCell ref="R24:S24"/>
    <mergeCell ref="T20:T21"/>
    <mergeCell ref="N4:O4"/>
    <mergeCell ref="V5:W18"/>
    <mergeCell ref="X5:Y19"/>
    <mergeCell ref="G22:G25"/>
    <mergeCell ref="L4:M4"/>
    <mergeCell ref="J4:K4"/>
    <mergeCell ref="H4:I4"/>
    <mergeCell ref="H3:O3"/>
    <mergeCell ref="DN16:DP18"/>
    <mergeCell ref="DN20:DP23"/>
    <mergeCell ref="DL5:DM25"/>
    <mergeCell ref="DN5:DP12"/>
    <mergeCell ref="AK20:AK21"/>
    <mergeCell ref="BJ16:BJ17"/>
    <mergeCell ref="AR5:AS25"/>
    <mergeCell ref="CD23:CD24"/>
    <mergeCell ref="CC23:CC24"/>
    <mergeCell ref="BJ23:BJ24"/>
    <mergeCell ref="BK23:BK24"/>
    <mergeCell ref="BC21:BF26"/>
    <mergeCell ref="AM20:AM21"/>
    <mergeCell ref="AN20:AN21"/>
    <mergeCell ref="BK18:BK19"/>
    <mergeCell ref="BK21:BK22"/>
    <mergeCell ref="AM16:AM17"/>
    <mergeCell ref="AZ14:BB15"/>
    <mergeCell ref="BL5:BL14"/>
    <mergeCell ref="BS11:BU12"/>
    <mergeCell ref="BQ14:BR15"/>
    <mergeCell ref="BQ5:BR12"/>
    <mergeCell ref="BV20:BY22"/>
    <mergeCell ref="BS20:BU22"/>
    <mergeCell ref="AM4:AO4"/>
    <mergeCell ref="BZ4:CB4"/>
    <mergeCell ref="BC12:BF14"/>
    <mergeCell ref="BC15:BF16"/>
    <mergeCell ref="AP5:AQ22"/>
    <mergeCell ref="BI21:BI22"/>
    <mergeCell ref="AM5:AO8"/>
    <mergeCell ref="AN11:AN12"/>
    <mergeCell ref="AZ12:BB13"/>
    <mergeCell ref="AN16:AN17"/>
    <mergeCell ref="AZ5:BB8"/>
    <mergeCell ref="BC5:BF9"/>
    <mergeCell ref="AZ4:BB4"/>
    <mergeCell ref="BC4:BF4"/>
    <mergeCell ref="BG4:BI4"/>
    <mergeCell ref="BJ4:BK4"/>
    <mergeCell ref="AV4:AW4"/>
    <mergeCell ref="AX4:AY4"/>
    <mergeCell ref="DL3:DP3"/>
    <mergeCell ref="DO27:DO28"/>
    <mergeCell ref="DN26:DO26"/>
    <mergeCell ref="DD4:DE4"/>
    <mergeCell ref="DL4:DM4"/>
    <mergeCell ref="CR5:CS5"/>
    <mergeCell ref="CT3:DC3"/>
    <mergeCell ref="CT4:CV4"/>
    <mergeCell ref="DN4:DP4"/>
    <mergeCell ref="DH4:DI4"/>
    <mergeCell ref="DF4:DG4"/>
    <mergeCell ref="DJ4:DK4"/>
    <mergeCell ref="DN24:DP24"/>
    <mergeCell ref="DD16:DD17"/>
    <mergeCell ref="DD5:DE12"/>
    <mergeCell ref="DJ6:DK17"/>
    <mergeCell ref="DH6:DI14"/>
    <mergeCell ref="DF6:DG12"/>
    <mergeCell ref="DF5:DK5"/>
    <mergeCell ref="CW15:CZ19"/>
    <mergeCell ref="CT15:CV19"/>
    <mergeCell ref="CW21:CZ23"/>
    <mergeCell ref="DE23:DE24"/>
    <mergeCell ref="DP26:DP28"/>
    <mergeCell ref="A3:A29"/>
    <mergeCell ref="BO26:BP26"/>
    <mergeCell ref="BO29:BP29"/>
    <mergeCell ref="DD3:DK3"/>
    <mergeCell ref="BD27:BF29"/>
    <mergeCell ref="CC5:CD12"/>
    <mergeCell ref="CC16:CC17"/>
    <mergeCell ref="CD16:CD17"/>
    <mergeCell ref="CC18:CC19"/>
    <mergeCell ref="CD18:CD19"/>
    <mergeCell ref="CB21:CB22"/>
    <mergeCell ref="BM5:BN25"/>
    <mergeCell ref="BO5:BP21"/>
    <mergeCell ref="CC4:CD4"/>
    <mergeCell ref="BI26:BI27"/>
    <mergeCell ref="AC26:AC28"/>
    <mergeCell ref="Z28:AA28"/>
    <mergeCell ref="AM24:AM25"/>
    <mergeCell ref="Z23:Z24"/>
    <mergeCell ref="Z25:Z27"/>
    <mergeCell ref="AM22:AM23"/>
    <mergeCell ref="AN22:AN23"/>
    <mergeCell ref="AE24:AE27"/>
    <mergeCell ref="AF24:AF27"/>
    <mergeCell ref="DN27:DN28"/>
    <mergeCell ref="CN28:CO29"/>
    <mergeCell ref="CU27:CV29"/>
    <mergeCell ref="BV27:BV29"/>
    <mergeCell ref="BT27:BU29"/>
    <mergeCell ref="DE18:DE19"/>
    <mergeCell ref="DD18:DD19"/>
    <mergeCell ref="DE16:DE17"/>
    <mergeCell ref="CR15:CS16"/>
    <mergeCell ref="BS13:BU15"/>
    <mergeCell ref="DJ28:DK29"/>
    <mergeCell ref="CJ15:CK22"/>
    <mergeCell ref="CN6:CO17"/>
    <mergeCell ref="CT12:CV13"/>
    <mergeCell ref="CW12:CZ13"/>
    <mergeCell ref="CT21:CV24"/>
    <mergeCell ref="CJ28:CK29"/>
    <mergeCell ref="CL28:CM29"/>
    <mergeCell ref="DE21:DE22"/>
    <mergeCell ref="CX27:CZ29"/>
    <mergeCell ref="CR17:CS25"/>
    <mergeCell ref="CT5:CV7"/>
    <mergeCell ref="DF28:DG29"/>
    <mergeCell ref="BV11:BY12"/>
    <mergeCell ref="B28:D28"/>
    <mergeCell ref="G28:G29"/>
    <mergeCell ref="AX28:AY28"/>
    <mergeCell ref="AM26:AM27"/>
    <mergeCell ref="AN26:AN27"/>
    <mergeCell ref="V26:V28"/>
    <mergeCell ref="W26:W28"/>
    <mergeCell ref="AB26:AB28"/>
    <mergeCell ref="AD26:AD28"/>
    <mergeCell ref="AA25:AA27"/>
    <mergeCell ref="AI29:AL29"/>
    <mergeCell ref="AM29:AO29"/>
    <mergeCell ref="J5:K25"/>
    <mergeCell ref="L5:M25"/>
    <mergeCell ref="N25:O25"/>
    <mergeCell ref="P16:Q25"/>
    <mergeCell ref="R22:S22"/>
    <mergeCell ref="R25:S27"/>
    <mergeCell ref="T25:T27"/>
    <mergeCell ref="W23:W24"/>
    <mergeCell ref="V23:V25"/>
    <mergeCell ref="R23:S23"/>
    <mergeCell ref="R15:S15"/>
    <mergeCell ref="Z15:Z17"/>
    <mergeCell ref="CW5:CZ7"/>
    <mergeCell ref="R28:S28"/>
    <mergeCell ref="DH28:DI29"/>
    <mergeCell ref="DF16:DG22"/>
    <mergeCell ref="DD23:DD24"/>
    <mergeCell ref="DD21:DD22"/>
    <mergeCell ref="CW27:CW29"/>
    <mergeCell ref="AI25:AJ27"/>
    <mergeCell ref="AK25:AK27"/>
    <mergeCell ref="AC23:AC25"/>
    <mergeCell ref="AD23:AD25"/>
    <mergeCell ref="AL23:AL24"/>
    <mergeCell ref="AD19:AD22"/>
    <mergeCell ref="AL25:AL26"/>
    <mergeCell ref="AN24:AN25"/>
    <mergeCell ref="AZ27:AZ29"/>
    <mergeCell ref="BA27:BB29"/>
    <mergeCell ref="BC27:BC29"/>
    <mergeCell ref="BV16:BY18"/>
    <mergeCell ref="BW27:BY29"/>
    <mergeCell ref="AA20:AA22"/>
    <mergeCell ref="AA18:AA19"/>
    <mergeCell ref="AA15:AA17"/>
    <mergeCell ref="Z5:AA10"/>
    <mergeCell ref="CB26:CB27"/>
    <mergeCell ref="CH27:CH28"/>
    <mergeCell ref="CG26:CH26"/>
    <mergeCell ref="CI26:CI28"/>
    <mergeCell ref="CG27:CG28"/>
    <mergeCell ref="CE5:CF25"/>
    <mergeCell ref="BS16:BU18"/>
    <mergeCell ref="BQ16:BR24"/>
    <mergeCell ref="CJ5:CO5"/>
    <mergeCell ref="CJ6:CK12"/>
    <mergeCell ref="BZ5:CB6"/>
    <mergeCell ref="BS5:BU7"/>
    <mergeCell ref="BV5:BY6"/>
    <mergeCell ref="BV13:BY15"/>
  </mergeCells>
  <pageMargins left="0.45" right="0.45" top="0.75" bottom="0.5" header="0.3" footer="0.3"/>
  <pageSetup paperSize="9" scale="80" orientation="landscape" r:id="rId1"/>
  <colBreaks count="7" manualBreakCount="7">
    <brk id="25" max="44" man="1"/>
    <brk id="41" max="44" man="1"/>
    <brk id="58" max="44" man="1"/>
    <brk id="68" max="1048575" man="1"/>
    <brk id="80" max="43" man="1"/>
    <brk id="97" max="43" man="1"/>
    <brk id="107" max="43" man="1"/>
  </colBreaks>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I36"/>
  <sheetViews>
    <sheetView showGridLines="0" view="pageBreakPreview" topLeftCell="AO1" zoomScaleSheetLayoutView="100" workbookViewId="0">
      <selection activeCell="BD25" sqref="BD25"/>
    </sheetView>
  </sheetViews>
  <sheetFormatPr defaultColWidth="2.7109375" defaultRowHeight="18"/>
  <cols>
    <col min="1" max="1" width="3.5703125" style="219" customWidth="1"/>
    <col min="2" max="2" width="5.42578125" style="219" customWidth="1"/>
    <col min="3" max="3" width="4.85546875" style="219" customWidth="1"/>
    <col min="4" max="4" width="9.28515625" style="219" customWidth="1"/>
    <col min="5" max="5" width="5.5703125" style="341" customWidth="1"/>
    <col min="6" max="6" width="5.28515625" style="341" customWidth="1"/>
    <col min="7" max="7" width="11.7109375" style="99" customWidth="1"/>
    <col min="8" max="8" width="9.85546875" style="99" customWidth="1"/>
    <col min="9" max="9" width="2.85546875" style="99" customWidth="1"/>
    <col min="10" max="10" width="5.85546875" style="99" customWidth="1"/>
    <col min="11" max="11" width="9.7109375" style="341" customWidth="1"/>
    <col min="12" max="12" width="2.85546875" style="341" customWidth="1"/>
    <col min="13" max="13" width="5.7109375" style="219" customWidth="1"/>
    <col min="14" max="14" width="5.42578125" style="219" customWidth="1"/>
    <col min="15" max="21" width="11.85546875" style="219" customWidth="1"/>
    <col min="22" max="22" width="16" style="219" customWidth="1"/>
    <col min="23" max="23" width="4.140625" style="219" customWidth="1"/>
    <col min="24" max="24" width="6.28515625" style="219" customWidth="1"/>
    <col min="25" max="25" width="5.42578125" style="219" customWidth="1"/>
    <col min="26" max="26" width="12.7109375" style="219" customWidth="1"/>
    <col min="27" max="27" width="17.42578125" style="219" customWidth="1"/>
    <col min="28" max="28" width="13.7109375" style="219" customWidth="1"/>
    <col min="29" max="29" width="17.42578125" style="219" customWidth="1"/>
    <col min="30" max="30" width="15.7109375" style="219" customWidth="1"/>
    <col min="31" max="31" width="14.7109375" style="219" customWidth="1"/>
    <col min="32" max="32" width="15.7109375" style="219" customWidth="1"/>
    <col min="33" max="33" width="14.85546875" style="219" customWidth="1"/>
    <col min="34" max="34" width="15.140625" style="219" customWidth="1"/>
    <col min="35" max="35" width="25.28515625" style="219" customWidth="1"/>
    <col min="36" max="36" width="3.42578125" style="219" customWidth="1"/>
    <col min="37" max="37" width="7.28515625" style="219" customWidth="1"/>
    <col min="38" max="38" width="6" style="219" customWidth="1"/>
    <col min="39" max="43" width="22.7109375" style="219" customWidth="1"/>
    <col min="44" max="44" width="22.140625" style="219" customWidth="1"/>
    <col min="45" max="45" width="3.85546875" style="219" customWidth="1"/>
    <col min="46" max="46" width="5.85546875" style="219" customWidth="1"/>
    <col min="47" max="47" width="5.28515625" style="219" customWidth="1"/>
    <col min="48" max="48" width="13.28515625" style="219" customWidth="1"/>
    <col min="49" max="49" width="12.28515625" style="219" customWidth="1"/>
    <col min="50" max="50" width="12.140625" style="219" customWidth="1"/>
    <col min="51" max="51" width="13" style="219" customWidth="1"/>
    <col min="52" max="52" width="13.85546875" style="219" customWidth="1"/>
    <col min="53" max="53" width="12.28515625" style="219" customWidth="1"/>
    <col min="54" max="54" width="5.85546875" style="219" customWidth="1"/>
    <col min="55" max="55" width="5.7109375" style="219" customWidth="1"/>
    <col min="56" max="56" width="14.28515625" style="219" customWidth="1"/>
    <col min="57" max="59" width="13.28515625" style="219" customWidth="1"/>
    <col min="60" max="60" width="12.7109375" style="219" customWidth="1"/>
    <col min="61" max="61" width="13.28515625" style="219" customWidth="1"/>
    <col min="62" max="16384" width="2.7109375" style="219"/>
  </cols>
  <sheetData>
    <row r="1" spans="1:61">
      <c r="A1" s="1" t="s">
        <v>581</v>
      </c>
      <c r="B1" s="217"/>
      <c r="C1" s="217"/>
      <c r="D1" s="217"/>
      <c r="M1" s="217"/>
      <c r="N1" s="217"/>
      <c r="O1" s="217"/>
      <c r="P1" s="217"/>
      <c r="Q1" s="217"/>
      <c r="R1" s="217"/>
      <c r="S1" s="217"/>
      <c r="T1" s="217"/>
      <c r="U1" s="217"/>
      <c r="V1" s="947" t="s">
        <v>582</v>
      </c>
      <c r="W1" s="1" t="s">
        <v>581</v>
      </c>
      <c r="X1" s="218"/>
      <c r="Y1" s="218"/>
      <c r="AA1" s="216"/>
      <c r="AB1" s="216"/>
      <c r="AC1" s="216"/>
      <c r="AD1" s="216"/>
      <c r="AE1" s="216"/>
      <c r="AF1" s="216"/>
      <c r="AG1" s="216"/>
      <c r="AH1" s="216"/>
      <c r="AI1" s="245" t="s">
        <v>582</v>
      </c>
      <c r="AJ1" s="3" t="s">
        <v>583</v>
      </c>
      <c r="AL1" s="220"/>
      <c r="AN1" s="221"/>
      <c r="AO1" s="221"/>
      <c r="AP1" s="221"/>
      <c r="AQ1" s="221"/>
      <c r="AR1" s="947" t="s">
        <v>582</v>
      </c>
      <c r="AS1" s="3" t="s">
        <v>583</v>
      </c>
      <c r="AT1" s="225"/>
      <c r="AU1" s="225"/>
      <c r="AV1" s="226"/>
      <c r="AW1" s="227"/>
      <c r="AX1" s="227"/>
      <c r="AY1" s="227"/>
      <c r="AZ1" s="227"/>
      <c r="BA1" s="227"/>
      <c r="BB1" s="227"/>
      <c r="BC1" s="227"/>
      <c r="BD1" s="227"/>
      <c r="BE1" s="227"/>
      <c r="BF1" s="227"/>
      <c r="BG1" s="227"/>
      <c r="BH1" s="227"/>
      <c r="BI1" s="947" t="s">
        <v>584</v>
      </c>
    </row>
    <row r="2" spans="1:61" ht="15.75" customHeight="1">
      <c r="B2" s="1591" t="s">
        <v>62</v>
      </c>
      <c r="C2" s="216"/>
      <c r="D2" s="216"/>
      <c r="E2" s="1593"/>
      <c r="F2" s="1593"/>
      <c r="G2" s="1593"/>
      <c r="H2" s="1593"/>
      <c r="I2" s="1593"/>
      <c r="J2" s="1593"/>
      <c r="K2" s="1593"/>
      <c r="L2" s="1593"/>
      <c r="M2" s="216"/>
      <c r="N2" s="216"/>
      <c r="O2" s="50"/>
      <c r="P2" s="216"/>
      <c r="Q2" s="50"/>
      <c r="R2" s="50"/>
      <c r="S2" s="50"/>
      <c r="T2" s="50"/>
      <c r="U2" s="50"/>
      <c r="V2" s="401" t="s">
        <v>296</v>
      </c>
      <c r="W2" s="50"/>
      <c r="X2" s="307" t="s">
        <v>296</v>
      </c>
      <c r="Y2" s="50"/>
      <c r="Z2" s="50"/>
      <c r="AA2" s="50"/>
      <c r="AB2" s="50"/>
      <c r="AC2" s="50"/>
      <c r="AD2" s="50"/>
      <c r="AE2" s="50"/>
      <c r="AF2" s="50"/>
      <c r="AG2" s="50"/>
      <c r="AH2" s="50"/>
      <c r="AI2" s="50"/>
      <c r="AJ2" s="50"/>
      <c r="AK2" s="307" t="s">
        <v>296</v>
      </c>
      <c r="AL2" s="50"/>
      <c r="AM2" s="50"/>
      <c r="AN2" s="50"/>
      <c r="AO2" s="50"/>
      <c r="AP2" s="50"/>
      <c r="AQ2" s="50"/>
      <c r="AR2" s="50"/>
      <c r="AS2" s="47"/>
      <c r="AT2" s="307" t="s">
        <v>296</v>
      </c>
      <c r="AU2" s="47"/>
      <c r="AV2" s="47"/>
      <c r="AW2" s="47"/>
      <c r="AX2" s="47"/>
      <c r="AY2" s="47"/>
      <c r="AZ2" s="47"/>
      <c r="BA2" s="47"/>
      <c r="BB2" s="47"/>
      <c r="BC2" s="47"/>
      <c r="BD2" s="47"/>
      <c r="BE2" s="47"/>
      <c r="BF2" s="47"/>
      <c r="BG2" s="47"/>
      <c r="BH2" s="47"/>
      <c r="BI2" s="1585" t="s">
        <v>63</v>
      </c>
    </row>
    <row r="3" spans="1:61" s="302" customFormat="1" ht="16.899999999999999" customHeight="1">
      <c r="A3" s="2295" t="s">
        <v>64</v>
      </c>
      <c r="B3" s="2298">
        <v>-5.01</v>
      </c>
      <c r="C3" s="2299"/>
      <c r="D3" s="508">
        <f>B3-0.01</f>
        <v>-5.0199999999999996</v>
      </c>
      <c r="E3" s="2273">
        <f>+D3-0.01</f>
        <v>-5.0299999999999994</v>
      </c>
      <c r="F3" s="2274"/>
      <c r="G3" s="2008">
        <f>+E3-0.01</f>
        <v>-5.0399999999999991</v>
      </c>
      <c r="H3" s="2009"/>
      <c r="I3" s="2009"/>
      <c r="J3" s="2010"/>
      <c r="K3" s="2008">
        <f>G3-0.01</f>
        <v>-5.0499999999999989</v>
      </c>
      <c r="L3" s="2009"/>
      <c r="M3" s="2273">
        <f>K3-0.01</f>
        <v>-5.0599999999999987</v>
      </c>
      <c r="N3" s="2274"/>
      <c r="O3" s="2536" t="s">
        <v>585</v>
      </c>
      <c r="P3" s="2537"/>
      <c r="Q3" s="2537"/>
      <c r="R3" s="2537"/>
      <c r="S3" s="2537"/>
      <c r="T3" s="2537"/>
      <c r="U3" s="2537"/>
      <c r="V3" s="2538"/>
      <c r="W3" s="2570" t="s">
        <v>64</v>
      </c>
      <c r="X3" s="2273">
        <f>V9-0.01</f>
        <v>-5.1499999999999968</v>
      </c>
      <c r="Y3" s="2274"/>
      <c r="Z3" s="2536" t="s">
        <v>586</v>
      </c>
      <c r="AA3" s="2537"/>
      <c r="AB3" s="2537"/>
      <c r="AC3" s="2537"/>
      <c r="AD3" s="2537"/>
      <c r="AE3" s="2537"/>
      <c r="AF3" s="2537"/>
      <c r="AG3" s="2537"/>
      <c r="AH3" s="2537"/>
      <c r="AI3" s="2538"/>
      <c r="AJ3" s="2570" t="s">
        <v>64</v>
      </c>
      <c r="AK3" s="2273">
        <f>AI9-0.01</f>
        <v>-5.2599999999999945</v>
      </c>
      <c r="AL3" s="2274"/>
      <c r="AM3" s="2536" t="s">
        <v>587</v>
      </c>
      <c r="AN3" s="2537"/>
      <c r="AO3" s="2537"/>
      <c r="AP3" s="2537"/>
      <c r="AQ3" s="2537"/>
      <c r="AR3" s="2538"/>
      <c r="AS3" s="2161" t="s">
        <v>64</v>
      </c>
      <c r="AT3" s="2552">
        <f>-AR9-0.01</f>
        <v>-5.329999999999993</v>
      </c>
      <c r="AU3" s="2553"/>
      <c r="AV3" s="2563" t="s">
        <v>588</v>
      </c>
      <c r="AW3" s="2563"/>
      <c r="AX3" s="2563"/>
      <c r="AY3" s="2563"/>
      <c r="AZ3" s="2563"/>
      <c r="BA3" s="2563"/>
      <c r="BB3" s="2554">
        <f>-BA9-0.01</f>
        <v>-5.3999999999999915</v>
      </c>
      <c r="BC3" s="2555"/>
      <c r="BD3" s="2544" t="s">
        <v>589</v>
      </c>
      <c r="BE3" s="2545"/>
      <c r="BF3" s="2545"/>
      <c r="BG3" s="2545"/>
      <c r="BH3" s="2545"/>
      <c r="BI3" s="2546"/>
    </row>
    <row r="4" spans="1:61" ht="16.899999999999999" customHeight="1">
      <c r="A4" s="2296"/>
      <c r="B4" s="2577" t="s">
        <v>193</v>
      </c>
      <c r="C4" s="2578"/>
      <c r="D4" s="2572" t="s">
        <v>194</v>
      </c>
      <c r="E4" s="2345" t="s">
        <v>590</v>
      </c>
      <c r="F4" s="2346"/>
      <c r="G4" s="2513" t="s">
        <v>591</v>
      </c>
      <c r="H4" s="2514"/>
      <c r="I4" s="2514"/>
      <c r="J4" s="2515"/>
      <c r="K4" s="2345" t="s">
        <v>592</v>
      </c>
      <c r="L4" s="2346"/>
      <c r="M4" s="2534" t="s">
        <v>593</v>
      </c>
      <c r="N4" s="2535"/>
      <c r="O4" s="2539"/>
      <c r="P4" s="2540"/>
      <c r="Q4" s="2540"/>
      <c r="R4" s="2540"/>
      <c r="S4" s="2540"/>
      <c r="T4" s="2540"/>
      <c r="U4" s="2540"/>
      <c r="V4" s="2541"/>
      <c r="W4" s="2569"/>
      <c r="X4" s="2534" t="s">
        <v>594</v>
      </c>
      <c r="Y4" s="2535"/>
      <c r="Z4" s="2539"/>
      <c r="AA4" s="2540"/>
      <c r="AB4" s="2540"/>
      <c r="AC4" s="2540"/>
      <c r="AD4" s="2540"/>
      <c r="AE4" s="2540"/>
      <c r="AF4" s="2540"/>
      <c r="AG4" s="2540"/>
      <c r="AH4" s="2540"/>
      <c r="AI4" s="2541"/>
      <c r="AJ4" s="2569"/>
      <c r="AK4" s="2534" t="s">
        <v>595</v>
      </c>
      <c r="AL4" s="2535"/>
      <c r="AM4" s="2539"/>
      <c r="AN4" s="2540"/>
      <c r="AO4" s="2540"/>
      <c r="AP4" s="2540"/>
      <c r="AQ4" s="2540"/>
      <c r="AR4" s="2541"/>
      <c r="AS4" s="2162"/>
      <c r="AT4" s="2560" t="s">
        <v>596</v>
      </c>
      <c r="AU4" s="2560"/>
      <c r="AV4" s="2564"/>
      <c r="AW4" s="2564"/>
      <c r="AX4" s="2564"/>
      <c r="AY4" s="2564"/>
      <c r="AZ4" s="2564"/>
      <c r="BA4" s="2564"/>
      <c r="BB4" s="1955" t="s">
        <v>597</v>
      </c>
      <c r="BC4" s="1957"/>
      <c r="BD4" s="2547"/>
      <c r="BE4" s="2548"/>
      <c r="BF4" s="2548"/>
      <c r="BG4" s="2548"/>
      <c r="BH4" s="2548"/>
      <c r="BI4" s="2549"/>
    </row>
    <row r="5" spans="1:61" ht="16.899999999999999" customHeight="1">
      <c r="A5" s="2296"/>
      <c r="B5" s="2577"/>
      <c r="C5" s="2578"/>
      <c r="D5" s="2572"/>
      <c r="E5" s="2345"/>
      <c r="F5" s="2346"/>
      <c r="G5" s="2513"/>
      <c r="H5" s="2514"/>
      <c r="I5" s="2514"/>
      <c r="J5" s="2515"/>
      <c r="K5" s="2345"/>
      <c r="L5" s="2346"/>
      <c r="M5" s="2534"/>
      <c r="N5" s="2535"/>
      <c r="O5" s="2528" t="s">
        <v>598</v>
      </c>
      <c r="P5" s="2529"/>
      <c r="Q5" s="2529"/>
      <c r="R5" s="2529"/>
      <c r="S5" s="2529"/>
      <c r="T5" s="2529"/>
      <c r="U5" s="2529"/>
      <c r="V5" s="2530"/>
      <c r="W5" s="2569"/>
      <c r="X5" s="2534"/>
      <c r="Y5" s="2535"/>
      <c r="Z5" s="2528" t="s">
        <v>598</v>
      </c>
      <c r="AA5" s="2529"/>
      <c r="AB5" s="2529"/>
      <c r="AC5" s="2529"/>
      <c r="AD5" s="2529"/>
      <c r="AE5" s="2529"/>
      <c r="AF5" s="2529"/>
      <c r="AG5" s="2529"/>
      <c r="AH5" s="2529"/>
      <c r="AI5" s="2530"/>
      <c r="AJ5" s="2569"/>
      <c r="AK5" s="2534"/>
      <c r="AL5" s="2535"/>
      <c r="AM5" s="2528" t="s">
        <v>599</v>
      </c>
      <c r="AN5" s="2529"/>
      <c r="AO5" s="2529"/>
      <c r="AP5" s="2529"/>
      <c r="AQ5" s="2529"/>
      <c r="AR5" s="2530"/>
      <c r="AS5" s="2162"/>
      <c r="AT5" s="2560"/>
      <c r="AU5" s="2560"/>
      <c r="AV5" s="2557" t="s">
        <v>600</v>
      </c>
      <c r="AW5" s="2558"/>
      <c r="AX5" s="2558"/>
      <c r="AY5" s="2558"/>
      <c r="AZ5" s="2558"/>
      <c r="BA5" s="2559"/>
      <c r="BB5" s="1955"/>
      <c r="BC5" s="1957"/>
      <c r="BD5" s="2145" t="s">
        <v>600</v>
      </c>
      <c r="BE5" s="2159"/>
      <c r="BF5" s="2159"/>
      <c r="BG5" s="2159"/>
      <c r="BH5" s="2159"/>
      <c r="BI5" s="2556"/>
    </row>
    <row r="6" spans="1:61" ht="16.899999999999999" customHeight="1">
      <c r="A6" s="2296"/>
      <c r="B6" s="2577"/>
      <c r="C6" s="2578"/>
      <c r="D6" s="2572"/>
      <c r="E6" s="2345"/>
      <c r="F6" s="2346"/>
      <c r="G6" s="2513"/>
      <c r="H6" s="2514"/>
      <c r="I6" s="2514"/>
      <c r="J6" s="2515"/>
      <c r="K6" s="2345"/>
      <c r="L6" s="2346"/>
      <c r="M6" s="2534"/>
      <c r="N6" s="2535"/>
      <c r="V6" s="255"/>
      <c r="W6" s="2569"/>
      <c r="X6" s="2534"/>
      <c r="Y6" s="2535"/>
      <c r="AI6" s="255"/>
      <c r="AJ6" s="2569"/>
      <c r="AK6" s="2534"/>
      <c r="AL6" s="2535"/>
      <c r="AR6" s="255"/>
      <c r="AS6" s="2162"/>
      <c r="AT6" s="2561"/>
      <c r="AU6" s="2561"/>
      <c r="BB6" s="1955"/>
      <c r="BC6" s="1957"/>
      <c r="BI6" s="255"/>
    </row>
    <row r="7" spans="1:61" ht="16.899999999999999" customHeight="1">
      <c r="A7" s="2296"/>
      <c r="B7" s="2577"/>
      <c r="C7" s="2578"/>
      <c r="D7" s="2572"/>
      <c r="E7" s="2345"/>
      <c r="F7" s="2346"/>
      <c r="G7" s="219"/>
      <c r="H7" s="219"/>
      <c r="I7" s="219"/>
      <c r="J7" s="219"/>
      <c r="K7" s="2345"/>
      <c r="L7" s="2346"/>
      <c r="M7" s="2534"/>
      <c r="N7" s="2535"/>
      <c r="O7" s="2531" t="s">
        <v>601</v>
      </c>
      <c r="P7" s="2532"/>
      <c r="Q7" s="2532"/>
      <c r="R7" s="2532"/>
      <c r="S7" s="2532"/>
      <c r="T7" s="2532"/>
      <c r="U7" s="2532"/>
      <c r="V7" s="2533"/>
      <c r="W7" s="2569"/>
      <c r="X7" s="2534"/>
      <c r="Y7" s="2535"/>
      <c r="Z7" s="2531" t="s">
        <v>602</v>
      </c>
      <c r="AA7" s="2532"/>
      <c r="AB7" s="2532"/>
      <c r="AC7" s="2532"/>
      <c r="AD7" s="2532"/>
      <c r="AE7" s="2532"/>
      <c r="AF7" s="2532"/>
      <c r="AG7" s="2532"/>
      <c r="AH7" s="2532"/>
      <c r="AI7" s="2533"/>
      <c r="AJ7" s="2569"/>
      <c r="AK7" s="2534"/>
      <c r="AL7" s="2535"/>
      <c r="AM7" s="2531" t="s">
        <v>603</v>
      </c>
      <c r="AN7" s="2532"/>
      <c r="AO7" s="2532"/>
      <c r="AP7" s="2532"/>
      <c r="AQ7" s="2532"/>
      <c r="AR7" s="2533"/>
      <c r="AS7" s="2162"/>
      <c r="AT7" s="2561"/>
      <c r="AU7" s="2561"/>
      <c r="AV7" s="2550" t="s">
        <v>604</v>
      </c>
      <c r="AW7" s="2551"/>
      <c r="AX7" s="2551"/>
      <c r="AY7" s="2551"/>
      <c r="AZ7" s="2551"/>
      <c r="BA7" s="2300"/>
      <c r="BB7" s="1955"/>
      <c r="BC7" s="1957"/>
      <c r="BD7" s="2550" t="s">
        <v>604</v>
      </c>
      <c r="BE7" s="2551"/>
      <c r="BF7" s="2551"/>
      <c r="BG7" s="2551"/>
      <c r="BH7" s="2551"/>
      <c r="BI7" s="2300"/>
    </row>
    <row r="8" spans="1:61" ht="16.899999999999999" customHeight="1">
      <c r="A8" s="2296"/>
      <c r="B8" s="2577"/>
      <c r="C8" s="2578"/>
      <c r="D8" s="2572"/>
      <c r="E8" s="2345"/>
      <c r="F8" s="2346"/>
      <c r="G8" s="2517" t="s">
        <v>605</v>
      </c>
      <c r="H8" s="2518"/>
      <c r="I8" s="2523">
        <v>1</v>
      </c>
      <c r="J8" s="1122"/>
      <c r="K8" s="2345"/>
      <c r="L8" s="2346"/>
      <c r="M8" s="2534"/>
      <c r="N8" s="2535"/>
      <c r="O8" s="1345"/>
      <c r="P8" s="1618"/>
      <c r="Q8" s="1618"/>
      <c r="R8" s="1618"/>
      <c r="S8" s="1618"/>
      <c r="T8" s="1618"/>
      <c r="U8" s="1618"/>
      <c r="V8" s="1034"/>
      <c r="W8" s="2569"/>
      <c r="X8" s="2534"/>
      <c r="Y8" s="2535"/>
      <c r="Z8" s="1345"/>
      <c r="AA8" s="1618"/>
      <c r="AB8" s="1618"/>
      <c r="AC8" s="1618"/>
      <c r="AD8" s="1618"/>
      <c r="AE8" s="1618"/>
      <c r="AF8" s="1618"/>
      <c r="AG8" s="1618"/>
      <c r="AH8" s="1618"/>
      <c r="AI8" s="1034"/>
      <c r="AJ8" s="2569"/>
      <c r="AK8" s="2534"/>
      <c r="AL8" s="2535"/>
      <c r="AM8" s="1345"/>
      <c r="AN8" s="1618"/>
      <c r="AO8" s="1618"/>
      <c r="AP8" s="1618"/>
      <c r="AQ8" s="1618"/>
      <c r="AR8" s="1034"/>
      <c r="AS8" s="2162"/>
      <c r="AT8" s="2561"/>
      <c r="AU8" s="2561"/>
      <c r="AV8" s="1346"/>
      <c r="AW8" s="588"/>
      <c r="AX8" s="588"/>
      <c r="AY8" s="588"/>
      <c r="AZ8" s="588"/>
      <c r="BA8" s="1023"/>
      <c r="BB8" s="1955"/>
      <c r="BC8" s="1957"/>
      <c r="BD8" s="1346"/>
      <c r="BE8" s="588"/>
      <c r="BF8" s="588"/>
      <c r="BG8" s="588"/>
      <c r="BH8" s="588"/>
      <c r="BI8" s="1023"/>
    </row>
    <row r="9" spans="1:61" ht="16.899999999999999" customHeight="1">
      <c r="A9" s="2296"/>
      <c r="B9" s="2577"/>
      <c r="C9" s="2578"/>
      <c r="D9" s="2572"/>
      <c r="E9" s="2345"/>
      <c r="F9" s="2346"/>
      <c r="G9" s="2519"/>
      <c r="H9" s="2520"/>
      <c r="I9" s="2524"/>
      <c r="J9" s="1123"/>
      <c r="K9" s="2345"/>
      <c r="L9" s="2346"/>
      <c r="M9" s="2534"/>
      <c r="N9" s="2535"/>
      <c r="O9" s="300">
        <f>M3-0.01</f>
        <v>-5.0699999999999985</v>
      </c>
      <c r="P9" s="300">
        <f t="shared" ref="P9:U9" si="0">O9-0.01</f>
        <v>-5.0799999999999983</v>
      </c>
      <c r="Q9" s="300">
        <f t="shared" si="0"/>
        <v>-5.0899999999999981</v>
      </c>
      <c r="R9" s="300">
        <f t="shared" si="0"/>
        <v>-5.0999999999999979</v>
      </c>
      <c r="S9" s="300">
        <f t="shared" si="0"/>
        <v>-5.1099999999999977</v>
      </c>
      <c r="T9" s="300">
        <f t="shared" si="0"/>
        <v>-5.1199999999999974</v>
      </c>
      <c r="U9" s="300">
        <f t="shared" si="0"/>
        <v>-5.1299999999999972</v>
      </c>
      <c r="V9" s="300">
        <f>U9-0.01</f>
        <v>-5.139999999999997</v>
      </c>
      <c r="W9" s="2569"/>
      <c r="X9" s="2534"/>
      <c r="Y9" s="2535"/>
      <c r="Z9" s="301">
        <f>X3-0.01</f>
        <v>-5.1599999999999966</v>
      </c>
      <c r="AA9" s="301">
        <f t="shared" ref="AA9:AE9" si="1">Z9-0.01</f>
        <v>-5.1699999999999964</v>
      </c>
      <c r="AB9" s="301">
        <f t="shared" si="1"/>
        <v>-5.1799999999999962</v>
      </c>
      <c r="AC9" s="301">
        <f t="shared" si="1"/>
        <v>-5.1899999999999959</v>
      </c>
      <c r="AD9" s="301">
        <f t="shared" si="1"/>
        <v>-5.1999999999999957</v>
      </c>
      <c r="AE9" s="301">
        <f t="shared" si="1"/>
        <v>-5.2099999999999955</v>
      </c>
      <c r="AF9" s="301">
        <f>AE9-0.01</f>
        <v>-5.2199999999999953</v>
      </c>
      <c r="AG9" s="301">
        <f>+AF9-0.01</f>
        <v>-5.2299999999999951</v>
      </c>
      <c r="AH9" s="301">
        <f>AG9-0.01</f>
        <v>-5.2399999999999949</v>
      </c>
      <c r="AI9" s="301">
        <f>AH9-0.01</f>
        <v>-5.2499999999999947</v>
      </c>
      <c r="AJ9" s="2569"/>
      <c r="AK9" s="2534"/>
      <c r="AL9" s="2535"/>
      <c r="AM9" s="379">
        <f>-AK3+0.01</f>
        <v>5.2699999999999942</v>
      </c>
      <c r="AN9" s="379">
        <f>+AM9+0.01</f>
        <v>5.279999999999994</v>
      </c>
      <c r="AO9" s="379">
        <f t="shared" ref="AO9:AR9" si="2">+AN9+0.01</f>
        <v>5.2899999999999938</v>
      </c>
      <c r="AP9" s="379">
        <f>+AO9+0.01</f>
        <v>5.2999999999999936</v>
      </c>
      <c r="AQ9" s="379">
        <f t="shared" si="2"/>
        <v>5.3099999999999934</v>
      </c>
      <c r="AR9" s="379">
        <f t="shared" si="2"/>
        <v>5.3199999999999932</v>
      </c>
      <c r="AS9" s="2162"/>
      <c r="AT9" s="2561"/>
      <c r="AU9" s="2561"/>
      <c r="AV9" s="394">
        <f>-AT3+0.01</f>
        <v>5.3399999999999928</v>
      </c>
      <c r="AW9" s="394">
        <f>+AV9+0.01</f>
        <v>5.3499999999999925</v>
      </c>
      <c r="AX9" s="394">
        <f>+AW9+0.01</f>
        <v>5.3599999999999923</v>
      </c>
      <c r="AY9" s="394">
        <f>+AX9+0.01</f>
        <v>5.3699999999999921</v>
      </c>
      <c r="AZ9" s="394">
        <f>+AY9+0.01</f>
        <v>5.3799999999999919</v>
      </c>
      <c r="BA9" s="394">
        <f>+AZ9+0.01</f>
        <v>5.3899999999999917</v>
      </c>
      <c r="BB9" s="1955"/>
      <c r="BC9" s="1957"/>
      <c r="BD9" s="394">
        <f>-BB3+0.01</f>
        <v>5.4099999999999913</v>
      </c>
      <c r="BE9" s="394">
        <f>+BD9+0.01</f>
        <v>5.419999999999991</v>
      </c>
      <c r="BF9" s="394">
        <f t="shared" ref="BF9:BI9" si="3">+BE9+0.01</f>
        <v>5.4299999999999908</v>
      </c>
      <c r="BG9" s="394">
        <f t="shared" si="3"/>
        <v>5.4399999999999906</v>
      </c>
      <c r="BH9" s="394">
        <f t="shared" si="3"/>
        <v>5.4499999999999904</v>
      </c>
      <c r="BI9" s="394">
        <f t="shared" si="3"/>
        <v>5.4599999999999902</v>
      </c>
    </row>
    <row r="10" spans="1:61" ht="16.899999999999999" customHeight="1">
      <c r="A10" s="2296"/>
      <c r="B10" s="2577"/>
      <c r="C10" s="2578"/>
      <c r="D10" s="2572"/>
      <c r="E10" s="2345"/>
      <c r="F10" s="2346"/>
      <c r="G10" s="2521"/>
      <c r="H10" s="2522"/>
      <c r="I10" s="2525"/>
      <c r="K10" s="2345"/>
      <c r="L10" s="2346"/>
      <c r="M10" s="2534"/>
      <c r="N10" s="2535"/>
      <c r="O10" s="2213" t="s">
        <v>606</v>
      </c>
      <c r="P10" s="2213" t="s">
        <v>1680</v>
      </c>
      <c r="Q10" s="2213" t="s">
        <v>607</v>
      </c>
      <c r="R10" s="2213" t="s">
        <v>1681</v>
      </c>
      <c r="S10" s="2213" t="s">
        <v>608</v>
      </c>
      <c r="T10" s="2213" t="s">
        <v>609</v>
      </c>
      <c r="U10" s="2213" t="s">
        <v>610</v>
      </c>
      <c r="V10" s="2213" t="s">
        <v>611</v>
      </c>
      <c r="W10" s="2569"/>
      <c r="X10" s="2534"/>
      <c r="Y10" s="2535"/>
      <c r="Z10" s="2213" t="s">
        <v>612</v>
      </c>
      <c r="AA10" s="2213" t="s">
        <v>613</v>
      </c>
      <c r="AB10" s="2213" t="s">
        <v>614</v>
      </c>
      <c r="AC10" s="2213" t="s">
        <v>615</v>
      </c>
      <c r="AD10" s="2213" t="s">
        <v>616</v>
      </c>
      <c r="AE10" s="2213" t="s">
        <v>617</v>
      </c>
      <c r="AF10" s="2213" t="s">
        <v>618</v>
      </c>
      <c r="AG10" s="2213" t="s">
        <v>619</v>
      </c>
      <c r="AH10" s="2213" t="s">
        <v>620</v>
      </c>
      <c r="AI10" s="2213" t="s">
        <v>621</v>
      </c>
      <c r="AJ10" s="2569"/>
      <c r="AK10" s="2534"/>
      <c r="AL10" s="2535"/>
      <c r="AM10" s="2213" t="s">
        <v>622</v>
      </c>
      <c r="AN10" s="2213" t="s">
        <v>623</v>
      </c>
      <c r="AO10" s="2213" t="s">
        <v>624</v>
      </c>
      <c r="AP10" s="2213" t="s">
        <v>625</v>
      </c>
      <c r="AQ10" s="2044" t="s">
        <v>626</v>
      </c>
      <c r="AR10" s="2044" t="s">
        <v>627</v>
      </c>
      <c r="AS10" s="2162"/>
      <c r="AT10" s="2561"/>
      <c r="AU10" s="2561"/>
      <c r="AV10" s="2118" t="s">
        <v>628</v>
      </c>
      <c r="AW10" s="2118" t="s">
        <v>629</v>
      </c>
      <c r="AX10" s="2118" t="s">
        <v>630</v>
      </c>
      <c r="AY10" s="2118" t="s">
        <v>631</v>
      </c>
      <c r="AZ10" s="2118" t="s">
        <v>632</v>
      </c>
      <c r="BA10" s="2118" t="s">
        <v>633</v>
      </c>
      <c r="BB10" s="1955"/>
      <c r="BC10" s="1957"/>
      <c r="BD10" s="2565" t="s">
        <v>634</v>
      </c>
      <c r="BE10" s="2565" t="s">
        <v>635</v>
      </c>
      <c r="BF10" s="2118" t="s">
        <v>636</v>
      </c>
      <c r="BG10" s="2118" t="s">
        <v>637</v>
      </c>
      <c r="BH10" s="2118" t="s">
        <v>638</v>
      </c>
      <c r="BI10" s="2118" t="s">
        <v>639</v>
      </c>
    </row>
    <row r="11" spans="1:61" ht="16.899999999999999" customHeight="1">
      <c r="A11" s="2296"/>
      <c r="B11" s="2577"/>
      <c r="C11" s="2578"/>
      <c r="D11" s="2572"/>
      <c r="E11" s="370"/>
      <c r="F11" s="614"/>
      <c r="G11" s="2517" t="s">
        <v>640</v>
      </c>
      <c r="H11" s="2518"/>
      <c r="I11" s="2523">
        <v>2</v>
      </c>
      <c r="J11" s="1124"/>
      <c r="K11" s="2345"/>
      <c r="L11" s="2346"/>
      <c r="M11" s="2534"/>
      <c r="N11" s="2535"/>
      <c r="O11" s="2213"/>
      <c r="P11" s="2526"/>
      <c r="Q11" s="2526"/>
      <c r="R11" s="2526"/>
      <c r="S11" s="2526"/>
      <c r="T11" s="2526"/>
      <c r="U11" s="2526"/>
      <c r="V11" s="2526"/>
      <c r="W11" s="2569"/>
      <c r="X11" s="2534"/>
      <c r="Y11" s="2535"/>
      <c r="Z11" s="2213"/>
      <c r="AA11" s="2526"/>
      <c r="AB11" s="2526"/>
      <c r="AC11" s="2526"/>
      <c r="AD11" s="2526"/>
      <c r="AE11" s="2526"/>
      <c r="AF11" s="2526"/>
      <c r="AG11" s="2213"/>
      <c r="AH11" s="2526"/>
      <c r="AI11" s="2526"/>
      <c r="AJ11" s="2569"/>
      <c r="AK11" s="2534"/>
      <c r="AL11" s="2535"/>
      <c r="AM11" s="2213"/>
      <c r="AN11" s="2526"/>
      <c r="AO11" s="2526"/>
      <c r="AP11" s="2526"/>
      <c r="AQ11" s="2338"/>
      <c r="AR11" s="2338"/>
      <c r="AS11" s="2162"/>
      <c r="AT11" s="2561"/>
      <c r="AU11" s="2561"/>
      <c r="AV11" s="2118"/>
      <c r="AW11" s="2526"/>
      <c r="AX11" s="2526"/>
      <c r="AY11" s="2526"/>
      <c r="AZ11" s="2526"/>
      <c r="BA11" s="2526"/>
      <c r="BB11" s="1955"/>
      <c r="BC11" s="1957"/>
      <c r="BD11" s="2526"/>
      <c r="BE11" s="2526"/>
      <c r="BF11" s="2526"/>
      <c r="BG11" s="2526"/>
      <c r="BH11" s="2526"/>
      <c r="BI11" s="2526"/>
    </row>
    <row r="12" spans="1:61" ht="16.899999999999999" customHeight="1">
      <c r="A12" s="2296"/>
      <c r="B12" s="2577"/>
      <c r="C12" s="2578"/>
      <c r="D12" s="2572"/>
      <c r="E12" s="370"/>
      <c r="F12" s="614"/>
      <c r="G12" s="2519"/>
      <c r="H12" s="2520"/>
      <c r="I12" s="2524"/>
      <c r="J12" s="1124"/>
      <c r="K12" s="2345"/>
      <c r="L12" s="2346"/>
      <c r="M12" s="2534"/>
      <c r="N12" s="2535"/>
      <c r="O12" s="2213"/>
      <c r="P12" s="2526"/>
      <c r="Q12" s="2526"/>
      <c r="R12" s="2526"/>
      <c r="S12" s="2526"/>
      <c r="T12" s="2526"/>
      <c r="U12" s="2526"/>
      <c r="V12" s="2526"/>
      <c r="W12" s="2569"/>
      <c r="X12" s="2534"/>
      <c r="Y12" s="2535"/>
      <c r="Z12" s="2213"/>
      <c r="AA12" s="2526"/>
      <c r="AB12" s="2526"/>
      <c r="AC12" s="2526"/>
      <c r="AD12" s="2526"/>
      <c r="AE12" s="2526"/>
      <c r="AF12" s="2526"/>
      <c r="AG12" s="2213"/>
      <c r="AH12" s="2526"/>
      <c r="AI12" s="2526"/>
      <c r="AJ12" s="2569"/>
      <c r="AK12" s="2534"/>
      <c r="AL12" s="2535"/>
      <c r="AM12" s="2213"/>
      <c r="AN12" s="2526"/>
      <c r="AO12" s="2526"/>
      <c r="AP12" s="2526"/>
      <c r="AQ12" s="2338"/>
      <c r="AR12" s="2338"/>
      <c r="AS12" s="2162"/>
      <c r="AT12" s="2561"/>
      <c r="AU12" s="2561"/>
      <c r="AV12" s="2118"/>
      <c r="AW12" s="2526"/>
      <c r="AX12" s="2526"/>
      <c r="AY12" s="2526"/>
      <c r="AZ12" s="2526"/>
      <c r="BA12" s="2526"/>
      <c r="BB12" s="1955"/>
      <c r="BC12" s="1957"/>
      <c r="BD12" s="2526"/>
      <c r="BE12" s="2526"/>
      <c r="BF12" s="2526"/>
      <c r="BG12" s="2526"/>
      <c r="BH12" s="2526"/>
      <c r="BI12" s="2526"/>
    </row>
    <row r="13" spans="1:61" ht="16.899999999999999" customHeight="1">
      <c r="A13" s="2296"/>
      <c r="B13" s="2577"/>
      <c r="C13" s="2578"/>
      <c r="D13" s="2572"/>
      <c r="E13" s="370"/>
      <c r="F13" s="614"/>
      <c r="G13" s="2519"/>
      <c r="H13" s="2520"/>
      <c r="I13" s="2524"/>
      <c r="J13" s="1124"/>
      <c r="K13" s="2345"/>
      <c r="L13" s="2346"/>
      <c r="M13" s="2534"/>
      <c r="N13" s="2535"/>
      <c r="O13" s="2213"/>
      <c r="P13" s="2526"/>
      <c r="Q13" s="2526"/>
      <c r="R13" s="2526"/>
      <c r="S13" s="2526"/>
      <c r="T13" s="2526"/>
      <c r="U13" s="2526"/>
      <c r="V13" s="2526"/>
      <c r="W13" s="2569"/>
      <c r="X13" s="2534"/>
      <c r="Y13" s="2535"/>
      <c r="Z13" s="2213"/>
      <c r="AA13" s="2526"/>
      <c r="AB13" s="2526"/>
      <c r="AC13" s="2526"/>
      <c r="AD13" s="2526"/>
      <c r="AE13" s="2526"/>
      <c r="AF13" s="2526"/>
      <c r="AG13" s="2213"/>
      <c r="AH13" s="2526"/>
      <c r="AI13" s="2526"/>
      <c r="AJ13" s="2569"/>
      <c r="AK13" s="2534"/>
      <c r="AL13" s="2535"/>
      <c r="AM13" s="2213"/>
      <c r="AN13" s="2526"/>
      <c r="AO13" s="2526"/>
      <c r="AP13" s="2526"/>
      <c r="AQ13" s="2338"/>
      <c r="AR13" s="2338"/>
      <c r="AS13" s="2162"/>
      <c r="AT13" s="2561"/>
      <c r="AU13" s="2561"/>
      <c r="AV13" s="2118"/>
      <c r="AW13" s="2526"/>
      <c r="AX13" s="2526"/>
      <c r="AY13" s="2526"/>
      <c r="AZ13" s="2526"/>
      <c r="BA13" s="2526"/>
      <c r="BB13" s="1955"/>
      <c r="BC13" s="1957"/>
      <c r="BD13" s="2526"/>
      <c r="BE13" s="2526"/>
      <c r="BF13" s="2526"/>
      <c r="BG13" s="2526"/>
      <c r="BH13" s="2526"/>
      <c r="BI13" s="2526"/>
    </row>
    <row r="14" spans="1:61" ht="16.899999999999999" customHeight="1">
      <c r="A14" s="2296"/>
      <c r="B14" s="2579"/>
      <c r="C14" s="2580"/>
      <c r="D14" s="2572"/>
      <c r="E14" s="370"/>
      <c r="F14" s="614"/>
      <c r="G14" s="2521"/>
      <c r="H14" s="2522"/>
      <c r="I14" s="2525"/>
      <c r="J14" s="1125">
        <f>+M3</f>
        <v>-5.0599999999999987</v>
      </c>
      <c r="K14" s="2345"/>
      <c r="L14" s="2346"/>
      <c r="M14" s="2534"/>
      <c r="N14" s="2535"/>
      <c r="O14" s="2213"/>
      <c r="P14" s="2526"/>
      <c r="Q14" s="2526"/>
      <c r="R14" s="2526"/>
      <c r="S14" s="2526"/>
      <c r="T14" s="2526"/>
      <c r="U14" s="2526"/>
      <c r="V14" s="2526"/>
      <c r="W14" s="2569"/>
      <c r="X14" s="2534"/>
      <c r="Y14" s="2535"/>
      <c r="Z14" s="2213"/>
      <c r="AA14" s="2526"/>
      <c r="AB14" s="2526"/>
      <c r="AC14" s="2526"/>
      <c r="AD14" s="2526"/>
      <c r="AE14" s="2526"/>
      <c r="AF14" s="2526"/>
      <c r="AG14" s="2213"/>
      <c r="AH14" s="2526"/>
      <c r="AI14" s="2526"/>
      <c r="AJ14" s="2569"/>
      <c r="AK14" s="2534"/>
      <c r="AL14" s="2535"/>
      <c r="AM14" s="2213"/>
      <c r="AN14" s="2526"/>
      <c r="AO14" s="2526"/>
      <c r="AP14" s="2526"/>
      <c r="AQ14" s="2338"/>
      <c r="AR14" s="2338"/>
      <c r="AS14" s="2162"/>
      <c r="AT14" s="2561"/>
      <c r="AU14" s="2561"/>
      <c r="AV14" s="2118"/>
      <c r="AW14" s="2526"/>
      <c r="AX14" s="2526"/>
      <c r="AY14" s="2526"/>
      <c r="AZ14" s="2526"/>
      <c r="BA14" s="2526"/>
      <c r="BB14" s="1955"/>
      <c r="BC14" s="1957"/>
      <c r="BD14" s="2526"/>
      <c r="BE14" s="2526"/>
      <c r="BF14" s="2526"/>
      <c r="BG14" s="2526"/>
      <c r="BH14" s="2526"/>
      <c r="BI14" s="2526"/>
    </row>
    <row r="15" spans="1:61" ht="16.899999999999999" customHeight="1">
      <c r="A15" s="2296"/>
      <c r="B15" s="2579"/>
      <c r="C15" s="2580"/>
      <c r="D15" s="2572"/>
      <c r="E15" s="370"/>
      <c r="F15" s="614"/>
      <c r="G15" s="2516" t="s">
        <v>338</v>
      </c>
      <c r="H15" s="2474"/>
      <c r="I15" s="1126">
        <v>3</v>
      </c>
      <c r="J15" s="1127"/>
      <c r="K15" s="2345"/>
      <c r="L15" s="2346"/>
      <c r="M15" s="2534"/>
      <c r="N15" s="2535"/>
      <c r="O15" s="2213"/>
      <c r="P15" s="2526"/>
      <c r="Q15" s="2526"/>
      <c r="R15" s="2526"/>
      <c r="S15" s="2526"/>
      <c r="T15" s="2526"/>
      <c r="U15" s="2526"/>
      <c r="V15" s="2526"/>
      <c r="W15" s="2569"/>
      <c r="X15" s="2534"/>
      <c r="Y15" s="2535"/>
      <c r="Z15" s="2213"/>
      <c r="AA15" s="2526"/>
      <c r="AB15" s="2526"/>
      <c r="AC15" s="2526"/>
      <c r="AD15" s="2526"/>
      <c r="AE15" s="2526"/>
      <c r="AF15" s="2526"/>
      <c r="AG15" s="2213"/>
      <c r="AH15" s="2526"/>
      <c r="AI15" s="2526"/>
      <c r="AJ15" s="2569"/>
      <c r="AK15" s="2534"/>
      <c r="AL15" s="2535"/>
      <c r="AM15" s="2213"/>
      <c r="AN15" s="2526"/>
      <c r="AO15" s="2526"/>
      <c r="AP15" s="2526"/>
      <c r="AQ15" s="2338"/>
      <c r="AR15" s="2338"/>
      <c r="AS15" s="2162"/>
      <c r="AT15" s="2562"/>
      <c r="AU15" s="2562"/>
      <c r="AV15" s="2118"/>
      <c r="AW15" s="2526"/>
      <c r="AX15" s="2526"/>
      <c r="AY15" s="2526"/>
      <c r="AZ15" s="2526"/>
      <c r="BA15" s="2526"/>
      <c r="BB15" s="1955"/>
      <c r="BC15" s="1957"/>
      <c r="BD15" s="2526"/>
      <c r="BE15" s="2526"/>
      <c r="BF15" s="2526"/>
      <c r="BG15" s="2526"/>
      <c r="BH15" s="2526"/>
      <c r="BI15" s="2526"/>
    </row>
    <row r="16" spans="1:61" ht="16.899999999999999" customHeight="1">
      <c r="A16" s="2296"/>
      <c r="B16" s="1648"/>
      <c r="C16" s="1648"/>
      <c r="D16" s="2572"/>
      <c r="E16" s="370"/>
      <c r="F16" s="614"/>
      <c r="G16" s="2516" t="s">
        <v>641</v>
      </c>
      <c r="H16" s="2474"/>
      <c r="I16" s="1126">
        <v>4</v>
      </c>
      <c r="J16" s="1127"/>
      <c r="K16" s="2371" t="s">
        <v>642</v>
      </c>
      <c r="L16" s="2364">
        <v>1</v>
      </c>
      <c r="M16" s="253"/>
      <c r="N16" s="157"/>
      <c r="O16" s="2213"/>
      <c r="P16" s="2526"/>
      <c r="Q16" s="2526"/>
      <c r="R16" s="2526"/>
      <c r="S16" s="2526"/>
      <c r="T16" s="2526"/>
      <c r="U16" s="2526"/>
      <c r="V16" s="2526"/>
      <c r="W16" s="2569"/>
      <c r="X16" s="254"/>
      <c r="Y16" s="255"/>
      <c r="Z16" s="2213"/>
      <c r="AA16" s="2526"/>
      <c r="AB16" s="2526"/>
      <c r="AC16" s="2526"/>
      <c r="AD16" s="2526"/>
      <c r="AE16" s="2526"/>
      <c r="AF16" s="2526"/>
      <c r="AG16" s="2213"/>
      <c r="AH16" s="2526"/>
      <c r="AI16" s="2526"/>
      <c r="AJ16" s="2569"/>
      <c r="AK16" s="2587"/>
      <c r="AL16" s="2588"/>
      <c r="AM16" s="2213"/>
      <c r="AN16" s="2526"/>
      <c r="AO16" s="2526"/>
      <c r="AP16" s="2526"/>
      <c r="AQ16" s="2338"/>
      <c r="AR16" s="2338"/>
      <c r="AS16" s="2162"/>
      <c r="AT16" s="254"/>
      <c r="AU16" s="256"/>
      <c r="AV16" s="2118"/>
      <c r="AW16" s="2526"/>
      <c r="AX16" s="2526"/>
      <c r="AY16" s="2526"/>
      <c r="AZ16" s="2526"/>
      <c r="BA16" s="2526"/>
      <c r="BC16" s="256"/>
      <c r="BD16" s="2526"/>
      <c r="BE16" s="2526"/>
      <c r="BF16" s="2526"/>
      <c r="BG16" s="2526"/>
      <c r="BH16" s="2526"/>
      <c r="BI16" s="2526"/>
    </row>
    <row r="17" spans="1:61" ht="16.899999999999999" customHeight="1">
      <c r="A17" s="2296"/>
      <c r="B17" s="676" t="s">
        <v>104</v>
      </c>
      <c r="C17" s="770" t="s">
        <v>151</v>
      </c>
      <c r="D17" s="2572"/>
      <c r="E17" s="672" t="s">
        <v>104</v>
      </c>
      <c r="F17" s="774" t="s">
        <v>151</v>
      </c>
      <c r="G17" s="2589" t="s">
        <v>643</v>
      </c>
      <c r="H17" s="2590"/>
      <c r="I17" s="1128">
        <v>5</v>
      </c>
      <c r="J17" s="1129"/>
      <c r="K17" s="2375"/>
      <c r="L17" s="2431"/>
      <c r="M17" s="659" t="s">
        <v>104</v>
      </c>
      <c r="N17" s="772">
        <v>1</v>
      </c>
      <c r="O17" s="2213"/>
      <c r="P17" s="2526"/>
      <c r="Q17" s="2526"/>
      <c r="R17" s="2526"/>
      <c r="S17" s="2526"/>
      <c r="T17" s="2526"/>
      <c r="U17" s="2526"/>
      <c r="V17" s="2526"/>
      <c r="W17" s="2569"/>
      <c r="X17" s="672" t="s">
        <v>104</v>
      </c>
      <c r="Y17" s="774">
        <v>1</v>
      </c>
      <c r="Z17" s="2213"/>
      <c r="AA17" s="2526"/>
      <c r="AB17" s="2526"/>
      <c r="AC17" s="2526"/>
      <c r="AD17" s="2526"/>
      <c r="AE17" s="2526"/>
      <c r="AF17" s="2526"/>
      <c r="AG17" s="2213"/>
      <c r="AH17" s="2526"/>
      <c r="AI17" s="2526"/>
      <c r="AJ17" s="2569"/>
      <c r="AK17" s="672" t="s">
        <v>104</v>
      </c>
      <c r="AL17" s="774">
        <v>1</v>
      </c>
      <c r="AM17" s="2213"/>
      <c r="AN17" s="2526"/>
      <c r="AO17" s="2526"/>
      <c r="AP17" s="2526"/>
      <c r="AQ17" s="2338"/>
      <c r="AR17" s="2338"/>
      <c r="AS17" s="2162"/>
      <c r="AT17" s="672" t="s">
        <v>104</v>
      </c>
      <c r="AU17" s="774">
        <v>1</v>
      </c>
      <c r="AV17" s="2118"/>
      <c r="AW17" s="2526"/>
      <c r="AX17" s="2526"/>
      <c r="AY17" s="2526"/>
      <c r="AZ17" s="2526"/>
      <c r="BA17" s="2526"/>
      <c r="BB17" s="672" t="s">
        <v>104</v>
      </c>
      <c r="BC17" s="774">
        <v>1</v>
      </c>
      <c r="BD17" s="2526"/>
      <c r="BE17" s="2526"/>
      <c r="BF17" s="2526"/>
      <c r="BG17" s="2526"/>
      <c r="BH17" s="2526"/>
      <c r="BI17" s="2526"/>
    </row>
    <row r="18" spans="1:61" ht="16.899999999999999" customHeight="1">
      <c r="A18" s="2569"/>
      <c r="B18" s="707"/>
      <c r="C18" s="509">
        <f>E3</f>
        <v>-5.0299999999999994</v>
      </c>
      <c r="D18" s="2573"/>
      <c r="E18" s="710"/>
      <c r="F18" s="1130">
        <f>+K3</f>
        <v>-5.0499999999999989</v>
      </c>
      <c r="G18" s="2512" t="s">
        <v>644</v>
      </c>
      <c r="H18" s="2470"/>
      <c r="I18" s="1131">
        <v>6</v>
      </c>
      <c r="J18" s="1132"/>
      <c r="K18" s="2371" t="s">
        <v>645</v>
      </c>
      <c r="L18" s="2364">
        <v>2</v>
      </c>
      <c r="M18" s="659" t="s">
        <v>646</v>
      </c>
      <c r="N18" s="772" t="s">
        <v>282</v>
      </c>
      <c r="O18" s="2213"/>
      <c r="P18" s="2526"/>
      <c r="Q18" s="2526"/>
      <c r="R18" s="2526"/>
      <c r="S18" s="2526"/>
      <c r="T18" s="2526"/>
      <c r="U18" s="2526"/>
      <c r="V18" s="2526"/>
      <c r="W18" s="2569"/>
      <c r="X18" s="672" t="s">
        <v>108</v>
      </c>
      <c r="Y18" s="774" t="s">
        <v>282</v>
      </c>
      <c r="Z18" s="2213"/>
      <c r="AA18" s="2526"/>
      <c r="AB18" s="2526"/>
      <c r="AC18" s="2526"/>
      <c r="AD18" s="2526"/>
      <c r="AE18" s="2526"/>
      <c r="AF18" s="2526"/>
      <c r="AG18" s="2213"/>
      <c r="AH18" s="2526"/>
      <c r="AI18" s="2526"/>
      <c r="AJ18" s="2569"/>
      <c r="AK18" s="672" t="s">
        <v>108</v>
      </c>
      <c r="AL18" s="774" t="s">
        <v>282</v>
      </c>
      <c r="AM18" s="2213"/>
      <c r="AN18" s="2526"/>
      <c r="AO18" s="2526"/>
      <c r="AP18" s="2526"/>
      <c r="AQ18" s="2338"/>
      <c r="AR18" s="2338"/>
      <c r="AS18" s="2162"/>
      <c r="AT18" s="672" t="s">
        <v>108</v>
      </c>
      <c r="AU18" s="774" t="s">
        <v>647</v>
      </c>
      <c r="AV18" s="2118"/>
      <c r="AW18" s="2526"/>
      <c r="AX18" s="2526"/>
      <c r="AY18" s="2526"/>
      <c r="AZ18" s="2526"/>
      <c r="BA18" s="2526"/>
      <c r="BB18" s="672" t="s">
        <v>108</v>
      </c>
      <c r="BC18" s="774" t="s">
        <v>647</v>
      </c>
      <c r="BD18" s="2526"/>
      <c r="BE18" s="2526"/>
      <c r="BF18" s="2526"/>
      <c r="BG18" s="2526"/>
      <c r="BH18" s="2526"/>
      <c r="BI18" s="2526"/>
    </row>
    <row r="19" spans="1:61" ht="16.899999999999999" customHeight="1">
      <c r="A19" s="2296"/>
      <c r="B19" s="677" t="s">
        <v>108</v>
      </c>
      <c r="C19" s="771">
        <v>2</v>
      </c>
      <c r="D19" s="2574" t="s">
        <v>185</v>
      </c>
      <c r="E19" s="667" t="s">
        <v>108</v>
      </c>
      <c r="F19" s="775">
        <v>2</v>
      </c>
      <c r="G19" s="2512" t="s">
        <v>112</v>
      </c>
      <c r="H19" s="2236"/>
      <c r="I19" s="1131">
        <v>7</v>
      </c>
      <c r="J19" s="1133"/>
      <c r="K19" s="2375"/>
      <c r="L19" s="2431"/>
      <c r="M19" s="710"/>
      <c r="N19" s="1008">
        <f>X3</f>
        <v>-5.1499999999999968</v>
      </c>
      <c r="O19" s="2214"/>
      <c r="P19" s="2527"/>
      <c r="Q19" s="2527"/>
      <c r="R19" s="2527"/>
      <c r="S19" s="2527"/>
      <c r="T19" s="2527"/>
      <c r="U19" s="2527"/>
      <c r="V19" s="2527"/>
      <c r="W19" s="2569"/>
      <c r="X19" s="378"/>
      <c r="Y19" s="1008">
        <f>AK3</f>
        <v>-5.2599999999999945</v>
      </c>
      <c r="Z19" s="2214"/>
      <c r="AA19" s="2527"/>
      <c r="AB19" s="2527"/>
      <c r="AC19" s="2527"/>
      <c r="AD19" s="2527"/>
      <c r="AE19" s="222"/>
      <c r="AF19" s="2527"/>
      <c r="AG19" s="2214"/>
      <c r="AH19" s="2527"/>
      <c r="AI19" s="2527"/>
      <c r="AJ19" s="2569"/>
      <c r="AK19" s="711" t="s">
        <v>648</v>
      </c>
      <c r="AL19" s="377">
        <f>AT3</f>
        <v>-5.329999999999993</v>
      </c>
      <c r="AM19" s="2214"/>
      <c r="AN19" s="2527"/>
      <c r="AO19" s="2527"/>
      <c r="AP19" s="2527"/>
      <c r="AQ19" s="2567" t="s">
        <v>649</v>
      </c>
      <c r="AR19" s="2542" t="s">
        <v>649</v>
      </c>
      <c r="AS19" s="2162"/>
      <c r="AT19" s="712"/>
      <c r="AU19" s="1015">
        <f>BB3</f>
        <v>-5.3999999999999915</v>
      </c>
      <c r="AV19" s="2566"/>
      <c r="AW19" s="2527"/>
      <c r="AX19" s="2527"/>
      <c r="AY19" s="2527"/>
      <c r="AZ19" s="2527"/>
      <c r="BA19" s="2527"/>
      <c r="BB19" s="712"/>
      <c r="BC19" s="1016" t="s">
        <v>650</v>
      </c>
      <c r="BD19" s="2527"/>
      <c r="BE19" s="2527"/>
      <c r="BF19" s="2527"/>
      <c r="BG19" s="2527"/>
      <c r="BH19" s="2527"/>
      <c r="BI19" s="2527"/>
    </row>
    <row r="20" spans="1:61" ht="16.899999999999999" customHeight="1">
      <c r="A20" s="2297"/>
      <c r="B20" s="510"/>
      <c r="C20" s="511"/>
      <c r="D20" s="2314"/>
      <c r="E20" s="1009"/>
      <c r="F20" s="1010"/>
      <c r="G20" s="1013"/>
      <c r="H20" s="1011"/>
      <c r="I20" s="1011"/>
      <c r="J20" s="1014"/>
      <c r="K20" s="1010"/>
      <c r="L20" s="1012"/>
      <c r="M20" s="2575"/>
      <c r="N20" s="2576"/>
      <c r="O20" s="846" t="s">
        <v>293</v>
      </c>
      <c r="P20" s="846" t="s">
        <v>293</v>
      </c>
      <c r="Q20" s="846" t="s">
        <v>293</v>
      </c>
      <c r="R20" s="846" t="s">
        <v>293</v>
      </c>
      <c r="S20" s="846" t="s">
        <v>293</v>
      </c>
      <c r="T20" s="846" t="s">
        <v>293</v>
      </c>
      <c r="U20" s="846" t="s">
        <v>293</v>
      </c>
      <c r="V20" s="846" t="s">
        <v>293</v>
      </c>
      <c r="W20" s="2571"/>
      <c r="X20" s="2575"/>
      <c r="Y20" s="2576"/>
      <c r="Z20" s="846" t="s">
        <v>293</v>
      </c>
      <c r="AA20" s="846" t="s">
        <v>293</v>
      </c>
      <c r="AB20" s="846" t="s">
        <v>293</v>
      </c>
      <c r="AC20" s="846" t="s">
        <v>293</v>
      </c>
      <c r="AD20" s="846" t="s">
        <v>293</v>
      </c>
      <c r="AE20" s="846" t="s">
        <v>293</v>
      </c>
      <c r="AF20" s="846" t="s">
        <v>293</v>
      </c>
      <c r="AG20" s="846" t="s">
        <v>293</v>
      </c>
      <c r="AH20" s="846" t="s">
        <v>293</v>
      </c>
      <c r="AI20" s="846" t="s">
        <v>293</v>
      </c>
      <c r="AJ20" s="2571"/>
      <c r="AK20" s="229"/>
      <c r="AM20" s="846" t="s">
        <v>293</v>
      </c>
      <c r="AN20" s="846" t="s">
        <v>293</v>
      </c>
      <c r="AO20" s="846" t="s">
        <v>293</v>
      </c>
      <c r="AP20" s="846" t="s">
        <v>293</v>
      </c>
      <c r="AQ20" s="2568"/>
      <c r="AR20" s="2543"/>
      <c r="AS20" s="2163"/>
      <c r="AT20" s="229"/>
      <c r="AV20" s="846" t="s">
        <v>293</v>
      </c>
      <c r="AW20" s="846" t="s">
        <v>293</v>
      </c>
      <c r="AX20" s="846" t="s">
        <v>293</v>
      </c>
      <c r="AY20" s="846" t="s">
        <v>293</v>
      </c>
      <c r="AZ20" s="846" t="s">
        <v>293</v>
      </c>
      <c r="BA20" s="846" t="s">
        <v>293</v>
      </c>
      <c r="BB20" s="395"/>
      <c r="BC20" s="396"/>
      <c r="BD20" s="846" t="s">
        <v>293</v>
      </c>
      <c r="BE20" s="846" t="s">
        <v>293</v>
      </c>
      <c r="BF20" s="846" t="s">
        <v>293</v>
      </c>
      <c r="BG20" s="846" t="s">
        <v>293</v>
      </c>
      <c r="BH20" s="846" t="s">
        <v>293</v>
      </c>
      <c r="BI20" s="846" t="s">
        <v>293</v>
      </c>
    </row>
    <row r="21" spans="1:61" ht="25.15" customHeight="1">
      <c r="A21" s="480">
        <v>1</v>
      </c>
      <c r="B21" s="2581"/>
      <c r="C21" s="2582"/>
      <c r="D21" s="512"/>
      <c r="E21" s="355"/>
      <c r="F21" s="359"/>
      <c r="G21" s="116"/>
      <c r="H21" s="116"/>
      <c r="I21" s="116"/>
      <c r="J21" s="116"/>
      <c r="K21" s="355"/>
      <c r="L21" s="359"/>
      <c r="M21" s="2583"/>
      <c r="N21" s="2584"/>
      <c r="O21" s="223"/>
      <c r="P21" s="223"/>
      <c r="Q21" s="223"/>
      <c r="R21" s="223"/>
      <c r="S21" s="223"/>
      <c r="T21" s="223"/>
      <c r="U21" s="223"/>
      <c r="V21" s="223"/>
      <c r="W21" s="480">
        <v>1</v>
      </c>
      <c r="X21" s="2585"/>
      <c r="Y21" s="2586"/>
      <c r="Z21" s="223"/>
      <c r="AA21" s="223"/>
      <c r="AB21" s="223"/>
      <c r="AC21" s="223"/>
      <c r="AD21" s="223"/>
      <c r="AE21" s="223"/>
      <c r="AF21" s="223"/>
      <c r="AG21" s="223"/>
      <c r="AH21" s="223"/>
      <c r="AI21" s="223"/>
      <c r="AJ21" s="480">
        <v>1</v>
      </c>
      <c r="AK21" s="2585"/>
      <c r="AL21" s="2586"/>
      <c r="AM21" s="223"/>
      <c r="AN21" s="223"/>
      <c r="AO21" s="223"/>
      <c r="AP21" s="224"/>
      <c r="AQ21" s="224"/>
      <c r="AR21" s="223"/>
      <c r="AS21" s="477">
        <v>1</v>
      </c>
      <c r="AT21" s="2602"/>
      <c r="AU21" s="2603"/>
      <c r="AV21" s="228"/>
      <c r="AW21" s="228"/>
      <c r="AX21" s="228"/>
      <c r="AY21" s="228"/>
      <c r="AZ21" s="228"/>
      <c r="BA21" s="228"/>
      <c r="BB21" s="2608"/>
      <c r="BC21" s="2609"/>
      <c r="BD21" s="228"/>
      <c r="BE21" s="228"/>
      <c r="BF21" s="228"/>
      <c r="BG21" s="228"/>
      <c r="BH21" s="228"/>
      <c r="BI21" s="228"/>
    </row>
    <row r="22" spans="1:61" ht="25.15" customHeight="1">
      <c r="A22" s="480">
        <v>2</v>
      </c>
      <c r="B22" s="2581"/>
      <c r="C22" s="2582"/>
      <c r="D22" s="513"/>
      <c r="E22" s="348"/>
      <c r="F22" s="347"/>
      <c r="G22" s="809"/>
      <c r="H22" s="809"/>
      <c r="I22" s="809"/>
      <c r="J22" s="809"/>
      <c r="K22" s="348"/>
      <c r="L22" s="347"/>
      <c r="M22" s="2583"/>
      <c r="N22" s="2584"/>
      <c r="O22" s="223"/>
      <c r="P22" s="223"/>
      <c r="Q22" s="223"/>
      <c r="R22" s="223"/>
      <c r="S22" s="223"/>
      <c r="T22" s="223"/>
      <c r="U22" s="223"/>
      <c r="V22" s="223"/>
      <c r="W22" s="480">
        <v>2</v>
      </c>
      <c r="X22" s="2585"/>
      <c r="Y22" s="2586"/>
      <c r="Z22" s="223"/>
      <c r="AA22" s="223"/>
      <c r="AB22" s="223"/>
      <c r="AC22" s="223"/>
      <c r="AD22" s="223"/>
      <c r="AE22" s="223"/>
      <c r="AF22" s="223"/>
      <c r="AG22" s="223"/>
      <c r="AH22" s="223"/>
      <c r="AI22" s="223"/>
      <c r="AJ22" s="480">
        <v>2</v>
      </c>
      <c r="AK22" s="2585"/>
      <c r="AL22" s="2586"/>
      <c r="AM22" s="223"/>
      <c r="AN22" s="223"/>
      <c r="AO22" s="223"/>
      <c r="AP22" s="223"/>
      <c r="AQ22" s="223"/>
      <c r="AR22" s="223"/>
      <c r="AS22" s="477">
        <v>2</v>
      </c>
      <c r="AT22" s="2602"/>
      <c r="AU22" s="2603"/>
      <c r="AV22" s="228"/>
      <c r="AW22" s="228"/>
      <c r="AX22" s="228"/>
      <c r="AY22" s="228"/>
      <c r="AZ22" s="228"/>
      <c r="BA22" s="228"/>
      <c r="BB22" s="2604"/>
      <c r="BC22" s="2605"/>
      <c r="BD22" s="228"/>
      <c r="BE22" s="228"/>
      <c r="BF22" s="228"/>
      <c r="BG22" s="228"/>
      <c r="BH22" s="228"/>
      <c r="BI22" s="228"/>
    </row>
    <row r="23" spans="1:61" ht="25.15" customHeight="1" thickBot="1">
      <c r="A23" s="481">
        <v>3</v>
      </c>
      <c r="B23" s="2591"/>
      <c r="C23" s="2591"/>
      <c r="D23" s="514"/>
      <c r="E23" s="352"/>
      <c r="F23" s="351"/>
      <c r="G23" s="810"/>
      <c r="H23" s="810"/>
      <c r="I23" s="810"/>
      <c r="J23" s="810"/>
      <c r="K23" s="352"/>
      <c r="L23" s="351"/>
      <c r="M23" s="2592"/>
      <c r="N23" s="2593"/>
      <c r="O23" s="251"/>
      <c r="P23" s="251"/>
      <c r="Q23" s="251"/>
      <c r="R23" s="251"/>
      <c r="S23" s="251"/>
      <c r="T23" s="251"/>
      <c r="U23" s="251"/>
      <c r="V23" s="251"/>
      <c r="W23" s="481">
        <v>3</v>
      </c>
      <c r="X23" s="2594"/>
      <c r="Y23" s="2595"/>
      <c r="Z23" s="251"/>
      <c r="AA23" s="251"/>
      <c r="AB23" s="251"/>
      <c r="AC23" s="251"/>
      <c r="AD23" s="251"/>
      <c r="AE23" s="251"/>
      <c r="AF23" s="251"/>
      <c r="AG23" s="251"/>
      <c r="AH23" s="251"/>
      <c r="AI23" s="251"/>
      <c r="AJ23" s="481">
        <v>3</v>
      </c>
      <c r="AK23" s="2594"/>
      <c r="AL23" s="2595"/>
      <c r="AM23" s="251"/>
      <c r="AN23" s="251"/>
      <c r="AO23" s="251"/>
      <c r="AP23" s="251"/>
      <c r="AQ23" s="251"/>
      <c r="AR23" s="251"/>
      <c r="AS23" s="478">
        <v>3</v>
      </c>
      <c r="AT23" s="2610"/>
      <c r="AU23" s="2611"/>
      <c r="AV23" s="252"/>
      <c r="AW23" s="252"/>
      <c r="AX23" s="252"/>
      <c r="AY23" s="252"/>
      <c r="AZ23" s="252"/>
      <c r="BA23" s="252"/>
      <c r="BB23" s="2612"/>
      <c r="BC23" s="2613"/>
      <c r="BD23" s="252"/>
      <c r="BE23" s="252"/>
      <c r="BF23" s="252"/>
      <c r="BG23" s="252"/>
      <c r="BH23" s="252"/>
      <c r="BI23" s="252"/>
    </row>
    <row r="24" spans="1:61" ht="25.15" customHeight="1" thickTop="1">
      <c r="A24" s="483">
        <v>4</v>
      </c>
      <c r="B24" s="2597"/>
      <c r="C24" s="2597"/>
      <c r="D24" s="512"/>
      <c r="E24" s="348"/>
      <c r="F24" s="347"/>
      <c r="G24" s="116"/>
      <c r="H24" s="116"/>
      <c r="I24" s="116"/>
      <c r="J24" s="116"/>
      <c r="K24" s="348"/>
      <c r="L24" s="347"/>
      <c r="M24" s="2598"/>
      <c r="N24" s="2599"/>
      <c r="O24" s="249"/>
      <c r="P24" s="249"/>
      <c r="Q24" s="249"/>
      <c r="R24" s="249"/>
      <c r="S24" s="249"/>
      <c r="T24" s="249"/>
      <c r="U24" s="249"/>
      <c r="V24" s="249"/>
      <c r="W24" s="483">
        <v>4</v>
      </c>
      <c r="X24" s="2600"/>
      <c r="Y24" s="2601"/>
      <c r="Z24" s="249"/>
      <c r="AA24" s="249"/>
      <c r="AB24" s="249"/>
      <c r="AC24" s="249"/>
      <c r="AD24" s="249"/>
      <c r="AE24" s="249"/>
      <c r="AF24" s="249"/>
      <c r="AG24" s="249"/>
      <c r="AH24" s="249"/>
      <c r="AI24" s="249"/>
      <c r="AJ24" s="483">
        <v>4</v>
      </c>
      <c r="AK24" s="2600"/>
      <c r="AL24" s="2601"/>
      <c r="AM24" s="249"/>
      <c r="AN24" s="249"/>
      <c r="AO24" s="249"/>
      <c r="AP24" s="249"/>
      <c r="AQ24" s="249"/>
      <c r="AR24" s="249"/>
      <c r="AS24" s="479">
        <v>4</v>
      </c>
      <c r="AT24" s="2606"/>
      <c r="AU24" s="2607"/>
      <c r="AV24" s="250"/>
      <c r="AW24" s="250"/>
      <c r="AX24" s="250"/>
      <c r="AY24" s="250"/>
      <c r="AZ24" s="250"/>
      <c r="BA24" s="250"/>
      <c r="BB24" s="2608"/>
      <c r="BC24" s="2609"/>
      <c r="BD24" s="250"/>
      <c r="BE24" s="250"/>
      <c r="BF24" s="250"/>
      <c r="BG24" s="250"/>
      <c r="BH24" s="250"/>
      <c r="BI24" s="250"/>
    </row>
    <row r="25" spans="1:61" ht="25.15" customHeight="1">
      <c r="A25" s="480">
        <v>5</v>
      </c>
      <c r="B25" s="2596"/>
      <c r="C25" s="2596"/>
      <c r="D25" s="513"/>
      <c r="E25" s="348"/>
      <c r="F25" s="347"/>
      <c r="G25" s="809"/>
      <c r="H25" s="809"/>
      <c r="I25" s="809"/>
      <c r="J25" s="809"/>
      <c r="K25" s="348"/>
      <c r="L25" s="347"/>
      <c r="M25" s="2583"/>
      <c r="N25" s="2584"/>
      <c r="O25" s="223"/>
      <c r="P25" s="223"/>
      <c r="Q25" s="223"/>
      <c r="R25" s="223"/>
      <c r="S25" s="223"/>
      <c r="T25" s="223"/>
      <c r="U25" s="223"/>
      <c r="V25" s="223"/>
      <c r="W25" s="480">
        <v>5</v>
      </c>
      <c r="X25" s="2585"/>
      <c r="Y25" s="2586"/>
      <c r="Z25" s="223"/>
      <c r="AA25" s="223"/>
      <c r="AB25" s="223"/>
      <c r="AC25" s="223"/>
      <c r="AD25" s="223"/>
      <c r="AE25" s="223"/>
      <c r="AF25" s="223"/>
      <c r="AG25" s="223"/>
      <c r="AH25" s="223"/>
      <c r="AI25" s="223"/>
      <c r="AJ25" s="480">
        <v>5</v>
      </c>
      <c r="AK25" s="2585"/>
      <c r="AL25" s="2586"/>
      <c r="AM25" s="223"/>
      <c r="AN25" s="223"/>
      <c r="AO25" s="223"/>
      <c r="AP25" s="223"/>
      <c r="AQ25" s="223"/>
      <c r="AR25" s="223"/>
      <c r="AS25" s="477">
        <v>5</v>
      </c>
      <c r="AT25" s="2602"/>
      <c r="AU25" s="2603"/>
      <c r="AV25" s="228"/>
      <c r="AW25" s="228"/>
      <c r="AX25" s="228"/>
      <c r="AY25" s="228"/>
      <c r="AZ25" s="228"/>
      <c r="BA25" s="228"/>
      <c r="BB25" s="2604"/>
      <c r="BC25" s="2605"/>
      <c r="BD25" s="228"/>
      <c r="BE25" s="228"/>
      <c r="BF25" s="228"/>
      <c r="BG25" s="228"/>
      <c r="BH25" s="228"/>
      <c r="BI25" s="228"/>
    </row>
    <row r="26" spans="1:61" ht="25.15" customHeight="1" thickBot="1">
      <c r="A26" s="481">
        <v>6</v>
      </c>
      <c r="B26" s="2591"/>
      <c r="C26" s="2591"/>
      <c r="D26" s="514"/>
      <c r="E26" s="352"/>
      <c r="F26" s="351"/>
      <c r="G26" s="810"/>
      <c r="H26" s="810"/>
      <c r="I26" s="810"/>
      <c r="J26" s="810"/>
      <c r="K26" s="352"/>
      <c r="L26" s="351"/>
      <c r="M26" s="2592"/>
      <c r="N26" s="2593"/>
      <c r="O26" s="251"/>
      <c r="P26" s="251"/>
      <c r="Q26" s="251"/>
      <c r="R26" s="251"/>
      <c r="S26" s="251"/>
      <c r="T26" s="251"/>
      <c r="U26" s="251"/>
      <c r="V26" s="251"/>
      <c r="W26" s="481">
        <v>6</v>
      </c>
      <c r="X26" s="2594"/>
      <c r="Y26" s="2595"/>
      <c r="Z26" s="251"/>
      <c r="AA26" s="251"/>
      <c r="AB26" s="251"/>
      <c r="AC26" s="251"/>
      <c r="AD26" s="251"/>
      <c r="AE26" s="251"/>
      <c r="AF26" s="251"/>
      <c r="AG26" s="251"/>
      <c r="AH26" s="251"/>
      <c r="AI26" s="251"/>
      <c r="AJ26" s="481">
        <v>6</v>
      </c>
      <c r="AK26" s="2594"/>
      <c r="AL26" s="2595"/>
      <c r="AM26" s="251"/>
      <c r="AN26" s="251"/>
      <c r="AO26" s="251"/>
      <c r="AP26" s="251"/>
      <c r="AQ26" s="251"/>
      <c r="AR26" s="251"/>
      <c r="AS26" s="478">
        <v>6</v>
      </c>
      <c r="AT26" s="2610"/>
      <c r="AU26" s="2611"/>
      <c r="AV26" s="252"/>
      <c r="AW26" s="252"/>
      <c r="AX26" s="252"/>
      <c r="AY26" s="252"/>
      <c r="AZ26" s="252"/>
      <c r="BA26" s="252"/>
      <c r="BB26" s="2612"/>
      <c r="BC26" s="2613"/>
      <c r="BD26" s="252"/>
      <c r="BE26" s="252"/>
      <c r="BF26" s="252"/>
      <c r="BG26" s="252"/>
      <c r="BH26" s="252"/>
      <c r="BI26" s="252"/>
    </row>
    <row r="27" spans="1:61" ht="25.15" customHeight="1" thickTop="1">
      <c r="A27" s="483">
        <v>7</v>
      </c>
      <c r="B27" s="2597"/>
      <c r="C27" s="2597"/>
      <c r="D27" s="512"/>
      <c r="E27" s="348"/>
      <c r="F27" s="347"/>
      <c r="G27" s="116"/>
      <c r="H27" s="116"/>
      <c r="I27" s="116"/>
      <c r="J27" s="116"/>
      <c r="K27" s="348"/>
      <c r="L27" s="347"/>
      <c r="M27" s="2598"/>
      <c r="N27" s="2599"/>
      <c r="O27" s="249"/>
      <c r="P27" s="249"/>
      <c r="Q27" s="249"/>
      <c r="R27" s="249"/>
      <c r="S27" s="249"/>
      <c r="T27" s="249"/>
      <c r="U27" s="249"/>
      <c r="V27" s="249"/>
      <c r="W27" s="483">
        <v>7</v>
      </c>
      <c r="X27" s="2600"/>
      <c r="Y27" s="2601"/>
      <c r="Z27" s="249"/>
      <c r="AA27" s="249"/>
      <c r="AB27" s="249"/>
      <c r="AC27" s="249"/>
      <c r="AD27" s="249"/>
      <c r="AE27" s="249"/>
      <c r="AF27" s="249"/>
      <c r="AG27" s="249"/>
      <c r="AH27" s="249"/>
      <c r="AI27" s="249"/>
      <c r="AJ27" s="483">
        <v>7</v>
      </c>
      <c r="AK27" s="2600"/>
      <c r="AL27" s="2601"/>
      <c r="AM27" s="249"/>
      <c r="AN27" s="249"/>
      <c r="AO27" s="249"/>
      <c r="AP27" s="249"/>
      <c r="AQ27" s="249"/>
      <c r="AR27" s="249"/>
      <c r="AS27" s="479">
        <v>7</v>
      </c>
      <c r="AT27" s="2606"/>
      <c r="AU27" s="2607"/>
      <c r="AV27" s="250"/>
      <c r="AW27" s="250"/>
      <c r="AX27" s="250"/>
      <c r="AY27" s="250"/>
      <c r="AZ27" s="250"/>
      <c r="BA27" s="250"/>
      <c r="BB27" s="2608"/>
      <c r="BC27" s="2609"/>
      <c r="BD27" s="250"/>
      <c r="BE27" s="250"/>
      <c r="BF27" s="250"/>
      <c r="BG27" s="250"/>
      <c r="BH27" s="250"/>
      <c r="BI27" s="250"/>
    </row>
    <row r="28" spans="1:61" ht="25.15" customHeight="1">
      <c r="A28" s="480">
        <v>8</v>
      </c>
      <c r="B28" s="2596"/>
      <c r="C28" s="2596"/>
      <c r="D28" s="513"/>
      <c r="E28" s="348"/>
      <c r="F28" s="347"/>
      <c r="G28" s="809"/>
      <c r="H28" s="809"/>
      <c r="I28" s="809"/>
      <c r="J28" s="809"/>
      <c r="K28" s="348"/>
      <c r="L28" s="347"/>
      <c r="M28" s="2583"/>
      <c r="N28" s="2584"/>
      <c r="O28" s="223"/>
      <c r="P28" s="223"/>
      <c r="Q28" s="223"/>
      <c r="R28" s="223"/>
      <c r="S28" s="223"/>
      <c r="T28" s="223"/>
      <c r="U28" s="223"/>
      <c r="V28" s="223"/>
      <c r="W28" s="480">
        <v>8</v>
      </c>
      <c r="X28" s="2585"/>
      <c r="Y28" s="2586"/>
      <c r="Z28" s="223"/>
      <c r="AA28" s="223"/>
      <c r="AB28" s="223"/>
      <c r="AC28" s="223"/>
      <c r="AD28" s="223"/>
      <c r="AE28" s="223"/>
      <c r="AF28" s="223"/>
      <c r="AG28" s="223"/>
      <c r="AH28" s="223"/>
      <c r="AI28" s="223"/>
      <c r="AJ28" s="480">
        <v>8</v>
      </c>
      <c r="AK28" s="2585"/>
      <c r="AL28" s="2586"/>
      <c r="AM28" s="223"/>
      <c r="AN28" s="223"/>
      <c r="AO28" s="223"/>
      <c r="AP28" s="223"/>
      <c r="AQ28" s="223"/>
      <c r="AR28" s="223"/>
      <c r="AS28" s="477">
        <v>8</v>
      </c>
      <c r="AT28" s="2602"/>
      <c r="AU28" s="2603"/>
      <c r="AV28" s="228"/>
      <c r="AW28" s="228"/>
      <c r="AX28" s="228"/>
      <c r="AY28" s="228"/>
      <c r="AZ28" s="228"/>
      <c r="BA28" s="228"/>
      <c r="BB28" s="2604"/>
      <c r="BC28" s="2605"/>
      <c r="BD28" s="228"/>
      <c r="BE28" s="228"/>
      <c r="BF28" s="228"/>
      <c r="BG28" s="228"/>
      <c r="BH28" s="228"/>
      <c r="BI28" s="228"/>
    </row>
    <row r="29" spans="1:61" ht="25.15" customHeight="1" thickBot="1">
      <c r="A29" s="481">
        <v>9</v>
      </c>
      <c r="B29" s="2591"/>
      <c r="C29" s="2591"/>
      <c r="D29" s="514"/>
      <c r="E29" s="352"/>
      <c r="F29" s="351"/>
      <c r="G29" s="810"/>
      <c r="H29" s="810"/>
      <c r="I29" s="810"/>
      <c r="J29" s="810"/>
      <c r="K29" s="352"/>
      <c r="L29" s="351"/>
      <c r="M29" s="2592"/>
      <c r="N29" s="2593"/>
      <c r="O29" s="251"/>
      <c r="P29" s="251"/>
      <c r="Q29" s="251"/>
      <c r="R29" s="251"/>
      <c r="S29" s="251"/>
      <c r="T29" s="251"/>
      <c r="U29" s="251"/>
      <c r="V29" s="251"/>
      <c r="W29" s="481">
        <v>9</v>
      </c>
      <c r="X29" s="2594"/>
      <c r="Y29" s="2595"/>
      <c r="Z29" s="251"/>
      <c r="AA29" s="251"/>
      <c r="AB29" s="251"/>
      <c r="AC29" s="251"/>
      <c r="AD29" s="251"/>
      <c r="AE29" s="251"/>
      <c r="AF29" s="251"/>
      <c r="AG29" s="251"/>
      <c r="AH29" s="251"/>
      <c r="AI29" s="251"/>
      <c r="AJ29" s="481">
        <v>9</v>
      </c>
      <c r="AK29" s="2594"/>
      <c r="AL29" s="2595"/>
      <c r="AM29" s="251"/>
      <c r="AN29" s="251"/>
      <c r="AO29" s="251"/>
      <c r="AP29" s="251"/>
      <c r="AQ29" s="251"/>
      <c r="AR29" s="251"/>
      <c r="AS29" s="478">
        <v>9</v>
      </c>
      <c r="AT29" s="2610"/>
      <c r="AU29" s="2611"/>
      <c r="AV29" s="252"/>
      <c r="AW29" s="252"/>
      <c r="AX29" s="252"/>
      <c r="AY29" s="252"/>
      <c r="AZ29" s="252"/>
      <c r="BA29" s="252"/>
      <c r="BB29" s="2612"/>
      <c r="BC29" s="2613"/>
      <c r="BD29" s="252"/>
      <c r="BE29" s="252"/>
      <c r="BF29" s="252"/>
      <c r="BG29" s="252"/>
      <c r="BH29" s="252"/>
      <c r="BI29" s="252"/>
    </row>
    <row r="30" spans="1:61" ht="25.15" customHeight="1" thickTop="1">
      <c r="A30" s="483">
        <v>10</v>
      </c>
      <c r="B30" s="2597"/>
      <c r="C30" s="2597"/>
      <c r="D30" s="512"/>
      <c r="E30" s="348"/>
      <c r="F30" s="347"/>
      <c r="G30" s="811"/>
      <c r="H30" s="811"/>
      <c r="I30" s="811"/>
      <c r="J30" s="811"/>
      <c r="K30" s="348"/>
      <c r="L30" s="347"/>
      <c r="M30" s="2598"/>
      <c r="N30" s="2599"/>
      <c r="O30" s="249"/>
      <c r="P30" s="249"/>
      <c r="Q30" s="249"/>
      <c r="R30" s="249"/>
      <c r="S30" s="249"/>
      <c r="T30" s="249"/>
      <c r="U30" s="249"/>
      <c r="V30" s="249"/>
      <c r="W30" s="483">
        <v>10</v>
      </c>
      <c r="X30" s="2600"/>
      <c r="Y30" s="2601"/>
      <c r="Z30" s="249"/>
      <c r="AA30" s="249"/>
      <c r="AB30" s="249"/>
      <c r="AC30" s="249"/>
      <c r="AD30" s="249"/>
      <c r="AE30" s="249"/>
      <c r="AF30" s="249"/>
      <c r="AG30" s="249"/>
      <c r="AH30" s="249"/>
      <c r="AI30" s="249"/>
      <c r="AJ30" s="483">
        <v>10</v>
      </c>
      <c r="AK30" s="2600"/>
      <c r="AL30" s="2601"/>
      <c r="AM30" s="249"/>
      <c r="AN30" s="249"/>
      <c r="AO30" s="249"/>
      <c r="AP30" s="249"/>
      <c r="AQ30" s="249"/>
      <c r="AR30" s="249"/>
      <c r="AS30" s="479">
        <v>10</v>
      </c>
      <c r="AT30" s="2606"/>
      <c r="AU30" s="2607"/>
      <c r="AV30" s="250"/>
      <c r="AW30" s="250"/>
      <c r="AX30" s="250"/>
      <c r="AY30" s="250"/>
      <c r="AZ30" s="250"/>
      <c r="BA30" s="250"/>
      <c r="BB30" s="2608"/>
      <c r="BC30" s="2609"/>
      <c r="BD30" s="250"/>
      <c r="BE30" s="250"/>
      <c r="BF30" s="250"/>
      <c r="BG30" s="250"/>
      <c r="BH30" s="250"/>
      <c r="BI30" s="250"/>
    </row>
    <row r="31" spans="1:61" ht="25.15" customHeight="1">
      <c r="A31" s="480">
        <v>11</v>
      </c>
      <c r="B31" s="2596"/>
      <c r="C31" s="2596"/>
      <c r="D31" s="513"/>
      <c r="E31" s="348"/>
      <c r="F31" s="347"/>
      <c r="G31" s="809"/>
      <c r="H31" s="809"/>
      <c r="I31" s="809"/>
      <c r="J31" s="809"/>
      <c r="K31" s="348"/>
      <c r="L31" s="347"/>
      <c r="M31" s="2583"/>
      <c r="N31" s="2584"/>
      <c r="O31" s="223"/>
      <c r="P31" s="223"/>
      <c r="Q31" s="223"/>
      <c r="R31" s="223"/>
      <c r="S31" s="223"/>
      <c r="T31" s="223"/>
      <c r="U31" s="223"/>
      <c r="V31" s="223"/>
      <c r="W31" s="480">
        <v>11</v>
      </c>
      <c r="X31" s="2585"/>
      <c r="Y31" s="2586"/>
      <c r="Z31" s="223"/>
      <c r="AA31" s="223"/>
      <c r="AB31" s="223"/>
      <c r="AC31" s="223"/>
      <c r="AD31" s="223"/>
      <c r="AE31" s="223"/>
      <c r="AF31" s="223"/>
      <c r="AG31" s="223"/>
      <c r="AH31" s="223"/>
      <c r="AI31" s="223"/>
      <c r="AJ31" s="480">
        <v>11</v>
      </c>
      <c r="AK31" s="2585"/>
      <c r="AL31" s="2586"/>
      <c r="AM31" s="223"/>
      <c r="AN31" s="223"/>
      <c r="AO31" s="223"/>
      <c r="AP31" s="223"/>
      <c r="AQ31" s="223"/>
      <c r="AR31" s="223"/>
      <c r="AS31" s="477">
        <v>11</v>
      </c>
      <c r="AT31" s="2602"/>
      <c r="AU31" s="2603"/>
      <c r="AV31" s="228"/>
      <c r="AW31" s="228"/>
      <c r="AX31" s="228"/>
      <c r="AY31" s="228"/>
      <c r="AZ31" s="228"/>
      <c r="BA31" s="228"/>
      <c r="BB31" s="2604"/>
      <c r="BC31" s="2605"/>
      <c r="BD31" s="228"/>
      <c r="BE31" s="228"/>
      <c r="BF31" s="228"/>
      <c r="BG31" s="228"/>
      <c r="BH31" s="228"/>
      <c r="BI31" s="228"/>
    </row>
    <row r="32" spans="1:61" ht="25.15" customHeight="1" thickBot="1">
      <c r="A32" s="481">
        <v>12</v>
      </c>
      <c r="B32" s="2591"/>
      <c r="C32" s="2591"/>
      <c r="D32" s="514"/>
      <c r="E32" s="352"/>
      <c r="F32" s="351"/>
      <c r="G32" s="810"/>
      <c r="H32" s="810"/>
      <c r="I32" s="810"/>
      <c r="J32" s="810"/>
      <c r="K32" s="352"/>
      <c r="L32" s="351"/>
      <c r="M32" s="2592"/>
      <c r="N32" s="2593"/>
      <c r="O32" s="251"/>
      <c r="P32" s="251"/>
      <c r="Q32" s="251"/>
      <c r="R32" s="251"/>
      <c r="S32" s="251"/>
      <c r="T32" s="251"/>
      <c r="U32" s="251"/>
      <c r="V32" s="251"/>
      <c r="W32" s="481">
        <v>12</v>
      </c>
      <c r="X32" s="2594"/>
      <c r="Y32" s="2595"/>
      <c r="Z32" s="251"/>
      <c r="AA32" s="251"/>
      <c r="AB32" s="251"/>
      <c r="AC32" s="251"/>
      <c r="AD32" s="251"/>
      <c r="AE32" s="251"/>
      <c r="AF32" s="251"/>
      <c r="AG32" s="251"/>
      <c r="AH32" s="251"/>
      <c r="AI32" s="251"/>
      <c r="AJ32" s="481">
        <v>12</v>
      </c>
      <c r="AK32" s="2594"/>
      <c r="AL32" s="2595"/>
      <c r="AM32" s="251"/>
      <c r="AN32" s="251"/>
      <c r="AO32" s="251"/>
      <c r="AP32" s="251"/>
      <c r="AQ32" s="251"/>
      <c r="AR32" s="251"/>
      <c r="AS32" s="478">
        <v>12</v>
      </c>
      <c r="AT32" s="2610"/>
      <c r="AU32" s="2611"/>
      <c r="AV32" s="252"/>
      <c r="AW32" s="252"/>
      <c r="AX32" s="252"/>
      <c r="AY32" s="252"/>
      <c r="AZ32" s="252"/>
      <c r="BA32" s="252"/>
      <c r="BB32" s="2612"/>
      <c r="BC32" s="2613"/>
      <c r="BD32" s="252"/>
      <c r="BE32" s="252"/>
      <c r="BF32" s="252"/>
      <c r="BG32" s="252"/>
      <c r="BH32" s="252"/>
      <c r="BI32" s="252"/>
    </row>
    <row r="33" spans="1:61" ht="25.15" customHeight="1" thickTop="1">
      <c r="A33" s="483">
        <v>13</v>
      </c>
      <c r="B33" s="2597"/>
      <c r="C33" s="2597"/>
      <c r="D33" s="512"/>
      <c r="E33" s="348"/>
      <c r="F33" s="347"/>
      <c r="G33" s="348"/>
      <c r="H33" s="350"/>
      <c r="I33" s="350"/>
      <c r="J33" s="347"/>
      <c r="K33" s="348"/>
      <c r="L33" s="347"/>
      <c r="M33" s="2598"/>
      <c r="N33" s="2599"/>
      <c r="O33" s="249"/>
      <c r="P33" s="249"/>
      <c r="Q33" s="249"/>
      <c r="R33" s="249"/>
      <c r="S33" s="249"/>
      <c r="T33" s="249"/>
      <c r="U33" s="249"/>
      <c r="V33" s="249"/>
      <c r="W33" s="483">
        <v>13</v>
      </c>
      <c r="X33" s="2600"/>
      <c r="Y33" s="2601"/>
      <c r="Z33" s="249"/>
      <c r="AA33" s="249"/>
      <c r="AB33" s="249"/>
      <c r="AC33" s="249"/>
      <c r="AD33" s="249"/>
      <c r="AE33" s="249"/>
      <c r="AF33" s="249"/>
      <c r="AG33" s="249"/>
      <c r="AH33" s="249"/>
      <c r="AI33" s="249"/>
      <c r="AJ33" s="483">
        <v>13</v>
      </c>
      <c r="AK33" s="2600"/>
      <c r="AL33" s="2601"/>
      <c r="AM33" s="249"/>
      <c r="AN33" s="249"/>
      <c r="AO33" s="249"/>
      <c r="AP33" s="249"/>
      <c r="AQ33" s="249"/>
      <c r="AR33" s="249"/>
      <c r="AS33" s="479">
        <v>13</v>
      </c>
      <c r="AT33" s="2606"/>
      <c r="AU33" s="2607"/>
      <c r="AV33" s="250"/>
      <c r="AW33" s="250"/>
      <c r="AX33" s="250"/>
      <c r="AY33" s="250"/>
      <c r="AZ33" s="250"/>
      <c r="BA33" s="250"/>
      <c r="BB33" s="2608"/>
      <c r="BC33" s="2609"/>
      <c r="BD33" s="250"/>
      <c r="BE33" s="250"/>
      <c r="BF33" s="250"/>
      <c r="BG33" s="250"/>
      <c r="BH33" s="250"/>
      <c r="BI33" s="250"/>
    </row>
    <row r="34" spans="1:61" ht="25.15" customHeight="1">
      <c r="A34" s="480">
        <v>14</v>
      </c>
      <c r="B34" s="2581"/>
      <c r="C34" s="2582"/>
      <c r="D34" s="513"/>
      <c r="E34" s="348"/>
      <c r="F34" s="347"/>
      <c r="G34" s="348"/>
      <c r="H34" s="350"/>
      <c r="I34" s="350"/>
      <c r="J34" s="347"/>
      <c r="K34" s="348"/>
      <c r="L34" s="347"/>
      <c r="M34" s="2583"/>
      <c r="N34" s="2584"/>
      <c r="O34" s="223"/>
      <c r="P34" s="223"/>
      <c r="Q34" s="223"/>
      <c r="R34" s="223"/>
      <c r="S34" s="223"/>
      <c r="T34" s="223"/>
      <c r="U34" s="223"/>
      <c r="V34" s="223"/>
      <c r="W34" s="480">
        <v>14</v>
      </c>
      <c r="X34" s="2585"/>
      <c r="Y34" s="2586"/>
      <c r="Z34" s="223"/>
      <c r="AA34" s="223"/>
      <c r="AB34" s="223"/>
      <c r="AC34" s="223"/>
      <c r="AD34" s="223"/>
      <c r="AE34" s="223"/>
      <c r="AF34" s="223"/>
      <c r="AG34" s="223"/>
      <c r="AH34" s="223"/>
      <c r="AI34" s="223"/>
      <c r="AJ34" s="480">
        <v>14</v>
      </c>
      <c r="AK34" s="2585"/>
      <c r="AL34" s="2586"/>
      <c r="AM34" s="223"/>
      <c r="AN34" s="223"/>
      <c r="AO34" s="223"/>
      <c r="AP34" s="223"/>
      <c r="AQ34" s="223"/>
      <c r="AR34" s="223"/>
      <c r="AS34" s="477">
        <v>14</v>
      </c>
      <c r="AT34" s="2602"/>
      <c r="AU34" s="2603"/>
      <c r="AV34" s="228"/>
      <c r="AW34" s="228"/>
      <c r="AX34" s="228"/>
      <c r="AY34" s="228"/>
      <c r="AZ34" s="228"/>
      <c r="BA34" s="228"/>
      <c r="BB34" s="2604"/>
      <c r="BC34" s="2605"/>
      <c r="BD34" s="228"/>
      <c r="BE34" s="228"/>
      <c r="BF34" s="228"/>
      <c r="BG34" s="228"/>
      <c r="BH34" s="228"/>
      <c r="BI34" s="228"/>
    </row>
    <row r="35" spans="1:61" ht="25.15" customHeight="1">
      <c r="A35" s="480">
        <v>15</v>
      </c>
      <c r="B35" s="2581"/>
      <c r="C35" s="2582"/>
      <c r="D35" s="513"/>
      <c r="E35" s="348"/>
      <c r="F35" s="347"/>
      <c r="G35" s="348"/>
      <c r="H35" s="350"/>
      <c r="I35" s="350"/>
      <c r="J35" s="347"/>
      <c r="K35" s="348"/>
      <c r="L35" s="347"/>
      <c r="M35" s="2583"/>
      <c r="N35" s="2584"/>
      <c r="O35" s="223"/>
      <c r="P35" s="223"/>
      <c r="Q35" s="223"/>
      <c r="R35" s="223"/>
      <c r="S35" s="223"/>
      <c r="T35" s="223"/>
      <c r="U35" s="223"/>
      <c r="V35" s="223"/>
      <c r="W35" s="480">
        <v>15</v>
      </c>
      <c r="X35" s="2585"/>
      <c r="Y35" s="2586"/>
      <c r="Z35" s="223"/>
      <c r="AA35" s="223"/>
      <c r="AB35" s="223"/>
      <c r="AC35" s="223"/>
      <c r="AD35" s="223"/>
      <c r="AE35" s="223"/>
      <c r="AF35" s="223"/>
      <c r="AG35" s="223"/>
      <c r="AH35" s="223"/>
      <c r="AI35" s="223"/>
      <c r="AJ35" s="480">
        <v>15</v>
      </c>
      <c r="AK35" s="2585"/>
      <c r="AL35" s="2586"/>
      <c r="AM35" s="223"/>
      <c r="AN35" s="223"/>
      <c r="AO35" s="223"/>
      <c r="AP35" s="223"/>
      <c r="AQ35" s="223"/>
      <c r="AR35" s="223"/>
      <c r="AS35" s="477">
        <v>15</v>
      </c>
      <c r="AT35" s="2602"/>
      <c r="AU35" s="2603"/>
      <c r="AV35" s="228"/>
      <c r="AW35" s="228"/>
      <c r="AX35" s="228"/>
      <c r="AY35" s="228"/>
      <c r="AZ35" s="228"/>
      <c r="BA35" s="228"/>
      <c r="BB35" s="2604"/>
      <c r="BC35" s="2605"/>
      <c r="BD35" s="228"/>
      <c r="BE35" s="228"/>
      <c r="BF35" s="228"/>
      <c r="BG35" s="228"/>
      <c r="BH35" s="228"/>
      <c r="BI35" s="228"/>
    </row>
    <row r="36" spans="1:61">
      <c r="A36" s="1602"/>
      <c r="B36" s="1603"/>
      <c r="C36" s="1603"/>
      <c r="D36" s="1604"/>
      <c r="E36" s="864"/>
      <c r="F36" s="864"/>
      <c r="G36" s="864"/>
      <c r="H36" s="864"/>
      <c r="I36" s="864"/>
      <c r="J36" s="864"/>
      <c r="K36" s="864"/>
      <c r="L36" s="864"/>
      <c r="M36" s="1604"/>
      <c r="N36" s="1604"/>
      <c r="W36" s="1602"/>
      <c r="X36" s="1605"/>
      <c r="Y36" s="1605"/>
      <c r="AJ36" s="1602"/>
      <c r="AK36" s="1605"/>
      <c r="AL36" s="1605"/>
      <c r="AS36" s="1261"/>
      <c r="AT36" s="1606"/>
      <c r="AU36" s="1606"/>
      <c r="AV36" s="226"/>
      <c r="AW36" s="226"/>
      <c r="AX36" s="226"/>
      <c r="AY36" s="226"/>
      <c r="AZ36" s="226"/>
      <c r="BA36" s="226"/>
      <c r="BB36" s="1607"/>
      <c r="BC36" s="1607"/>
      <c r="BD36" s="226"/>
      <c r="BE36" s="226"/>
      <c r="BF36" s="226"/>
      <c r="BG36" s="226"/>
      <c r="BH36" s="226"/>
      <c r="BI36" s="226"/>
    </row>
  </sheetData>
  <mergeCells count="183">
    <mergeCell ref="BB26:BC26"/>
    <mergeCell ref="AT21:AU21"/>
    <mergeCell ref="BB21:BC21"/>
    <mergeCell ref="AT22:AU22"/>
    <mergeCell ref="BB22:BC22"/>
    <mergeCell ref="AT23:AU23"/>
    <mergeCell ref="BB23:BC23"/>
    <mergeCell ref="AT24:AU24"/>
    <mergeCell ref="BB24:BC24"/>
    <mergeCell ref="AT25:AU25"/>
    <mergeCell ref="BB25:BC25"/>
    <mergeCell ref="AT26:AU26"/>
    <mergeCell ref="AT27:AU27"/>
    <mergeCell ref="BB27:BC27"/>
    <mergeCell ref="AT28:AU28"/>
    <mergeCell ref="BB28:BC28"/>
    <mergeCell ref="AT29:AU29"/>
    <mergeCell ref="BB29:BC29"/>
    <mergeCell ref="AT33:AU33"/>
    <mergeCell ref="BB33:BC33"/>
    <mergeCell ref="AT34:AU34"/>
    <mergeCell ref="BB34:BC34"/>
    <mergeCell ref="B31:C31"/>
    <mergeCell ref="M31:N31"/>
    <mergeCell ref="X31:Y31"/>
    <mergeCell ref="AK31:AL31"/>
    <mergeCell ref="AT35:AU35"/>
    <mergeCell ref="BB35:BC35"/>
    <mergeCell ref="AT30:AU30"/>
    <mergeCell ref="BB30:BC30"/>
    <mergeCell ref="AT31:AU31"/>
    <mergeCell ref="BB31:BC31"/>
    <mergeCell ref="AT32:AU32"/>
    <mergeCell ref="BB32:BC32"/>
    <mergeCell ref="B29:C29"/>
    <mergeCell ref="M29:N29"/>
    <mergeCell ref="B35:C35"/>
    <mergeCell ref="M35:N35"/>
    <mergeCell ref="X35:Y35"/>
    <mergeCell ref="AK35:AL35"/>
    <mergeCell ref="B32:C32"/>
    <mergeCell ref="M32:N32"/>
    <mergeCell ref="X32:Y32"/>
    <mergeCell ref="AK32:AL32"/>
    <mergeCell ref="B33:C33"/>
    <mergeCell ref="M33:N33"/>
    <mergeCell ref="X33:Y33"/>
    <mergeCell ref="AK33:AL33"/>
    <mergeCell ref="X29:Y29"/>
    <mergeCell ref="AK29:AL29"/>
    <mergeCell ref="B34:C34"/>
    <mergeCell ref="M34:N34"/>
    <mergeCell ref="X34:Y34"/>
    <mergeCell ref="AK34:AL34"/>
    <mergeCell ref="B30:C30"/>
    <mergeCell ref="M30:N30"/>
    <mergeCell ref="X30:Y30"/>
    <mergeCell ref="AK30:AL30"/>
    <mergeCell ref="B23:C23"/>
    <mergeCell ref="M23:N23"/>
    <mergeCell ref="X23:Y23"/>
    <mergeCell ref="AK23:AL23"/>
    <mergeCell ref="B26:C26"/>
    <mergeCell ref="M26:N26"/>
    <mergeCell ref="X26:Y26"/>
    <mergeCell ref="AK26:AL26"/>
    <mergeCell ref="B28:C28"/>
    <mergeCell ref="M28:N28"/>
    <mergeCell ref="X28:Y28"/>
    <mergeCell ref="AK28:AL28"/>
    <mergeCell ref="B27:C27"/>
    <mergeCell ref="M27:N27"/>
    <mergeCell ref="X27:Y27"/>
    <mergeCell ref="AK27:AL27"/>
    <mergeCell ref="B24:C24"/>
    <mergeCell ref="M24:N24"/>
    <mergeCell ref="X24:Y24"/>
    <mergeCell ref="AK24:AL24"/>
    <mergeCell ref="B25:C25"/>
    <mergeCell ref="M25:N25"/>
    <mergeCell ref="X25:Y25"/>
    <mergeCell ref="AK25:AL25"/>
    <mergeCell ref="B22:C22"/>
    <mergeCell ref="M22:N22"/>
    <mergeCell ref="X22:Y22"/>
    <mergeCell ref="AK22:AL22"/>
    <mergeCell ref="AK16:AL16"/>
    <mergeCell ref="B21:C21"/>
    <mergeCell ref="M21:N21"/>
    <mergeCell ref="X21:Y21"/>
    <mergeCell ref="AK21:AL21"/>
    <mergeCell ref="O10:O19"/>
    <mergeCell ref="P10:P19"/>
    <mergeCell ref="Q10:Q19"/>
    <mergeCell ref="R10:R19"/>
    <mergeCell ref="K4:L15"/>
    <mergeCell ref="G16:H16"/>
    <mergeCell ref="G17:H17"/>
    <mergeCell ref="S10:S19"/>
    <mergeCell ref="T10:T19"/>
    <mergeCell ref="U10:U19"/>
    <mergeCell ref="V10:V19"/>
    <mergeCell ref="Z7:AI7"/>
    <mergeCell ref="Z5:AI5"/>
    <mergeCell ref="AJ3:AJ20"/>
    <mergeCell ref="AA10:AA19"/>
    <mergeCell ref="AX10:AX19"/>
    <mergeCell ref="AY10:AY19"/>
    <mergeCell ref="AZ10:AZ19"/>
    <mergeCell ref="A3:A20"/>
    <mergeCell ref="M3:N3"/>
    <mergeCell ref="W3:W20"/>
    <mergeCell ref="X3:Y3"/>
    <mergeCell ref="Z3:AI4"/>
    <mergeCell ref="O5:V5"/>
    <mergeCell ref="D4:D18"/>
    <mergeCell ref="D19:D20"/>
    <mergeCell ref="M20:N20"/>
    <mergeCell ref="X20:Y20"/>
    <mergeCell ref="O7:V7"/>
    <mergeCell ref="O3:V4"/>
    <mergeCell ref="M4:N15"/>
    <mergeCell ref="X4:Y15"/>
    <mergeCell ref="B3:C3"/>
    <mergeCell ref="B4:C15"/>
    <mergeCell ref="E4:F10"/>
    <mergeCell ref="E3:F3"/>
    <mergeCell ref="K3:L3"/>
    <mergeCell ref="G3:J3"/>
    <mergeCell ref="Z10:Z19"/>
    <mergeCell ref="AB10:AB19"/>
    <mergeCell ref="AC10:AC19"/>
    <mergeCell ref="AD10:AD19"/>
    <mergeCell ref="BD3:BI4"/>
    <mergeCell ref="BD7:BI7"/>
    <mergeCell ref="AT3:AU3"/>
    <mergeCell ref="BB3:BC3"/>
    <mergeCell ref="BD5:BI5"/>
    <mergeCell ref="BF10:BF19"/>
    <mergeCell ref="BG10:BG19"/>
    <mergeCell ref="BH10:BH19"/>
    <mergeCell ref="BI10:BI19"/>
    <mergeCell ref="AV5:BA5"/>
    <mergeCell ref="AT4:AU15"/>
    <mergeCell ref="AV3:BA4"/>
    <mergeCell ref="AV7:BA7"/>
    <mergeCell ref="BB4:BC15"/>
    <mergeCell ref="BD10:BD19"/>
    <mergeCell ref="BE10:BE19"/>
    <mergeCell ref="BA10:BA19"/>
    <mergeCell ref="AV10:AV19"/>
    <mergeCell ref="AW10:AW19"/>
    <mergeCell ref="AQ19:AQ20"/>
    <mergeCell ref="AS3:AS20"/>
    <mergeCell ref="AP10:AP19"/>
    <mergeCell ref="AM5:AR5"/>
    <mergeCell ref="AM7:AR7"/>
    <mergeCell ref="AQ10:AQ18"/>
    <mergeCell ref="AR10:AR18"/>
    <mergeCell ref="AE10:AE18"/>
    <mergeCell ref="AF10:AF19"/>
    <mergeCell ref="AH10:AH19"/>
    <mergeCell ref="AI10:AI19"/>
    <mergeCell ref="AM10:AM19"/>
    <mergeCell ref="AN10:AN19"/>
    <mergeCell ref="AO10:AO19"/>
    <mergeCell ref="AK4:AL15"/>
    <mergeCell ref="AM3:AR4"/>
    <mergeCell ref="AR19:AR20"/>
    <mergeCell ref="AG10:AG19"/>
    <mergeCell ref="AK3:AL3"/>
    <mergeCell ref="G18:H18"/>
    <mergeCell ref="G19:H19"/>
    <mergeCell ref="G4:J6"/>
    <mergeCell ref="K16:K17"/>
    <mergeCell ref="L16:L17"/>
    <mergeCell ref="K18:K19"/>
    <mergeCell ref="L18:L19"/>
    <mergeCell ref="G15:H15"/>
    <mergeCell ref="G11:H14"/>
    <mergeCell ref="I11:I14"/>
    <mergeCell ref="G8:H10"/>
    <mergeCell ref="I8:I10"/>
  </mergeCells>
  <pageMargins left="0.45" right="0.45" top="0.75" bottom="0.5" header="0.3" footer="0.3"/>
  <pageSetup paperSize="9" scale="75" orientation="landscape" r:id="rId1"/>
  <headerFooter alignWithMargins="0">
    <oddFooter>&amp;C&amp;P</oddFooter>
  </headerFooter>
  <colBreaks count="3" manualBreakCount="3">
    <brk id="22" max="34" man="1"/>
    <brk id="35" max="34" man="1"/>
    <brk id="44" max="34" man="1"/>
  </colBreaks>
  <ignoredErrors>
    <ignoredError sqref="BC19" numberStoredAsText="1"/>
  </ignoredErrors>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C3E2F-E35A-4F67-A943-31B322DDF623}">
  <sheetPr>
    <tabColor rgb="FFFF0000"/>
  </sheetPr>
  <dimension ref="A1:AN48"/>
  <sheetViews>
    <sheetView showGridLines="0" view="pageBreakPreview" zoomScaleSheetLayoutView="100" workbookViewId="0">
      <selection activeCell="P21" sqref="P21"/>
    </sheetView>
  </sheetViews>
  <sheetFormatPr defaultColWidth="9.140625" defaultRowHeight="11.25"/>
  <cols>
    <col min="1" max="1" width="4.7109375" style="24" customWidth="1"/>
    <col min="2" max="2" width="12.28515625" style="24" customWidth="1"/>
    <col min="3" max="3" width="1.85546875" style="24" customWidth="1"/>
    <col min="4" max="4" width="5.28515625" style="24" customWidth="1"/>
    <col min="5" max="5" width="8.7109375" style="24" customWidth="1"/>
    <col min="6" max="6" width="3.140625" style="24" customWidth="1"/>
    <col min="7" max="7" width="6" style="24" customWidth="1"/>
    <col min="8" max="8" width="5.7109375" style="24" customWidth="1"/>
    <col min="9" max="9" width="13.28515625" style="24" customWidth="1"/>
    <col min="10" max="10" width="3.28515625" style="588" customWidth="1"/>
    <col min="11" max="11" width="7.85546875" style="588" customWidth="1"/>
    <col min="12" max="12" width="5.28515625" style="588" customWidth="1"/>
    <col min="13" max="13" width="13.28515625" style="24" customWidth="1"/>
    <col min="14" max="14" width="2.7109375" style="588" customWidth="1"/>
    <col min="15" max="16" width="15.140625" style="24" customWidth="1"/>
    <col min="17" max="20" width="3.42578125" style="24" customWidth="1"/>
    <col min="21" max="21" width="12.140625" style="24" customWidth="1"/>
    <col min="22" max="22" width="3" style="24" customWidth="1"/>
    <col min="23" max="23" width="5.5703125" style="24" customWidth="1"/>
    <col min="24" max="24" width="1.85546875" style="24" customWidth="1"/>
    <col min="25" max="25" width="5.28515625" style="24" customWidth="1"/>
    <col min="26" max="31" width="3.85546875" style="24" customWidth="1"/>
    <col min="32" max="32" width="11.28515625" style="24" customWidth="1"/>
    <col min="33" max="33" width="2.5703125" style="24" customWidth="1"/>
    <col min="34" max="34" width="13.5703125" style="24" customWidth="1"/>
    <col min="35" max="35" width="13.140625" style="24" customWidth="1"/>
    <col min="36" max="36" width="3.140625" style="24" customWidth="1"/>
    <col min="37" max="37" width="12.140625" style="24" customWidth="1"/>
    <col min="38" max="38" width="2.85546875" style="588" customWidth="1"/>
    <col min="39" max="40" width="2.7109375" style="24" customWidth="1"/>
    <col min="41" max="16384" width="9.140625" style="24"/>
  </cols>
  <sheetData>
    <row r="1" spans="1:40" ht="15.75">
      <c r="B1" s="1" t="s">
        <v>651</v>
      </c>
      <c r="C1" s="1"/>
      <c r="D1" s="1"/>
      <c r="E1" s="1"/>
      <c r="F1" s="1"/>
      <c r="G1" s="1"/>
      <c r="H1" s="1"/>
      <c r="I1" s="1"/>
      <c r="J1" s="1640"/>
      <c r="K1" s="1640"/>
      <c r="L1" s="1640"/>
      <c r="V1" s="1455"/>
      <c r="W1" s="1455"/>
      <c r="X1" s="1455"/>
      <c r="Y1" s="1455"/>
      <c r="AG1" s="233"/>
      <c r="AH1" s="1"/>
      <c r="AL1" s="1455" t="s">
        <v>652</v>
      </c>
    </row>
    <row r="2" spans="1:40" ht="15.75">
      <c r="B2" s="1"/>
      <c r="C2" s="1"/>
      <c r="D2" s="1"/>
      <c r="E2" s="1"/>
      <c r="F2" s="1"/>
      <c r="G2" s="1"/>
      <c r="H2" s="1"/>
      <c r="I2" s="1"/>
      <c r="J2" s="1640"/>
      <c r="K2" s="1640"/>
      <c r="L2" s="1640"/>
      <c r="V2" s="1455"/>
      <c r="W2" s="1455"/>
      <c r="X2" s="1455"/>
      <c r="Y2" s="1455"/>
      <c r="AG2" s="233"/>
      <c r="AH2" s="1"/>
      <c r="AL2" s="1455"/>
    </row>
    <row r="3" spans="1:40">
      <c r="B3" s="1218" t="s">
        <v>62</v>
      </c>
      <c r="C3" s="1645"/>
      <c r="D3" s="1645"/>
      <c r="E3" s="1645"/>
      <c r="F3" s="1645"/>
      <c r="G3" s="1645"/>
      <c r="H3" s="1645"/>
      <c r="I3" s="1645"/>
      <c r="J3" s="1646"/>
      <c r="K3" s="1646"/>
      <c r="L3" s="1646"/>
      <c r="V3" s="1647"/>
      <c r="W3" s="1647"/>
      <c r="X3" s="1647"/>
      <c r="Y3" s="1647"/>
      <c r="AH3" s="1645"/>
      <c r="AL3" s="1588" t="s">
        <v>63</v>
      </c>
    </row>
    <row r="4" spans="1:40">
      <c r="B4" s="1218"/>
      <c r="C4" s="1645"/>
      <c r="D4" s="1645"/>
      <c r="E4" s="1645"/>
      <c r="F4" s="1645"/>
      <c r="G4" s="1645"/>
      <c r="H4" s="1645"/>
      <c r="I4" s="1645"/>
      <c r="J4" s="1646"/>
      <c r="K4" s="1646"/>
      <c r="L4" s="1646"/>
      <c r="V4" s="1647"/>
      <c r="W4" s="1647"/>
      <c r="X4" s="1647"/>
      <c r="Y4" s="1647"/>
      <c r="AH4" s="1645"/>
      <c r="AL4" s="1588"/>
    </row>
    <row r="5" spans="1:40" ht="15.75" customHeight="1">
      <c r="B5" s="779">
        <v>-5.47</v>
      </c>
      <c r="C5" s="2686" t="s">
        <v>1695</v>
      </c>
      <c r="D5" s="2686"/>
      <c r="E5" s="2686"/>
      <c r="F5" s="2686"/>
      <c r="G5" s="2686"/>
      <c r="H5" s="2686"/>
      <c r="I5" s="2686"/>
      <c r="J5" s="2686"/>
      <c r="K5" s="2686"/>
      <c r="L5" s="2686"/>
      <c r="M5" s="2686"/>
      <c r="N5" s="2686"/>
      <c r="O5" s="2686"/>
      <c r="P5" s="2686"/>
      <c r="Q5" s="2686"/>
      <c r="R5" s="2686"/>
      <c r="S5" s="2686"/>
      <c r="T5" s="2686"/>
      <c r="U5" s="2686"/>
      <c r="V5" s="2686"/>
      <c r="W5" s="2686"/>
      <c r="X5" s="2686"/>
      <c r="Y5" s="2686"/>
      <c r="Z5" s="2686"/>
      <c r="AA5" s="2686"/>
      <c r="AB5" s="2686"/>
      <c r="AC5" s="2686"/>
      <c r="AD5" s="2686"/>
      <c r="AE5" s="2686"/>
      <c r="AF5" s="2686"/>
      <c r="AG5" s="2686"/>
      <c r="AH5" s="2686"/>
      <c r="AI5" s="2686"/>
      <c r="AJ5" s="2686"/>
      <c r="AK5" s="2686"/>
      <c r="AL5" s="2686"/>
    </row>
    <row r="6" spans="1:40" ht="12.75">
      <c r="C6" s="1866" t="s">
        <v>1687</v>
      </c>
      <c r="D6" s="1846"/>
      <c r="E6" s="1846"/>
      <c r="F6" s="1846"/>
      <c r="G6" s="1846"/>
      <c r="H6" s="1846"/>
      <c r="I6" s="1846"/>
      <c r="L6" s="1846"/>
      <c r="M6" s="1846"/>
      <c r="N6" s="1846"/>
      <c r="O6" s="1846"/>
      <c r="P6" s="1846"/>
      <c r="Q6" s="1846"/>
      <c r="R6" s="1846"/>
      <c r="S6" s="1846"/>
      <c r="T6" s="1846"/>
      <c r="U6" s="1846"/>
      <c r="V6" s="1846"/>
      <c r="W6" s="1846"/>
      <c r="X6" s="1846"/>
      <c r="Y6" s="1846"/>
      <c r="Z6" s="1846"/>
      <c r="AA6" s="1846"/>
      <c r="AB6" s="1846"/>
      <c r="AC6" s="1846"/>
      <c r="AD6" s="1846"/>
      <c r="AE6" s="1846"/>
      <c r="AF6" s="1846"/>
      <c r="AG6" s="1846"/>
      <c r="AH6" s="1846"/>
      <c r="AI6" s="1846"/>
      <c r="AJ6" s="654"/>
      <c r="AK6" s="654"/>
      <c r="AL6" s="1795"/>
    </row>
    <row r="7" spans="1:40" ht="12.75">
      <c r="B7" s="160"/>
      <c r="C7" s="705"/>
      <c r="D7" s="705"/>
      <c r="E7" s="705"/>
      <c r="F7" s="705"/>
      <c r="G7" s="705"/>
      <c r="H7" s="703"/>
      <c r="I7" s="703"/>
      <c r="L7" s="703"/>
      <c r="M7" s="705"/>
      <c r="N7" s="703"/>
      <c r="O7" s="705"/>
      <c r="P7" s="705"/>
      <c r="Q7" s="705"/>
      <c r="R7" s="705"/>
      <c r="S7" s="705"/>
      <c r="T7" s="705"/>
      <c r="U7" s="705"/>
      <c r="V7" s="705"/>
      <c r="W7" s="705"/>
      <c r="X7" s="705"/>
      <c r="Y7" s="705"/>
      <c r="Z7" s="1797"/>
      <c r="AA7" s="1797"/>
      <c r="AB7" s="1797"/>
      <c r="AC7" s="1797"/>
      <c r="AD7" s="1797"/>
      <c r="AE7" s="1797"/>
      <c r="AF7" s="1797"/>
      <c r="AG7" s="1797"/>
      <c r="AH7" s="46"/>
      <c r="AI7" s="46"/>
      <c r="AJ7" s="46"/>
      <c r="AK7" s="46"/>
      <c r="AL7" s="1642"/>
    </row>
    <row r="8" spans="1:40" ht="15.75" customHeight="1">
      <c r="A8" s="307"/>
      <c r="C8" s="705"/>
      <c r="D8" s="563" t="s">
        <v>104</v>
      </c>
      <c r="E8" s="563"/>
      <c r="F8" s="561">
        <v>1</v>
      </c>
      <c r="H8" s="1244"/>
      <c r="I8" s="177"/>
      <c r="L8" s="177"/>
      <c r="S8" s="705"/>
      <c r="T8" s="705"/>
      <c r="U8" s="1609"/>
      <c r="V8" s="705"/>
      <c r="W8" s="705"/>
      <c r="X8" s="705"/>
      <c r="Y8" s="705"/>
      <c r="AC8" s="1806"/>
      <c r="AD8" s="1806"/>
      <c r="AE8" s="1807"/>
    </row>
    <row r="9" spans="1:40" ht="15.75" customHeight="1">
      <c r="A9" s="167"/>
      <c r="D9" s="563" t="s">
        <v>108</v>
      </c>
      <c r="E9" s="563"/>
      <c r="F9" s="561">
        <v>2</v>
      </c>
      <c r="G9" s="216" t="s">
        <v>653</v>
      </c>
      <c r="H9" s="1641"/>
      <c r="I9" s="1641"/>
      <c r="L9" s="1641"/>
      <c r="P9" s="2"/>
      <c r="U9" s="1609"/>
      <c r="AC9" s="1806"/>
      <c r="AD9" s="1806"/>
      <c r="AE9" s="1807"/>
    </row>
    <row r="10" spans="1:40">
      <c r="A10" s="167"/>
      <c r="M10" s="1217"/>
      <c r="N10" s="1454"/>
      <c r="O10" s="1217"/>
      <c r="P10" s="1218"/>
      <c r="Q10" s="1217"/>
      <c r="R10" s="1218"/>
      <c r="S10" s="1217"/>
      <c r="T10" s="1218"/>
      <c r="U10" s="1217"/>
      <c r="V10" s="1218"/>
      <c r="W10" s="1218"/>
      <c r="X10" s="1218"/>
      <c r="Y10" s="1218"/>
      <c r="AF10" s="1217"/>
      <c r="AG10" s="1217"/>
      <c r="AH10" s="1217"/>
      <c r="AI10" s="1217"/>
      <c r="AJ10" s="1217"/>
      <c r="AK10" s="1217"/>
      <c r="AL10" s="1643"/>
    </row>
    <row r="11" spans="1:40" s="302" customFormat="1" ht="13.9" customHeight="1">
      <c r="A11" s="2691" t="s">
        <v>1686</v>
      </c>
      <c r="B11" s="2695">
        <f>B5-0.01</f>
        <v>-5.4799999999999995</v>
      </c>
      <c r="C11" s="2623"/>
      <c r="D11" s="2624"/>
      <c r="E11" s="2636">
        <f>B11-0.01</f>
        <v>-5.4899999999999993</v>
      </c>
      <c r="F11" s="2637"/>
      <c r="G11" s="2621">
        <f>E11-0.01</f>
        <v>-5.4999999999999991</v>
      </c>
      <c r="H11" s="2621"/>
      <c r="I11" s="2695">
        <f>G11-0.01</f>
        <v>-5.5099999999999989</v>
      </c>
      <c r="J11" s="2624"/>
      <c r="K11" s="2623">
        <f>+I11-0.01</f>
        <v>-5.5199999999999987</v>
      </c>
      <c r="L11" s="2624"/>
      <c r="M11" s="2621">
        <f>K11-0.01</f>
        <v>-5.5299999999999985</v>
      </c>
      <c r="N11" s="2622"/>
      <c r="O11" s="2661">
        <f>M11-0.01</f>
        <v>-5.5399999999999983</v>
      </c>
      <c r="P11" s="2662"/>
      <c r="Q11" s="2662"/>
      <c r="R11" s="2662"/>
      <c r="S11" s="2662"/>
      <c r="T11" s="2663"/>
      <c r="U11" s="2619">
        <f>O11-0.01</f>
        <v>-5.549999999999998</v>
      </c>
      <c r="V11" s="2620"/>
      <c r="W11" s="2638">
        <f>U11-0.01</f>
        <v>-5.5599999999999978</v>
      </c>
      <c r="X11" s="2639"/>
      <c r="Y11" s="2640"/>
      <c r="Z11" s="2636">
        <f>W11-0.01</f>
        <v>-5.5699999999999976</v>
      </c>
      <c r="AA11" s="2619"/>
      <c r="AB11" s="2619"/>
      <c r="AC11" s="2619"/>
      <c r="AD11" s="2619"/>
      <c r="AE11" s="2637"/>
      <c r="AF11" s="1878">
        <f>Z11-0.01</f>
        <v>-5.5799999999999974</v>
      </c>
      <c r="AG11" s="1828"/>
      <c r="AH11" s="1879">
        <f>AF11-0.01</f>
        <v>-5.5899999999999972</v>
      </c>
      <c r="AI11" s="2690">
        <f>AH11-0.01</f>
        <v>-5.599999999999997</v>
      </c>
      <c r="AJ11" s="2689"/>
      <c r="AK11" s="2688">
        <f>AI11-0.01</f>
        <v>-5.6099999999999968</v>
      </c>
      <c r="AL11" s="2689"/>
    </row>
    <row r="12" spans="1:40" s="1219" customFormat="1" ht="13.9" customHeight="1">
      <c r="A12" s="2692"/>
      <c r="B12" s="2629" t="s">
        <v>1696</v>
      </c>
      <c r="C12" s="2659"/>
      <c r="D12" s="2630"/>
      <c r="E12" s="2658" t="s">
        <v>1688</v>
      </c>
      <c r="F12" s="2338"/>
      <c r="G12" s="2659" t="s">
        <v>655</v>
      </c>
      <c r="H12" s="2660"/>
      <c r="I12" s="2629" t="s">
        <v>654</v>
      </c>
      <c r="J12" s="2630"/>
      <c r="K12" s="2659" t="s">
        <v>1691</v>
      </c>
      <c r="L12" s="2630"/>
      <c r="M12" s="2659" t="s">
        <v>656</v>
      </c>
      <c r="N12" s="2667"/>
      <c r="O12" s="2658" t="s">
        <v>657</v>
      </c>
      <c r="P12" s="2659"/>
      <c r="Q12" s="2659"/>
      <c r="R12" s="2659"/>
      <c r="S12" s="2659"/>
      <c r="T12" s="2667"/>
      <c r="U12" s="2659" t="s">
        <v>658</v>
      </c>
      <c r="V12" s="2696"/>
      <c r="W12" s="2641" t="s">
        <v>1699</v>
      </c>
      <c r="X12" s="2642"/>
      <c r="Y12" s="2643"/>
      <c r="Z12" s="2034" t="s">
        <v>1715</v>
      </c>
      <c r="AA12" s="2035"/>
      <c r="AB12" s="2035"/>
      <c r="AC12" s="2035"/>
      <c r="AD12" s="2035"/>
      <c r="AE12" s="2036"/>
      <c r="AF12" s="1955" t="s">
        <v>1700</v>
      </c>
      <c r="AG12" s="1956"/>
      <c r="AH12" s="2213" t="s">
        <v>1701</v>
      </c>
      <c r="AI12" s="2043" t="s">
        <v>1702</v>
      </c>
      <c r="AJ12" s="2044"/>
      <c r="AK12" s="2042" t="s">
        <v>659</v>
      </c>
      <c r="AL12" s="2044"/>
      <c r="AM12" s="1705"/>
      <c r="AN12" s="1705"/>
    </row>
    <row r="13" spans="1:40" s="1219" customFormat="1" ht="13.9" customHeight="1">
      <c r="A13" s="2692"/>
      <c r="B13" s="2629"/>
      <c r="C13" s="2659"/>
      <c r="D13" s="2630"/>
      <c r="E13" s="2658"/>
      <c r="F13" s="2338"/>
      <c r="G13" s="2659"/>
      <c r="H13" s="2660"/>
      <c r="I13" s="2629"/>
      <c r="J13" s="2630"/>
      <c r="K13" s="2659"/>
      <c r="L13" s="2630"/>
      <c r="M13" s="2659"/>
      <c r="N13" s="2667"/>
      <c r="O13" s="2658"/>
      <c r="P13" s="2659"/>
      <c r="Q13" s="2659"/>
      <c r="R13" s="2659"/>
      <c r="S13" s="2659"/>
      <c r="T13" s="2667"/>
      <c r="U13" s="2659"/>
      <c r="V13" s="2696"/>
      <c r="W13" s="2641"/>
      <c r="X13" s="2642"/>
      <c r="Y13" s="2643"/>
      <c r="Z13" s="2034"/>
      <c r="AA13" s="2035"/>
      <c r="AB13" s="2035"/>
      <c r="AC13" s="2035"/>
      <c r="AD13" s="2035"/>
      <c r="AE13" s="2036"/>
      <c r="AF13" s="1955"/>
      <c r="AG13" s="1956"/>
      <c r="AH13" s="2213"/>
      <c r="AI13" s="2043"/>
      <c r="AJ13" s="2044"/>
      <c r="AK13" s="2042"/>
      <c r="AL13" s="2044"/>
      <c r="AM13" s="1705"/>
      <c r="AN13" s="1705"/>
    </row>
    <row r="14" spans="1:40" s="1219" customFormat="1" ht="13.9" customHeight="1">
      <c r="A14" s="2692"/>
      <c r="B14" s="2629"/>
      <c r="C14" s="2659"/>
      <c r="D14" s="2630"/>
      <c r="E14" s="2658"/>
      <c r="F14" s="2338"/>
      <c r="G14" s="2659"/>
      <c r="H14" s="2660"/>
      <c r="I14" s="2629"/>
      <c r="J14" s="2630"/>
      <c r="K14" s="2659"/>
      <c r="L14" s="2630"/>
      <c r="M14" s="2659"/>
      <c r="N14" s="2667"/>
      <c r="O14" s="2658"/>
      <c r="P14" s="2659"/>
      <c r="Q14" s="2659"/>
      <c r="R14" s="2659"/>
      <c r="S14" s="2659"/>
      <c r="T14" s="2667"/>
      <c r="U14" s="2659"/>
      <c r="V14" s="2696"/>
      <c r="W14" s="2641"/>
      <c r="X14" s="2642"/>
      <c r="Y14" s="2643"/>
      <c r="Z14" s="2034"/>
      <c r="AA14" s="2035"/>
      <c r="AB14" s="2035"/>
      <c r="AC14" s="2035"/>
      <c r="AD14" s="2035"/>
      <c r="AE14" s="2036"/>
      <c r="AF14" s="1955"/>
      <c r="AG14" s="1956"/>
      <c r="AH14" s="2213"/>
      <c r="AI14" s="2043"/>
      <c r="AJ14" s="2044"/>
      <c r="AK14" s="2042"/>
      <c r="AL14" s="2044"/>
      <c r="AM14" s="1705"/>
      <c r="AN14" s="1705"/>
    </row>
    <row r="15" spans="1:40" ht="13.9" customHeight="1">
      <c r="A15" s="2692"/>
      <c r="B15" s="2629"/>
      <c r="C15" s="2659"/>
      <c r="D15" s="2630"/>
      <c r="E15" s="2337"/>
      <c r="F15" s="2338"/>
      <c r="G15" s="2660"/>
      <c r="H15" s="2660"/>
      <c r="I15" s="2629"/>
      <c r="J15" s="2630"/>
      <c r="K15" s="2659"/>
      <c r="L15" s="2630"/>
      <c r="M15" s="2659"/>
      <c r="N15" s="2667"/>
      <c r="O15" s="2658"/>
      <c r="P15" s="2659"/>
      <c r="Q15" s="2659"/>
      <c r="R15" s="2659"/>
      <c r="S15" s="2659"/>
      <c r="T15" s="2667"/>
      <c r="U15" s="2696"/>
      <c r="V15" s="2696"/>
      <c r="W15" s="2641"/>
      <c r="X15" s="2642"/>
      <c r="Y15" s="2643"/>
      <c r="Z15" s="2034"/>
      <c r="AA15" s="2035"/>
      <c r="AB15" s="2035"/>
      <c r="AC15" s="2035"/>
      <c r="AD15" s="2035"/>
      <c r="AE15" s="2036"/>
      <c r="AF15" s="1955"/>
      <c r="AG15" s="1956"/>
      <c r="AH15" s="2213"/>
      <c r="AI15" s="2043"/>
      <c r="AJ15" s="2044"/>
      <c r="AK15" s="2042"/>
      <c r="AL15" s="2044"/>
      <c r="AM15" s="1218"/>
      <c r="AN15" s="1218"/>
    </row>
    <row r="16" spans="1:40" ht="13.9" customHeight="1">
      <c r="A16" s="2692"/>
      <c r="B16" s="2629"/>
      <c r="C16" s="2659"/>
      <c r="D16" s="2630"/>
      <c r="E16" s="2337"/>
      <c r="F16" s="2338"/>
      <c r="G16" s="2660"/>
      <c r="H16" s="2660"/>
      <c r="I16" s="2629"/>
      <c r="J16" s="2630"/>
      <c r="K16" s="2659"/>
      <c r="L16" s="2630"/>
      <c r="M16" s="2659"/>
      <c r="N16" s="2667"/>
      <c r="O16" s="2658"/>
      <c r="P16" s="2659"/>
      <c r="Q16" s="2659"/>
      <c r="R16" s="2659"/>
      <c r="S16" s="2659"/>
      <c r="T16" s="2667"/>
      <c r="U16" s="2696"/>
      <c r="V16" s="2696"/>
      <c r="W16" s="2641"/>
      <c r="X16" s="2642"/>
      <c r="Y16" s="2643"/>
      <c r="Z16" s="2034"/>
      <c r="AA16" s="2035"/>
      <c r="AB16" s="2035"/>
      <c r="AC16" s="2035"/>
      <c r="AD16" s="2035"/>
      <c r="AE16" s="2036"/>
      <c r="AF16" s="1955"/>
      <c r="AG16" s="1956"/>
      <c r="AH16" s="2213"/>
      <c r="AI16" s="2043"/>
      <c r="AJ16" s="2044"/>
      <c r="AK16" s="2042"/>
      <c r="AL16" s="2044"/>
      <c r="AM16" s="1218"/>
      <c r="AN16" s="1218"/>
    </row>
    <row r="17" spans="1:40" ht="13.9" customHeight="1">
      <c r="A17" s="2692"/>
      <c r="B17" s="2629"/>
      <c r="C17" s="2659"/>
      <c r="D17" s="2630"/>
      <c r="E17" s="2337"/>
      <c r="F17" s="2338"/>
      <c r="G17" s="2660"/>
      <c r="H17" s="2660"/>
      <c r="I17" s="2629"/>
      <c r="J17" s="2630"/>
      <c r="K17" s="2659"/>
      <c r="L17" s="2630"/>
      <c r="M17" s="2659"/>
      <c r="N17" s="2667"/>
      <c r="O17" s="2658"/>
      <c r="P17" s="2659"/>
      <c r="Q17" s="2659"/>
      <c r="R17" s="2659"/>
      <c r="S17" s="2659"/>
      <c r="T17" s="2667"/>
      <c r="U17" s="2696"/>
      <c r="V17" s="2696"/>
      <c r="W17" s="2641"/>
      <c r="X17" s="2642"/>
      <c r="Y17" s="2643"/>
      <c r="Z17" s="2034"/>
      <c r="AA17" s="2035"/>
      <c r="AB17" s="2035"/>
      <c r="AC17" s="2035"/>
      <c r="AD17" s="2035"/>
      <c r="AE17" s="2036"/>
      <c r="AF17" s="1955"/>
      <c r="AG17" s="1956"/>
      <c r="AH17" s="2213"/>
      <c r="AI17" s="2043"/>
      <c r="AJ17" s="2044"/>
      <c r="AK17" s="2042"/>
      <c r="AL17" s="2044"/>
      <c r="AM17" s="1218"/>
      <c r="AN17" s="1218"/>
    </row>
    <row r="18" spans="1:40" ht="13.9" customHeight="1">
      <c r="A18" s="2692"/>
      <c r="B18" s="1849"/>
      <c r="C18" s="1850"/>
      <c r="D18" s="1851"/>
      <c r="E18" s="2337"/>
      <c r="F18" s="2338"/>
      <c r="G18" s="2660"/>
      <c r="H18" s="2660"/>
      <c r="I18" s="1880"/>
      <c r="J18" s="1881"/>
      <c r="K18" s="2659"/>
      <c r="L18" s="2630"/>
      <c r="M18" s="2659"/>
      <c r="N18" s="2667"/>
      <c r="O18" s="2658"/>
      <c r="P18" s="2659"/>
      <c r="Q18" s="2659"/>
      <c r="R18" s="2659"/>
      <c r="S18" s="2659"/>
      <c r="T18" s="2667"/>
      <c r="U18" s="2696"/>
      <c r="V18" s="2696"/>
      <c r="W18" s="2641"/>
      <c r="X18" s="2642"/>
      <c r="Y18" s="2643"/>
      <c r="Z18" s="2034"/>
      <c r="AA18" s="2035"/>
      <c r="AB18" s="2035"/>
      <c r="AC18" s="2035"/>
      <c r="AD18" s="2035"/>
      <c r="AE18" s="2036"/>
      <c r="AF18" s="1955"/>
      <c r="AG18" s="1956"/>
      <c r="AH18" s="2213"/>
      <c r="AI18" s="2043"/>
      <c r="AJ18" s="2044"/>
      <c r="AK18" s="2042"/>
      <c r="AL18" s="2044"/>
      <c r="AM18" s="1218"/>
      <c r="AN18" s="1218"/>
    </row>
    <row r="19" spans="1:40" ht="13.9" customHeight="1">
      <c r="A19" s="2692"/>
      <c r="B19" s="2697" t="s">
        <v>1692</v>
      </c>
      <c r="C19" s="2698"/>
      <c r="D19" s="2699"/>
      <c r="E19" s="2337"/>
      <c r="F19" s="2338"/>
      <c r="G19" s="2660"/>
      <c r="H19" s="2660"/>
      <c r="I19" s="1874" t="s">
        <v>83</v>
      </c>
      <c r="J19" s="1875">
        <v>1</v>
      </c>
      <c r="K19" s="2659"/>
      <c r="L19" s="2630"/>
      <c r="M19" s="2659"/>
      <c r="N19" s="2667"/>
      <c r="O19" s="2658"/>
      <c r="P19" s="2659"/>
      <c r="Q19" s="2659"/>
      <c r="R19" s="2659"/>
      <c r="S19" s="2659"/>
      <c r="T19" s="2667"/>
      <c r="U19" s="2696"/>
      <c r="V19" s="2696"/>
      <c r="W19" s="2641"/>
      <c r="X19" s="2642"/>
      <c r="Y19" s="2643"/>
      <c r="Z19" s="2034"/>
      <c r="AA19" s="2035"/>
      <c r="AB19" s="2035"/>
      <c r="AC19" s="2035"/>
      <c r="AD19" s="2035"/>
      <c r="AE19" s="2036"/>
      <c r="AF19" s="1955"/>
      <c r="AG19" s="1956"/>
      <c r="AH19" s="222"/>
      <c r="AI19" s="2043"/>
      <c r="AJ19" s="2044"/>
      <c r="AK19" s="2042"/>
      <c r="AL19" s="2044"/>
      <c r="AM19" s="1218"/>
      <c r="AN19" s="1218"/>
    </row>
    <row r="20" spans="1:40" ht="13.9" customHeight="1">
      <c r="A20" s="2692"/>
      <c r="B20" s="2697"/>
      <c r="C20" s="2698"/>
      <c r="D20" s="2699"/>
      <c r="E20" s="2337"/>
      <c r="F20" s="2338"/>
      <c r="G20" s="2660"/>
      <c r="H20" s="2660"/>
      <c r="I20" s="1874" t="s">
        <v>84</v>
      </c>
      <c r="J20" s="1875">
        <v>2</v>
      </c>
      <c r="K20" s="2659"/>
      <c r="L20" s="2630"/>
      <c r="M20" s="2659"/>
      <c r="N20" s="2667"/>
      <c r="O20" s="1218"/>
      <c r="P20" s="1700"/>
      <c r="Q20" s="1700"/>
      <c r="R20" s="1700"/>
      <c r="S20" s="1700"/>
      <c r="T20" s="1701"/>
      <c r="U20" s="2696"/>
      <c r="V20" s="2696"/>
      <c r="W20" s="2644"/>
      <c r="X20" s="2645"/>
      <c r="Y20" s="2646"/>
      <c r="Z20" s="2034"/>
      <c r="AA20" s="2035"/>
      <c r="AB20" s="2035"/>
      <c r="AC20" s="2035"/>
      <c r="AD20" s="2035"/>
      <c r="AE20" s="2036"/>
      <c r="AF20" s="261"/>
      <c r="AG20" s="46"/>
      <c r="AH20" s="2673" t="s">
        <v>662</v>
      </c>
      <c r="AI20" s="2043"/>
      <c r="AJ20" s="2044"/>
      <c r="AK20" s="2221"/>
      <c r="AL20" s="2668"/>
      <c r="AM20" s="1218"/>
      <c r="AN20" s="1218"/>
    </row>
    <row r="21" spans="1:40" ht="13.9" customHeight="1">
      <c r="A21" s="2692"/>
      <c r="B21" s="2697"/>
      <c r="C21" s="2698"/>
      <c r="D21" s="2699"/>
      <c r="E21" s="2337"/>
      <c r="F21" s="2338"/>
      <c r="G21" s="2660"/>
      <c r="H21" s="2660"/>
      <c r="I21" s="1874" t="s">
        <v>87</v>
      </c>
      <c r="J21" s="1875">
        <v>3</v>
      </c>
      <c r="K21" s="2659"/>
      <c r="L21" s="2630"/>
      <c r="M21" s="2616" t="s">
        <v>1689</v>
      </c>
      <c r="N21" s="2669"/>
      <c r="O21" s="1699"/>
      <c r="P21" s="1700"/>
      <c r="Q21" s="1700"/>
      <c r="R21" s="1700"/>
      <c r="S21" s="1700"/>
      <c r="T21" s="1701"/>
      <c r="U21" s="2696"/>
      <c r="V21" s="2696"/>
      <c r="W21" s="2644"/>
      <c r="X21" s="2645"/>
      <c r="Y21" s="2646"/>
      <c r="Z21" s="2034"/>
      <c r="AA21" s="2035"/>
      <c r="AB21" s="2035"/>
      <c r="AC21" s="2035"/>
      <c r="AD21" s="2035"/>
      <c r="AE21" s="2036"/>
      <c r="AF21" s="261"/>
      <c r="AG21" s="46"/>
      <c r="AH21" s="2673"/>
      <c r="AI21" s="2043"/>
      <c r="AJ21" s="2044"/>
      <c r="AK21" s="2237" t="s">
        <v>661</v>
      </c>
      <c r="AL21" s="2666">
        <v>1</v>
      </c>
      <c r="AM21" s="1218"/>
      <c r="AN21" s="1218"/>
    </row>
    <row r="22" spans="1:40" ht="13.9" customHeight="1">
      <c r="A22" s="2692"/>
      <c r="B22" s="2697"/>
      <c r="C22" s="2698"/>
      <c r="D22" s="2699"/>
      <c r="E22" s="2337"/>
      <c r="F22" s="2338"/>
      <c r="G22" s="2660"/>
      <c r="H22" s="2660"/>
      <c r="I22" s="1874" t="s">
        <v>88</v>
      </c>
      <c r="J22" s="1875">
        <v>4</v>
      </c>
      <c r="K22" s="2671" t="s">
        <v>1690</v>
      </c>
      <c r="L22" s="2687"/>
      <c r="M22" s="2616"/>
      <c r="N22" s="2669"/>
      <c r="O22" s="1699"/>
      <c r="P22" s="1700"/>
      <c r="Q22" s="1700"/>
      <c r="R22" s="1700"/>
      <c r="S22" s="1700"/>
      <c r="T22" s="1701"/>
      <c r="U22" s="2696"/>
      <c r="V22" s="2696"/>
      <c r="W22" s="2644"/>
      <c r="X22" s="2645"/>
      <c r="Y22" s="2646"/>
      <c r="Z22" s="2034"/>
      <c r="AA22" s="2035"/>
      <c r="AB22" s="2035"/>
      <c r="AC22" s="2035"/>
      <c r="AD22" s="2035"/>
      <c r="AE22" s="2036"/>
      <c r="AF22" s="261"/>
      <c r="AG22" s="46"/>
      <c r="AH22" s="2673"/>
      <c r="AI22" s="2043"/>
      <c r="AJ22" s="2044"/>
      <c r="AK22" s="2237"/>
      <c r="AL22" s="2224"/>
      <c r="AM22" s="1218"/>
      <c r="AN22" s="1218"/>
    </row>
    <row r="23" spans="1:40" ht="13.9" customHeight="1">
      <c r="A23" s="2692"/>
      <c r="B23" s="2697"/>
      <c r="C23" s="2698"/>
      <c r="D23" s="2699"/>
      <c r="E23" s="2337"/>
      <c r="F23" s="2338"/>
      <c r="G23" s="2660"/>
      <c r="H23" s="2660"/>
      <c r="I23" s="2631" t="s">
        <v>94</v>
      </c>
      <c r="J23" s="2633">
        <v>5</v>
      </c>
      <c r="K23" s="2671"/>
      <c r="L23" s="2687"/>
      <c r="M23" s="2616"/>
      <c r="N23" s="2669"/>
      <c r="O23" s="1699"/>
      <c r="P23" s="1700"/>
      <c r="Q23" s="1700"/>
      <c r="R23" s="1700"/>
      <c r="S23" s="1700"/>
      <c r="T23" s="1701"/>
      <c r="U23" s="1218"/>
      <c r="V23" s="1218"/>
      <c r="W23" s="2644"/>
      <c r="X23" s="2645"/>
      <c r="Y23" s="2646"/>
      <c r="Z23" s="2034"/>
      <c r="AA23" s="2035"/>
      <c r="AB23" s="2035"/>
      <c r="AC23" s="2035"/>
      <c r="AD23" s="2035"/>
      <c r="AE23" s="2036"/>
      <c r="AF23" s="261"/>
      <c r="AG23" s="46"/>
      <c r="AH23" s="2673"/>
      <c r="AI23" s="2043"/>
      <c r="AJ23" s="2044"/>
      <c r="AK23" s="1793" t="s">
        <v>663</v>
      </c>
      <c r="AL23" s="666">
        <v>2</v>
      </c>
      <c r="AM23" s="1218"/>
      <c r="AN23" s="1218"/>
    </row>
    <row r="24" spans="1:40" ht="13.9" customHeight="1">
      <c r="A24" s="2692"/>
      <c r="B24" s="1852"/>
      <c r="C24" s="1839"/>
      <c r="D24" s="1853"/>
      <c r="E24" s="1694"/>
      <c r="F24" s="1695"/>
      <c r="G24" s="1800"/>
      <c r="H24" s="1696"/>
      <c r="I24" s="2632"/>
      <c r="J24" s="2634"/>
      <c r="K24" s="2671"/>
      <c r="L24" s="2687"/>
      <c r="M24" s="2616"/>
      <c r="N24" s="2669"/>
      <c r="O24" s="1699"/>
      <c r="P24" s="1700"/>
      <c r="Q24" s="1700"/>
      <c r="R24" s="1700"/>
      <c r="S24" s="1700"/>
      <c r="T24" s="1701"/>
      <c r="U24" s="1707"/>
      <c r="V24" s="1218"/>
      <c r="W24" s="2644"/>
      <c r="X24" s="2645"/>
      <c r="Y24" s="2646"/>
      <c r="Z24" s="1697"/>
      <c r="AA24" s="1696"/>
      <c r="AB24" s="1696"/>
      <c r="AC24" s="1696"/>
      <c r="AD24" s="1696"/>
      <c r="AE24" s="1698"/>
      <c r="AF24" s="261"/>
      <c r="AG24" s="46"/>
      <c r="AH24" s="2673"/>
      <c r="AJ24" s="28"/>
      <c r="AK24" s="1793" t="s">
        <v>664</v>
      </c>
      <c r="AL24" s="573">
        <v>3</v>
      </c>
      <c r="AM24" s="1218"/>
      <c r="AN24" s="1218"/>
    </row>
    <row r="25" spans="1:40" ht="13.9" customHeight="1">
      <c r="A25" s="2692"/>
      <c r="B25" s="1854"/>
      <c r="C25" s="1846"/>
      <c r="D25" s="1855"/>
      <c r="E25" s="1694"/>
      <c r="F25" s="1695"/>
      <c r="G25" s="1696"/>
      <c r="H25" s="1696"/>
      <c r="I25" s="1876" t="s">
        <v>97</v>
      </c>
      <c r="J25" s="1875">
        <v>6</v>
      </c>
      <c r="K25" s="2671"/>
      <c r="L25" s="2687"/>
      <c r="M25" s="1846"/>
      <c r="N25" s="1706"/>
      <c r="O25" s="1699"/>
      <c r="P25" s="1700"/>
      <c r="Q25" s="1700"/>
      <c r="R25" s="1700"/>
      <c r="S25" s="1700"/>
      <c r="T25" s="1701"/>
      <c r="U25" s="2627" t="s">
        <v>666</v>
      </c>
      <c r="V25" s="2617">
        <v>1</v>
      </c>
      <c r="W25" s="2644"/>
      <c r="X25" s="2645"/>
      <c r="Y25" s="2646"/>
      <c r="Z25" s="1697"/>
      <c r="AA25" s="1696"/>
      <c r="AB25" s="1696"/>
      <c r="AC25" s="1696"/>
      <c r="AD25" s="1696"/>
      <c r="AE25" s="1698"/>
      <c r="AF25" s="261"/>
      <c r="AG25" s="46"/>
      <c r="AH25" s="2673"/>
      <c r="AI25" s="50"/>
      <c r="AJ25" s="1829"/>
      <c r="AK25" s="2231" t="s">
        <v>665</v>
      </c>
      <c r="AL25" s="2223">
        <v>4</v>
      </c>
      <c r="AM25" s="1218"/>
      <c r="AN25" s="1218"/>
    </row>
    <row r="26" spans="1:40" ht="13.9" customHeight="1">
      <c r="A26" s="2693"/>
      <c r="B26" s="2625"/>
      <c r="C26" s="1847"/>
      <c r="D26" s="2626"/>
      <c r="E26" s="2671" t="s">
        <v>1689</v>
      </c>
      <c r="F26" s="2672"/>
      <c r="G26" s="2670" t="s">
        <v>1689</v>
      </c>
      <c r="H26" s="2671"/>
      <c r="I26" s="2631" t="s">
        <v>99</v>
      </c>
      <c r="J26" s="2664">
        <v>7</v>
      </c>
      <c r="K26" s="2671"/>
      <c r="L26" s="2687"/>
      <c r="M26" s="1868"/>
      <c r="N26" s="1708"/>
      <c r="O26" s="1699"/>
      <c r="P26" s="1700"/>
      <c r="Q26" s="1700"/>
      <c r="R26" s="1700"/>
      <c r="S26" s="1700"/>
      <c r="T26" s="1701"/>
      <c r="U26" s="2628"/>
      <c r="V26" s="2618"/>
      <c r="W26" s="1812"/>
      <c r="X26" s="1818"/>
      <c r="Y26" s="1814"/>
      <c r="Z26" s="2670" t="s">
        <v>1694</v>
      </c>
      <c r="AA26" s="2671"/>
      <c r="AB26" s="2671"/>
      <c r="AC26" s="2671"/>
      <c r="AD26" s="2671"/>
      <c r="AE26" s="2672"/>
      <c r="AF26" s="261"/>
      <c r="AG26" s="46"/>
      <c r="AH26" s="2673"/>
      <c r="AI26" s="35"/>
      <c r="AJ26" s="776"/>
      <c r="AK26" s="2238"/>
      <c r="AL26" s="2224"/>
      <c r="AM26" s="1218"/>
      <c r="AN26" s="1218"/>
    </row>
    <row r="27" spans="1:40" ht="13.9" customHeight="1">
      <c r="A27" s="2693"/>
      <c r="B27" s="2625"/>
      <c r="C27" s="1847"/>
      <c r="D27" s="2626"/>
      <c r="E27" s="2671"/>
      <c r="F27" s="2672"/>
      <c r="G27" s="2670"/>
      <c r="H27" s="2671"/>
      <c r="I27" s="2635"/>
      <c r="J27" s="2665"/>
      <c r="K27" s="2671"/>
      <c r="L27" s="2687"/>
      <c r="M27" s="1869" t="s">
        <v>667</v>
      </c>
      <c r="N27" s="1703"/>
      <c r="O27" s="2615" t="s">
        <v>660</v>
      </c>
      <c r="P27" s="2616"/>
      <c r="Q27" s="2616"/>
      <c r="R27" s="2616"/>
      <c r="S27" s="2616"/>
      <c r="T27" s="2616"/>
      <c r="U27" s="2627" t="s">
        <v>669</v>
      </c>
      <c r="V27" s="2617">
        <v>2</v>
      </c>
      <c r="W27" s="1812"/>
      <c r="X27" s="1818"/>
      <c r="Y27" s="1814"/>
      <c r="Z27" s="2670"/>
      <c r="AA27" s="2671"/>
      <c r="AB27" s="2671"/>
      <c r="AC27" s="2671"/>
      <c r="AD27" s="2671"/>
      <c r="AE27" s="2672"/>
      <c r="AF27" s="652"/>
      <c r="AG27" s="47"/>
      <c r="AH27" s="1830"/>
      <c r="AI27" s="563" t="s">
        <v>104</v>
      </c>
      <c r="AJ27" s="1831"/>
      <c r="AK27" s="1793" t="s">
        <v>668</v>
      </c>
      <c r="AL27" s="573">
        <v>5</v>
      </c>
      <c r="AM27" s="1218"/>
      <c r="AN27" s="1218"/>
    </row>
    <row r="28" spans="1:40" ht="13.9" customHeight="1">
      <c r="A28" s="2693"/>
      <c r="B28" s="2625"/>
      <c r="D28" s="1856"/>
      <c r="E28" s="2671"/>
      <c r="F28" s="2672"/>
      <c r="G28" s="2670"/>
      <c r="H28" s="2671"/>
      <c r="I28" s="1874" t="s">
        <v>101</v>
      </c>
      <c r="J28" s="1875">
        <v>8</v>
      </c>
      <c r="K28" s="1840"/>
      <c r="L28" s="1872"/>
      <c r="M28" s="1870" t="s">
        <v>15</v>
      </c>
      <c r="N28" s="1703">
        <v>1</v>
      </c>
      <c r="O28" s="2615"/>
      <c r="P28" s="2616"/>
      <c r="Q28" s="2616"/>
      <c r="R28" s="2616"/>
      <c r="S28" s="2616"/>
      <c r="T28" s="2616"/>
      <c r="U28" s="2628"/>
      <c r="V28" s="2618"/>
      <c r="W28" s="1812"/>
      <c r="X28" s="1818"/>
      <c r="Y28" s="1814"/>
      <c r="Z28" s="2670"/>
      <c r="AA28" s="2671"/>
      <c r="AB28" s="2671"/>
      <c r="AC28" s="2671"/>
      <c r="AD28" s="2671"/>
      <c r="AE28" s="2672"/>
      <c r="AF28" s="1832"/>
      <c r="AG28" s="639"/>
      <c r="AH28" s="1830"/>
      <c r="AI28" s="1833" t="s">
        <v>670</v>
      </c>
      <c r="AJ28" s="1153">
        <v>1</v>
      </c>
      <c r="AK28" s="1834" t="s">
        <v>671</v>
      </c>
      <c r="AL28" s="573">
        <v>6</v>
      </c>
      <c r="AM28" s="1218"/>
      <c r="AN28" s="1218"/>
    </row>
    <row r="29" spans="1:40" ht="13.9" customHeight="1">
      <c r="A29" s="2692"/>
      <c r="B29" s="1857"/>
      <c r="C29" s="1845"/>
      <c r="D29" s="1858"/>
      <c r="E29" s="27"/>
      <c r="F29" s="28"/>
      <c r="G29" s="1804"/>
      <c r="H29" s="1804"/>
      <c r="I29" s="2631" t="s">
        <v>105</v>
      </c>
      <c r="J29" s="2664">
        <v>9</v>
      </c>
      <c r="K29" s="1840"/>
      <c r="L29" s="1872"/>
      <c r="M29" s="1870" t="s">
        <v>16</v>
      </c>
      <c r="N29" s="1703">
        <v>2</v>
      </c>
      <c r="O29" s="2615"/>
      <c r="P29" s="2616"/>
      <c r="Q29" s="2616"/>
      <c r="R29" s="2616"/>
      <c r="S29" s="2616"/>
      <c r="T29" s="2616"/>
      <c r="U29" s="2627" t="s">
        <v>676</v>
      </c>
      <c r="V29" s="2617">
        <v>3</v>
      </c>
      <c r="W29" s="1812"/>
      <c r="X29" s="1818"/>
      <c r="Y29" s="1814"/>
      <c r="Z29" s="1697"/>
      <c r="AA29" s="1696"/>
      <c r="AB29" s="1696"/>
      <c r="AC29" s="1696"/>
      <c r="AD29" s="1696"/>
      <c r="AE29" s="1698"/>
      <c r="AF29" s="2120" t="s">
        <v>673</v>
      </c>
      <c r="AG29" s="2614">
        <v>1</v>
      </c>
      <c r="AH29" s="1830"/>
      <c r="AI29" s="1835" t="s">
        <v>674</v>
      </c>
      <c r="AJ29" s="573">
        <v>2</v>
      </c>
      <c r="AK29" s="2231" t="s">
        <v>675</v>
      </c>
      <c r="AL29" s="2223">
        <v>7</v>
      </c>
      <c r="AM29" s="1218"/>
      <c r="AN29" s="1218"/>
    </row>
    <row r="30" spans="1:40" ht="13.9" customHeight="1">
      <c r="A30" s="2693"/>
      <c r="B30" s="1859" t="s">
        <v>672</v>
      </c>
      <c r="C30" s="1848"/>
      <c r="D30" s="1860">
        <v>1</v>
      </c>
      <c r="E30" s="35"/>
      <c r="F30" s="776"/>
      <c r="G30" s="2671" t="s">
        <v>102</v>
      </c>
      <c r="H30" s="2671"/>
      <c r="I30" s="2635"/>
      <c r="J30" s="2665"/>
      <c r="K30" s="1840"/>
      <c r="L30" s="1872"/>
      <c r="M30" s="1870" t="s">
        <v>18</v>
      </c>
      <c r="N30" s="1703">
        <v>3</v>
      </c>
      <c r="O30" s="2615"/>
      <c r="P30" s="2616"/>
      <c r="Q30" s="2616"/>
      <c r="R30" s="2616"/>
      <c r="S30" s="2616"/>
      <c r="T30" s="2616"/>
      <c r="U30" s="2628"/>
      <c r="V30" s="2618"/>
      <c r="W30" s="1824" t="s">
        <v>104</v>
      </c>
      <c r="X30" s="1825"/>
      <c r="Y30" s="1826">
        <v>1</v>
      </c>
      <c r="Z30" s="1804"/>
      <c r="AA30" s="1804"/>
      <c r="AB30" s="1804"/>
      <c r="AC30" s="1804"/>
      <c r="AD30" s="1804"/>
      <c r="AE30" s="1801"/>
      <c r="AF30" s="2120"/>
      <c r="AG30" s="2614"/>
      <c r="AH30" s="1830"/>
      <c r="AI30" s="1833" t="s">
        <v>677</v>
      </c>
      <c r="AJ30" s="1153">
        <v>3</v>
      </c>
      <c r="AK30" s="2237"/>
      <c r="AL30" s="2666"/>
      <c r="AM30" s="1218"/>
      <c r="AN30" s="1218"/>
    </row>
    <row r="31" spans="1:40" ht="13.9" customHeight="1">
      <c r="A31" s="2692"/>
      <c r="B31" s="1859" t="s">
        <v>1693</v>
      </c>
      <c r="C31" s="1848"/>
      <c r="D31" s="1861" t="s">
        <v>282</v>
      </c>
      <c r="E31" s="1805" t="s">
        <v>106</v>
      </c>
      <c r="F31" s="1786">
        <v>1</v>
      </c>
      <c r="G31" s="2671"/>
      <c r="H31" s="2671"/>
      <c r="I31" s="1877" t="s">
        <v>109</v>
      </c>
      <c r="J31" s="1875">
        <v>10</v>
      </c>
      <c r="K31" s="1841"/>
      <c r="L31" s="1873"/>
      <c r="M31" s="1871" t="s">
        <v>19</v>
      </c>
      <c r="N31" s="1827">
        <v>4</v>
      </c>
      <c r="O31" s="2647" t="s">
        <v>155</v>
      </c>
      <c r="P31" s="2650" t="s">
        <v>156</v>
      </c>
      <c r="Q31" s="2653" t="s">
        <v>9</v>
      </c>
      <c r="R31" s="2653"/>
      <c r="S31" s="2653"/>
      <c r="T31" s="2654"/>
      <c r="U31" s="2627" t="s">
        <v>112</v>
      </c>
      <c r="V31" s="2617">
        <v>4</v>
      </c>
      <c r="W31" s="1816" t="s">
        <v>108</v>
      </c>
      <c r="X31" s="1819"/>
      <c r="Y31" s="1817" t="s">
        <v>282</v>
      </c>
      <c r="Z31" s="1800"/>
      <c r="AA31" s="1804"/>
      <c r="AB31" s="1804"/>
      <c r="AC31" s="1804"/>
      <c r="AD31" s="1804"/>
      <c r="AE31" s="1801"/>
      <c r="AF31" s="2120" t="s">
        <v>678</v>
      </c>
      <c r="AG31" s="2614">
        <v>2</v>
      </c>
      <c r="AH31" s="1830"/>
      <c r="AI31" s="1835" t="s">
        <v>679</v>
      </c>
      <c r="AJ31" s="573">
        <v>4</v>
      </c>
      <c r="AK31" s="2238"/>
      <c r="AL31" s="2224"/>
      <c r="AM31" s="1218"/>
      <c r="AN31" s="1218"/>
    </row>
    <row r="32" spans="1:40" ht="13.9" customHeight="1">
      <c r="A32" s="2692"/>
      <c r="B32" s="1857"/>
      <c r="D32" s="1862">
        <f>AF11</f>
        <v>-5.5799999999999974</v>
      </c>
      <c r="E32" s="1702" t="s">
        <v>110</v>
      </c>
      <c r="F32" s="1703">
        <v>2</v>
      </c>
      <c r="G32" s="2700"/>
      <c r="H32" s="2700"/>
      <c r="I32" s="2627" t="s">
        <v>1703</v>
      </c>
      <c r="J32" s="2684">
        <v>11</v>
      </c>
      <c r="K32" s="2674" t="s">
        <v>64</v>
      </c>
      <c r="L32" s="2675"/>
      <c r="M32" s="1869" t="s">
        <v>157</v>
      </c>
      <c r="N32" s="1827">
        <v>5</v>
      </c>
      <c r="O32" s="2648"/>
      <c r="P32" s="2651"/>
      <c r="Q32" s="2655"/>
      <c r="R32" s="2655"/>
      <c r="S32" s="2655"/>
      <c r="T32" s="2656"/>
      <c r="U32" s="2628"/>
      <c r="V32" s="2618"/>
      <c r="W32" s="1821"/>
      <c r="X32" s="1822"/>
      <c r="Y32" s="1823">
        <f>AF11</f>
        <v>-5.5799999999999974</v>
      </c>
      <c r="Z32" s="1802"/>
      <c r="AA32" s="1808"/>
      <c r="AB32" s="1808"/>
      <c r="AC32" s="1808"/>
      <c r="AD32" s="1808"/>
      <c r="AE32" s="1803"/>
      <c r="AF32" s="2120"/>
      <c r="AG32" s="2614"/>
      <c r="AH32" s="1836"/>
      <c r="AI32" s="563" t="s">
        <v>108</v>
      </c>
      <c r="AJ32" s="573">
        <v>5</v>
      </c>
      <c r="AK32" s="1793" t="s">
        <v>112</v>
      </c>
      <c r="AL32" s="573">
        <v>8</v>
      </c>
      <c r="AM32" s="1218"/>
      <c r="AN32" s="1218"/>
    </row>
    <row r="33" spans="1:40" ht="13.9" customHeight="1">
      <c r="A33" s="2694"/>
      <c r="B33" s="1863"/>
      <c r="C33" s="1864"/>
      <c r="D33" s="1865"/>
      <c r="E33" s="1796"/>
      <c r="F33" s="1704"/>
      <c r="G33" s="2679" t="s">
        <v>114</v>
      </c>
      <c r="H33" s="2679"/>
      <c r="I33" s="2683"/>
      <c r="J33" s="2685"/>
      <c r="K33" s="2676"/>
      <c r="L33" s="2677"/>
      <c r="M33" s="1587"/>
      <c r="N33" s="1709"/>
      <c r="O33" s="2649"/>
      <c r="P33" s="2652"/>
      <c r="Q33" s="2657"/>
      <c r="R33" s="2657"/>
      <c r="S33" s="2657"/>
      <c r="T33" s="2657"/>
      <c r="U33" s="1587"/>
      <c r="V33" s="1709"/>
      <c r="W33" s="1813"/>
      <c r="X33" s="1820"/>
      <c r="Y33" s="1815"/>
      <c r="Z33" s="2678" t="s">
        <v>42</v>
      </c>
      <c r="AA33" s="2679"/>
      <c r="AB33" s="2679"/>
      <c r="AC33" s="2680"/>
      <c r="AD33" s="2681" t="s">
        <v>43</v>
      </c>
      <c r="AE33" s="2682"/>
      <c r="AF33" s="8"/>
      <c r="AG33" s="9"/>
      <c r="AH33" s="1837" t="s">
        <v>293</v>
      </c>
      <c r="AI33" s="23"/>
      <c r="AJ33" s="32"/>
      <c r="AK33" s="1838"/>
      <c r="AL33" s="1023"/>
      <c r="AM33" s="1218"/>
      <c r="AN33" s="1218"/>
    </row>
    <row r="34" spans="1:40" s="2" customFormat="1" ht="23.45" customHeight="1">
      <c r="A34" s="1842">
        <v>100</v>
      </c>
      <c r="B34" s="23"/>
      <c r="C34" s="23"/>
      <c r="D34" s="32"/>
      <c r="E34" s="23"/>
      <c r="F34" s="23"/>
      <c r="G34" s="1449"/>
      <c r="H34" s="42"/>
      <c r="I34" s="23"/>
      <c r="J34" s="151"/>
      <c r="K34" s="150"/>
      <c r="L34" s="151"/>
      <c r="M34" s="14"/>
      <c r="N34" s="231"/>
      <c r="O34" s="1452"/>
      <c r="P34" s="32"/>
      <c r="Q34" s="1448"/>
      <c r="R34" s="1245"/>
      <c r="S34" s="1246"/>
      <c r="T34" s="1451"/>
      <c r="U34" s="23"/>
      <c r="V34" s="1583"/>
      <c r="W34" s="1809"/>
      <c r="X34" s="1809"/>
      <c r="Y34" s="1809"/>
      <c r="Z34" s="1448"/>
      <c r="AA34" s="1246"/>
      <c r="AB34" s="1246"/>
      <c r="AC34" s="1246"/>
      <c r="AD34" s="1246"/>
      <c r="AE34" s="32"/>
      <c r="AF34" s="12"/>
      <c r="AG34" s="14"/>
      <c r="AH34" s="11"/>
      <c r="AI34" s="14"/>
      <c r="AJ34" s="13"/>
      <c r="AK34" s="12"/>
      <c r="AL34" s="231"/>
    </row>
    <row r="35" spans="1:40" s="2" customFormat="1" ht="23.45" customHeight="1">
      <c r="A35" s="1842">
        <f>+A34+1</f>
        <v>101</v>
      </c>
      <c r="B35" s="40"/>
      <c r="C35" s="40"/>
      <c r="D35" s="42"/>
      <c r="E35" s="40"/>
      <c r="F35" s="40"/>
      <c r="G35" s="1449"/>
      <c r="H35" s="42"/>
      <c r="I35" s="40"/>
      <c r="J35" s="1583"/>
      <c r="K35" s="1794"/>
      <c r="L35" s="1583"/>
      <c r="M35" s="14"/>
      <c r="N35" s="231"/>
      <c r="O35" s="41"/>
      <c r="P35" s="42"/>
      <c r="Q35" s="1449"/>
      <c r="R35" s="1247"/>
      <c r="S35" s="1248"/>
      <c r="T35" s="1251"/>
      <c r="U35" s="40"/>
      <c r="V35" s="1583"/>
      <c r="W35" s="1810"/>
      <c r="X35" s="1810"/>
      <c r="Y35" s="1810"/>
      <c r="Z35" s="1449"/>
      <c r="AA35" s="1248"/>
      <c r="AB35" s="1248"/>
      <c r="AC35" s="1248"/>
      <c r="AD35" s="1248"/>
      <c r="AE35" s="42"/>
      <c r="AF35" s="12"/>
      <c r="AG35" s="14"/>
      <c r="AH35" s="11"/>
      <c r="AI35" s="14"/>
      <c r="AJ35" s="13"/>
      <c r="AK35" s="12"/>
      <c r="AL35" s="231"/>
    </row>
    <row r="36" spans="1:40" s="2" customFormat="1" ht="23.45" customHeight="1" thickBot="1">
      <c r="A36" s="1843">
        <f t="shared" ref="A36:A48" si="0">+A35+1</f>
        <v>102</v>
      </c>
      <c r="B36" s="43"/>
      <c r="C36" s="43"/>
      <c r="D36" s="45"/>
      <c r="E36" s="43"/>
      <c r="F36" s="43"/>
      <c r="G36" s="1450"/>
      <c r="H36" s="45"/>
      <c r="I36" s="43"/>
      <c r="J36" s="1610"/>
      <c r="K36" s="1867"/>
      <c r="L36" s="1610"/>
      <c r="M36" s="176"/>
      <c r="N36" s="181"/>
      <c r="O36" s="44"/>
      <c r="P36" s="45"/>
      <c r="Q36" s="1450"/>
      <c r="R36" s="1249"/>
      <c r="S36" s="1250"/>
      <c r="T36" s="1453"/>
      <c r="U36" s="43"/>
      <c r="V36" s="1610"/>
      <c r="W36" s="1811"/>
      <c r="X36" s="1811"/>
      <c r="Y36" s="1811"/>
      <c r="Z36" s="1450"/>
      <c r="AA36" s="1250"/>
      <c r="AB36" s="1250"/>
      <c r="AC36" s="1250"/>
      <c r="AD36" s="1250"/>
      <c r="AE36" s="45"/>
      <c r="AF36" s="16"/>
      <c r="AG36" s="176"/>
      <c r="AH36" s="15"/>
      <c r="AI36" s="176"/>
      <c r="AJ36" s="175"/>
      <c r="AK36" s="16"/>
      <c r="AL36" s="181"/>
    </row>
    <row r="37" spans="1:40" s="2" customFormat="1" ht="23.45" customHeight="1" thickTop="1">
      <c r="A37" s="1844">
        <f t="shared" si="0"/>
        <v>103</v>
      </c>
      <c r="B37" s="23"/>
      <c r="C37" s="23"/>
      <c r="D37" s="32"/>
      <c r="E37" s="9"/>
      <c r="F37" s="10"/>
      <c r="G37" s="277"/>
      <c r="H37" s="388"/>
      <c r="I37" s="23"/>
      <c r="J37" s="151"/>
      <c r="K37" s="150"/>
      <c r="L37" s="151"/>
      <c r="M37" s="23"/>
      <c r="N37" s="154"/>
      <c r="O37" s="1452"/>
      <c r="P37" s="32"/>
      <c r="Q37" s="1448"/>
      <c r="R37" s="1245"/>
      <c r="S37" s="1246"/>
      <c r="T37" s="1451"/>
      <c r="U37" s="23"/>
      <c r="V37" s="151"/>
      <c r="W37" s="1809"/>
      <c r="X37" s="1809"/>
      <c r="Y37" s="1809"/>
      <c r="Z37" s="1448"/>
      <c r="AA37" s="1246"/>
      <c r="AB37" s="1246"/>
      <c r="AC37" s="1246"/>
      <c r="AD37" s="1246"/>
      <c r="AE37" s="32"/>
      <c r="AF37" s="8"/>
      <c r="AG37" s="9"/>
      <c r="AH37" s="1452"/>
      <c r="AI37" s="9"/>
      <c r="AJ37" s="10"/>
      <c r="AK37" s="12"/>
      <c r="AL37" s="231"/>
    </row>
    <row r="38" spans="1:40" s="2" customFormat="1" ht="23.45" customHeight="1">
      <c r="A38" s="1842">
        <f t="shared" si="0"/>
        <v>104</v>
      </c>
      <c r="B38" s="40"/>
      <c r="C38" s="40"/>
      <c r="D38" s="42"/>
      <c r="E38" s="14"/>
      <c r="F38" s="13"/>
      <c r="G38" s="274"/>
      <c r="H38" s="231"/>
      <c r="I38" s="40"/>
      <c r="J38" s="1583"/>
      <c r="K38" s="1794"/>
      <c r="L38" s="1583"/>
      <c r="M38" s="40"/>
      <c r="N38" s="152"/>
      <c r="O38" s="41"/>
      <c r="P38" s="42"/>
      <c r="Q38" s="1449"/>
      <c r="R38" s="1247"/>
      <c r="S38" s="1248"/>
      <c r="T38" s="1251"/>
      <c r="U38" s="40"/>
      <c r="V38" s="1583"/>
      <c r="W38" s="1810"/>
      <c r="X38" s="1810"/>
      <c r="Y38" s="1810"/>
      <c r="Z38" s="1449"/>
      <c r="AA38" s="1248"/>
      <c r="AB38" s="1248"/>
      <c r="AC38" s="1248"/>
      <c r="AD38" s="1248"/>
      <c r="AE38" s="42"/>
      <c r="AF38" s="12"/>
      <c r="AG38" s="14"/>
      <c r="AH38" s="41"/>
      <c r="AI38" s="14"/>
      <c r="AJ38" s="13"/>
      <c r="AK38" s="12"/>
      <c r="AL38" s="231"/>
    </row>
    <row r="39" spans="1:40" s="2" customFormat="1" ht="23.45" customHeight="1" thickBot="1">
      <c r="A39" s="1843">
        <f t="shared" si="0"/>
        <v>105</v>
      </c>
      <c r="B39" s="43"/>
      <c r="C39" s="43"/>
      <c r="D39" s="45"/>
      <c r="E39" s="176"/>
      <c r="F39" s="175"/>
      <c r="G39" s="276"/>
      <c r="H39" s="181"/>
      <c r="I39" s="43"/>
      <c r="J39" s="1610"/>
      <c r="K39" s="1867"/>
      <c r="L39" s="1610"/>
      <c r="M39" s="43"/>
      <c r="N39" s="153"/>
      <c r="O39" s="44"/>
      <c r="P39" s="45"/>
      <c r="Q39" s="1450"/>
      <c r="R39" s="1249"/>
      <c r="S39" s="1250"/>
      <c r="T39" s="1453"/>
      <c r="U39" s="43"/>
      <c r="V39" s="1610"/>
      <c r="W39" s="1811"/>
      <c r="X39" s="1811"/>
      <c r="Y39" s="1811"/>
      <c r="Z39" s="1450"/>
      <c r="AA39" s="1250"/>
      <c r="AB39" s="1250"/>
      <c r="AC39" s="1250"/>
      <c r="AD39" s="1250"/>
      <c r="AE39" s="45"/>
      <c r="AF39" s="16"/>
      <c r="AG39" s="176"/>
      <c r="AH39" s="44"/>
      <c r="AI39" s="176"/>
      <c r="AJ39" s="175"/>
      <c r="AK39" s="16"/>
      <c r="AL39" s="181"/>
    </row>
    <row r="40" spans="1:40" s="2" customFormat="1" ht="23.45" customHeight="1" thickTop="1">
      <c r="A40" s="1844">
        <f t="shared" si="0"/>
        <v>106</v>
      </c>
      <c r="B40" s="23"/>
      <c r="C40" s="23"/>
      <c r="D40" s="32"/>
      <c r="E40" s="9"/>
      <c r="F40" s="10"/>
      <c r="G40" s="277"/>
      <c r="H40" s="388"/>
      <c r="I40" s="23"/>
      <c r="J40" s="151"/>
      <c r="K40" s="150"/>
      <c r="L40" s="151"/>
      <c r="M40" s="23"/>
      <c r="N40" s="154"/>
      <c r="O40" s="1452"/>
      <c r="P40" s="32"/>
      <c r="Q40" s="1448"/>
      <c r="R40" s="1245"/>
      <c r="S40" s="1246"/>
      <c r="T40" s="1451"/>
      <c r="U40" s="23"/>
      <c r="V40" s="151"/>
      <c r="W40" s="1809"/>
      <c r="X40" s="1809"/>
      <c r="Y40" s="1809"/>
      <c r="Z40" s="1448"/>
      <c r="AA40" s="1246"/>
      <c r="AB40" s="1246"/>
      <c r="AC40" s="1246"/>
      <c r="AD40" s="1246"/>
      <c r="AE40" s="32"/>
      <c r="AF40" s="8"/>
      <c r="AG40" s="9"/>
      <c r="AH40" s="1452"/>
      <c r="AI40" s="9"/>
      <c r="AJ40" s="10"/>
      <c r="AK40" s="12"/>
      <c r="AL40" s="231"/>
    </row>
    <row r="41" spans="1:40" s="2" customFormat="1" ht="23.45" customHeight="1">
      <c r="A41" s="1842">
        <f t="shared" si="0"/>
        <v>107</v>
      </c>
      <c r="B41" s="40"/>
      <c r="C41" s="40"/>
      <c r="D41" s="42"/>
      <c r="E41" s="14"/>
      <c r="F41" s="13"/>
      <c r="G41" s="274"/>
      <c r="H41" s="231"/>
      <c r="I41" s="40"/>
      <c r="J41" s="1583"/>
      <c r="K41" s="1794"/>
      <c r="L41" s="1583"/>
      <c r="M41" s="40"/>
      <c r="N41" s="152"/>
      <c r="O41" s="41"/>
      <c r="P41" s="42"/>
      <c r="Q41" s="1449"/>
      <c r="R41" s="1247"/>
      <c r="S41" s="1248"/>
      <c r="T41" s="1251"/>
      <c r="U41" s="40"/>
      <c r="V41" s="1583"/>
      <c r="W41" s="1810"/>
      <c r="X41" s="1810"/>
      <c r="Y41" s="1810"/>
      <c r="Z41" s="1449"/>
      <c r="AA41" s="1248"/>
      <c r="AB41" s="1248"/>
      <c r="AC41" s="1248"/>
      <c r="AD41" s="1248"/>
      <c r="AE41" s="42"/>
      <c r="AF41" s="12"/>
      <c r="AG41" s="14"/>
      <c r="AH41" s="41"/>
      <c r="AI41" s="14"/>
      <c r="AJ41" s="13"/>
      <c r="AK41" s="12"/>
      <c r="AL41" s="231"/>
    </row>
    <row r="42" spans="1:40" s="2" customFormat="1" ht="23.45" customHeight="1" thickBot="1">
      <c r="A42" s="1843">
        <f t="shared" si="0"/>
        <v>108</v>
      </c>
      <c r="B42" s="43"/>
      <c r="C42" s="43"/>
      <c r="D42" s="45"/>
      <c r="E42" s="176"/>
      <c r="F42" s="175"/>
      <c r="G42" s="276"/>
      <c r="H42" s="181"/>
      <c r="I42" s="43"/>
      <c r="J42" s="1610"/>
      <c r="K42" s="1867"/>
      <c r="L42" s="1610"/>
      <c r="M42" s="43"/>
      <c r="N42" s="153"/>
      <c r="O42" s="44"/>
      <c r="P42" s="45"/>
      <c r="Q42" s="1450"/>
      <c r="R42" s="1249"/>
      <c r="S42" s="1250"/>
      <c r="T42" s="1453"/>
      <c r="U42" s="43"/>
      <c r="V42" s="1610"/>
      <c r="W42" s="1811"/>
      <c r="X42" s="1811"/>
      <c r="Y42" s="1811"/>
      <c r="Z42" s="1450"/>
      <c r="AA42" s="1250"/>
      <c r="AB42" s="1250"/>
      <c r="AC42" s="1250"/>
      <c r="AD42" s="1250"/>
      <c r="AE42" s="45"/>
      <c r="AF42" s="16"/>
      <c r="AG42" s="176"/>
      <c r="AH42" s="44"/>
      <c r="AI42" s="176"/>
      <c r="AJ42" s="175"/>
      <c r="AK42" s="16"/>
      <c r="AL42" s="181"/>
    </row>
    <row r="43" spans="1:40" s="2" customFormat="1" ht="23.45" customHeight="1" thickTop="1">
      <c r="A43" s="1844">
        <f t="shared" si="0"/>
        <v>109</v>
      </c>
      <c r="B43" s="23"/>
      <c r="C43" s="23"/>
      <c r="D43" s="32"/>
      <c r="E43" s="9"/>
      <c r="F43" s="10"/>
      <c r="G43" s="277"/>
      <c r="H43" s="388"/>
      <c r="I43" s="23"/>
      <c r="J43" s="151"/>
      <c r="K43" s="150"/>
      <c r="L43" s="151"/>
      <c r="M43" s="23"/>
      <c r="N43" s="154"/>
      <c r="O43" s="1452"/>
      <c r="P43" s="32"/>
      <c r="Q43" s="1448"/>
      <c r="R43" s="1245"/>
      <c r="S43" s="1246"/>
      <c r="T43" s="1451"/>
      <c r="U43" s="23"/>
      <c r="V43" s="151"/>
      <c r="W43" s="1809"/>
      <c r="X43" s="1809"/>
      <c r="Y43" s="1809"/>
      <c r="Z43" s="1448"/>
      <c r="AA43" s="1246"/>
      <c r="AB43" s="1246"/>
      <c r="AC43" s="1246"/>
      <c r="AD43" s="1246"/>
      <c r="AE43" s="32"/>
      <c r="AF43" s="8"/>
      <c r="AG43" s="9"/>
      <c r="AH43" s="1452"/>
      <c r="AI43" s="9"/>
      <c r="AJ43" s="10"/>
      <c r="AK43" s="8"/>
      <c r="AL43" s="388"/>
    </row>
    <row r="44" spans="1:40" s="2" customFormat="1" ht="23.45" customHeight="1">
      <c r="A44" s="1842">
        <f t="shared" si="0"/>
        <v>110</v>
      </c>
      <c r="B44" s="40"/>
      <c r="C44" s="40"/>
      <c r="D44" s="42"/>
      <c r="E44" s="14"/>
      <c r="F44" s="13"/>
      <c r="G44" s="274"/>
      <c r="H44" s="231"/>
      <c r="I44" s="40"/>
      <c r="J44" s="1583"/>
      <c r="K44" s="1794"/>
      <c r="L44" s="1583"/>
      <c r="M44" s="40"/>
      <c r="N44" s="152"/>
      <c r="O44" s="41"/>
      <c r="P44" s="42"/>
      <c r="Q44" s="1449"/>
      <c r="R44" s="1247"/>
      <c r="S44" s="1248"/>
      <c r="T44" s="1251"/>
      <c r="U44" s="40"/>
      <c r="V44" s="1583"/>
      <c r="W44" s="1810"/>
      <c r="X44" s="1810"/>
      <c r="Y44" s="1810"/>
      <c r="Z44" s="1449"/>
      <c r="AA44" s="1248"/>
      <c r="AB44" s="1248"/>
      <c r="AC44" s="1248"/>
      <c r="AD44" s="1248"/>
      <c r="AE44" s="42"/>
      <c r="AF44" s="12"/>
      <c r="AG44" s="14"/>
      <c r="AH44" s="41"/>
      <c r="AI44" s="14"/>
      <c r="AJ44" s="13"/>
      <c r="AK44" s="12"/>
      <c r="AL44" s="231"/>
    </row>
    <row r="45" spans="1:40" s="2" customFormat="1" ht="23.45" customHeight="1" thickBot="1">
      <c r="A45" s="1843">
        <f t="shared" si="0"/>
        <v>111</v>
      </c>
      <c r="B45" s="43"/>
      <c r="C45" s="43"/>
      <c r="D45" s="45"/>
      <c r="E45" s="176"/>
      <c r="F45" s="175"/>
      <c r="G45" s="276"/>
      <c r="H45" s="181"/>
      <c r="I45" s="43"/>
      <c r="J45" s="1610"/>
      <c r="K45" s="1867"/>
      <c r="L45" s="1610"/>
      <c r="M45" s="43"/>
      <c r="N45" s="153"/>
      <c r="O45" s="44"/>
      <c r="P45" s="45"/>
      <c r="Q45" s="1450"/>
      <c r="R45" s="1249"/>
      <c r="S45" s="1250"/>
      <c r="T45" s="1453"/>
      <c r="U45" s="43"/>
      <c r="V45" s="1610"/>
      <c r="W45" s="1811"/>
      <c r="X45" s="1811"/>
      <c r="Y45" s="1811"/>
      <c r="Z45" s="1450"/>
      <c r="AA45" s="1250"/>
      <c r="AB45" s="1250"/>
      <c r="AC45" s="1250"/>
      <c r="AD45" s="1250"/>
      <c r="AE45" s="45"/>
      <c r="AF45" s="16"/>
      <c r="AG45" s="176"/>
      <c r="AH45" s="44"/>
      <c r="AI45" s="176"/>
      <c r="AJ45" s="175"/>
      <c r="AK45" s="16"/>
      <c r="AL45" s="181"/>
    </row>
    <row r="46" spans="1:40" s="2" customFormat="1" ht="23.45" customHeight="1" thickTop="1">
      <c r="A46" s="1844">
        <f t="shared" si="0"/>
        <v>112</v>
      </c>
      <c r="B46" s="23"/>
      <c r="C46" s="23"/>
      <c r="D46" s="32"/>
      <c r="E46" s="9"/>
      <c r="F46" s="10"/>
      <c r="G46" s="277"/>
      <c r="H46" s="388"/>
      <c r="I46" s="23"/>
      <c r="J46" s="151"/>
      <c r="K46" s="150"/>
      <c r="L46" s="151"/>
      <c r="M46" s="23"/>
      <c r="N46" s="154"/>
      <c r="O46" s="1452"/>
      <c r="P46" s="32"/>
      <c r="Q46" s="1448"/>
      <c r="R46" s="1245"/>
      <c r="S46" s="1246"/>
      <c r="T46" s="1451"/>
      <c r="U46" s="23"/>
      <c r="V46" s="151"/>
      <c r="W46" s="1809"/>
      <c r="X46" s="1809"/>
      <c r="Y46" s="1809"/>
      <c r="Z46" s="1448"/>
      <c r="AA46" s="1246"/>
      <c r="AB46" s="1246"/>
      <c r="AC46" s="1246"/>
      <c r="AD46" s="1246"/>
      <c r="AE46" s="32"/>
      <c r="AF46" s="8"/>
      <c r="AG46" s="9"/>
      <c r="AH46" s="1452"/>
      <c r="AI46" s="9"/>
      <c r="AJ46" s="10"/>
      <c r="AK46" s="12"/>
      <c r="AL46" s="231"/>
    </row>
    <row r="47" spans="1:40" s="2" customFormat="1" ht="23.45" customHeight="1">
      <c r="A47" s="1842">
        <f t="shared" si="0"/>
        <v>113</v>
      </c>
      <c r="B47" s="40"/>
      <c r="C47" s="40"/>
      <c r="D47" s="42"/>
      <c r="E47" s="14"/>
      <c r="F47" s="13"/>
      <c r="G47" s="274"/>
      <c r="H47" s="231"/>
      <c r="I47" s="40"/>
      <c r="J47" s="1583"/>
      <c r="K47" s="1794"/>
      <c r="L47" s="1583"/>
      <c r="M47" s="40"/>
      <c r="N47" s="152"/>
      <c r="O47" s="41"/>
      <c r="P47" s="42"/>
      <c r="Q47" s="1449"/>
      <c r="R47" s="1247"/>
      <c r="S47" s="1248"/>
      <c r="T47" s="1251"/>
      <c r="U47" s="40"/>
      <c r="V47" s="1583"/>
      <c r="W47" s="1810"/>
      <c r="X47" s="1810"/>
      <c r="Y47" s="1810"/>
      <c r="Z47" s="1449"/>
      <c r="AA47" s="1248"/>
      <c r="AB47" s="1248"/>
      <c r="AC47" s="1248"/>
      <c r="AD47" s="1248"/>
      <c r="AE47" s="42"/>
      <c r="AF47" s="12"/>
      <c r="AG47" s="14"/>
      <c r="AH47" s="41"/>
      <c r="AI47" s="14"/>
      <c r="AJ47" s="13"/>
      <c r="AK47" s="12"/>
      <c r="AL47" s="231"/>
    </row>
    <row r="48" spans="1:40" s="2" customFormat="1" ht="23.45" customHeight="1">
      <c r="A48" s="1842">
        <f t="shared" si="0"/>
        <v>114</v>
      </c>
      <c r="B48" s="40"/>
      <c r="C48" s="40"/>
      <c r="D48" s="42"/>
      <c r="E48" s="14"/>
      <c r="F48" s="13"/>
      <c r="G48" s="274"/>
      <c r="H48" s="231"/>
      <c r="I48" s="40"/>
      <c r="J48" s="1583"/>
      <c r="K48" s="1794"/>
      <c r="L48" s="1583"/>
      <c r="M48" s="40"/>
      <c r="N48" s="152"/>
      <c r="O48" s="41"/>
      <c r="P48" s="42"/>
      <c r="Q48" s="1449"/>
      <c r="R48" s="1247"/>
      <c r="S48" s="1248"/>
      <c r="T48" s="1251"/>
      <c r="U48" s="40"/>
      <c r="V48" s="1583"/>
      <c r="W48" s="1810"/>
      <c r="X48" s="1810"/>
      <c r="Y48" s="1810"/>
      <c r="Z48" s="1449"/>
      <c r="AA48" s="1248"/>
      <c r="AB48" s="1248"/>
      <c r="AC48" s="1248"/>
      <c r="AD48" s="1248"/>
      <c r="AE48" s="42"/>
      <c r="AF48" s="12"/>
      <c r="AG48" s="14"/>
      <c r="AH48" s="41"/>
      <c r="AI48" s="14"/>
      <c r="AJ48" s="13"/>
      <c r="AK48" s="12"/>
      <c r="AL48" s="231"/>
    </row>
  </sheetData>
  <mergeCells count="73">
    <mergeCell ref="C5:AL5"/>
    <mergeCell ref="K22:L27"/>
    <mergeCell ref="AK11:AL11"/>
    <mergeCell ref="AI11:AJ11"/>
    <mergeCell ref="A11:A33"/>
    <mergeCell ref="B11:D11"/>
    <mergeCell ref="I11:J11"/>
    <mergeCell ref="AI12:AJ23"/>
    <mergeCell ref="O12:T19"/>
    <mergeCell ref="U12:V22"/>
    <mergeCell ref="B12:D17"/>
    <mergeCell ref="B19:D23"/>
    <mergeCell ref="K12:L21"/>
    <mergeCell ref="AL29:AL31"/>
    <mergeCell ref="G30:H32"/>
    <mergeCell ref="G33:H33"/>
    <mergeCell ref="Z33:AC33"/>
    <mergeCell ref="AD33:AE33"/>
    <mergeCell ref="I32:I33"/>
    <mergeCell ref="J32:J33"/>
    <mergeCell ref="J26:J27"/>
    <mergeCell ref="U29:U30"/>
    <mergeCell ref="U31:U32"/>
    <mergeCell ref="AK29:AK31"/>
    <mergeCell ref="AK25:AK26"/>
    <mergeCell ref="AF31:AF32"/>
    <mergeCell ref="AG31:AG32"/>
    <mergeCell ref="AH20:AH26"/>
    <mergeCell ref="AL21:AL22"/>
    <mergeCell ref="AL25:AL26"/>
    <mergeCell ref="M12:N20"/>
    <mergeCell ref="AK12:AL20"/>
    <mergeCell ref="M21:N24"/>
    <mergeCell ref="AK21:AK22"/>
    <mergeCell ref="AH12:AH18"/>
    <mergeCell ref="Z26:AE28"/>
    <mergeCell ref="U27:U28"/>
    <mergeCell ref="W20:Y25"/>
    <mergeCell ref="O31:O33"/>
    <mergeCell ref="P31:P33"/>
    <mergeCell ref="Q31:T33"/>
    <mergeCell ref="E11:F11"/>
    <mergeCell ref="G11:H11"/>
    <mergeCell ref="E12:F23"/>
    <mergeCell ref="G12:H23"/>
    <mergeCell ref="O11:T11"/>
    <mergeCell ref="I29:I30"/>
    <mergeCell ref="J29:J30"/>
    <mergeCell ref="E26:F28"/>
    <mergeCell ref="G26:H28"/>
    <mergeCell ref="V31:V32"/>
    <mergeCell ref="K32:L33"/>
    <mergeCell ref="U11:V11"/>
    <mergeCell ref="M11:N11"/>
    <mergeCell ref="K11:L11"/>
    <mergeCell ref="B26:B28"/>
    <mergeCell ref="AF12:AG19"/>
    <mergeCell ref="D26:D27"/>
    <mergeCell ref="U25:U26"/>
    <mergeCell ref="V25:V26"/>
    <mergeCell ref="I12:J17"/>
    <mergeCell ref="I23:I24"/>
    <mergeCell ref="J23:J24"/>
    <mergeCell ref="I26:I27"/>
    <mergeCell ref="Z11:AE11"/>
    <mergeCell ref="Z12:AE23"/>
    <mergeCell ref="W11:Y11"/>
    <mergeCell ref="W12:Y19"/>
    <mergeCell ref="AF29:AF30"/>
    <mergeCell ref="AG29:AG30"/>
    <mergeCell ref="O27:T30"/>
    <mergeCell ref="V27:V28"/>
    <mergeCell ref="V29:V30"/>
  </mergeCells>
  <pageMargins left="0.19685039370078741" right="0.19685039370078741" top="0.78740157480314965" bottom="0.59055118110236227" header="0.31496062992125984" footer="0.31496062992125984"/>
  <pageSetup paperSize="9" scale="58" orientation="landscape" r:id="rId1"/>
  <headerFooter alignWithMargins="0">
    <oddFooter>&amp;C&amp;P</oddFooter>
  </headerFooter>
  <ignoredErrors>
    <ignoredError sqref="K11" formula="1"/>
  </ignoredError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6"/>
  <dimension ref="A1:AP36"/>
  <sheetViews>
    <sheetView showGridLines="0" view="pageBreakPreview" zoomScaleSheetLayoutView="100" workbookViewId="0">
      <selection activeCell="L21" sqref="L21"/>
    </sheetView>
  </sheetViews>
  <sheetFormatPr defaultColWidth="9.140625" defaultRowHeight="11.25"/>
  <cols>
    <col min="1" max="1" width="3.85546875" style="192" customWidth="1"/>
    <col min="2" max="3" width="4.7109375" style="192" customWidth="1"/>
    <col min="4" max="4" width="6.42578125" style="192" customWidth="1"/>
    <col min="5" max="7" width="4.28515625" style="192" customWidth="1"/>
    <col min="8" max="8" width="5" style="192" customWidth="1"/>
    <col min="9" max="10" width="4.28515625" style="192" customWidth="1"/>
    <col min="11" max="11" width="12.85546875" style="192" customWidth="1"/>
    <col min="12" max="12" width="14.140625" style="192" customWidth="1"/>
    <col min="13" max="13" width="13.28515625" style="192" customWidth="1"/>
    <col min="14" max="14" width="3.140625" style="192" customWidth="1"/>
    <col min="15" max="15" width="3.7109375" style="192" customWidth="1"/>
    <col min="16" max="16" width="2.140625" style="192" customWidth="1"/>
    <col min="17" max="17" width="4.85546875" style="192" customWidth="1"/>
    <col min="18" max="18" width="3.42578125" style="192" customWidth="1"/>
    <col min="19" max="19" width="2.7109375" style="192" customWidth="1"/>
    <col min="20" max="20" width="2.42578125" style="192" customWidth="1"/>
    <col min="21" max="24" width="2.7109375" style="192" customWidth="1"/>
    <col min="25" max="25" width="2.28515625" style="192" customWidth="1"/>
    <col min="26" max="31" width="2.7109375" style="192" customWidth="1"/>
    <col min="32" max="33" width="3.42578125" style="192" customWidth="1"/>
    <col min="34" max="62" width="2.7109375" style="192" customWidth="1"/>
    <col min="63" max="16384" width="9.140625" style="192"/>
  </cols>
  <sheetData>
    <row r="1" spans="1:42" ht="17.25" customHeight="1">
      <c r="A1" s="191" t="s">
        <v>680</v>
      </c>
      <c r="AE1" s="194" t="s">
        <v>681</v>
      </c>
      <c r="AF1" s="193"/>
    </row>
    <row r="2" spans="1:42" s="1267" customFormat="1" ht="12.75">
      <c r="A2" s="1644"/>
      <c r="AE2" s="194"/>
      <c r="AF2" s="194"/>
    </row>
    <row r="3" spans="1:42" ht="15.75">
      <c r="A3" s="1594" t="s">
        <v>62</v>
      </c>
      <c r="B3" s="1594"/>
      <c r="AE3" s="1588" t="s">
        <v>63</v>
      </c>
      <c r="AF3" s="193"/>
      <c r="AG3" s="194"/>
    </row>
    <row r="4" spans="1:42" ht="15.75">
      <c r="A4" s="1594"/>
      <c r="B4" s="1594"/>
      <c r="AE4" s="1588"/>
      <c r="AF4" s="193"/>
      <c r="AG4" s="194"/>
    </row>
    <row r="5" spans="1:42" ht="12.75">
      <c r="A5" s="2733">
        <v>-6.01</v>
      </c>
      <c r="B5" s="2733"/>
      <c r="C5" s="1267" t="s">
        <v>682</v>
      </c>
    </row>
    <row r="6" spans="1:42" ht="14.25" customHeight="1">
      <c r="A6" s="195"/>
      <c r="B6" s="196"/>
      <c r="C6" s="778" t="s">
        <v>683</v>
      </c>
      <c r="D6" s="195"/>
    </row>
    <row r="7" spans="1:42" ht="14.25" customHeight="1">
      <c r="A7" s="195"/>
      <c r="B7" s="196"/>
      <c r="C7" s="195"/>
      <c r="D7" s="195"/>
    </row>
    <row r="8" spans="1:42" ht="13.5" customHeight="1">
      <c r="A8" s="197"/>
      <c r="C8" s="2780" t="s">
        <v>104</v>
      </c>
      <c r="D8" s="2780"/>
      <c r="E8" s="1268">
        <v>1</v>
      </c>
      <c r="F8" s="1269"/>
      <c r="G8" s="198"/>
      <c r="H8" s="198"/>
      <c r="J8" s="199"/>
    </row>
    <row r="9" spans="1:42" ht="13.9" customHeight="1">
      <c r="A9" s="197"/>
      <c r="C9" s="2780" t="s">
        <v>108</v>
      </c>
      <c r="D9" s="2781"/>
      <c r="E9" s="1268">
        <v>2</v>
      </c>
      <c r="F9" s="716" t="s">
        <v>91</v>
      </c>
      <c r="G9" s="398" t="s">
        <v>684</v>
      </c>
      <c r="H9" s="398"/>
    </row>
    <row r="10" spans="1:42" ht="13.9" customHeight="1">
      <c r="A10" s="197"/>
    </row>
    <row r="11" spans="1:42" ht="17.25" customHeight="1">
      <c r="A11" s="2734" t="s">
        <v>685</v>
      </c>
      <c r="B11" s="2737" t="s">
        <v>686</v>
      </c>
      <c r="C11" s="2753"/>
      <c r="D11" s="2738"/>
      <c r="E11" s="2758">
        <f>A5-0.01</f>
        <v>-6.02</v>
      </c>
      <c r="F11" s="2759"/>
      <c r="G11" s="2759"/>
      <c r="H11" s="2759"/>
      <c r="I11" s="2759"/>
      <c r="J11" s="2760"/>
      <c r="K11" s="2782" t="s">
        <v>687</v>
      </c>
      <c r="L11" s="2783"/>
      <c r="M11" s="2784"/>
      <c r="O11" s="2799" t="s">
        <v>685</v>
      </c>
      <c r="P11" s="2794" t="s">
        <v>688</v>
      </c>
      <c r="Q11" s="2795"/>
      <c r="R11" s="2795"/>
      <c r="S11" s="2795"/>
      <c r="T11" s="2795"/>
      <c r="U11" s="2795"/>
      <c r="V11" s="2795"/>
      <c r="W11" s="2795"/>
      <c r="X11" s="2795"/>
      <c r="Y11" s="2795"/>
      <c r="Z11" s="2795"/>
      <c r="AA11" s="2795"/>
      <c r="AB11" s="2795"/>
      <c r="AC11" s="2795"/>
      <c r="AD11" s="2795"/>
      <c r="AE11" s="2796"/>
      <c r="AF11" s="202"/>
      <c r="AG11" s="202"/>
      <c r="AN11" s="203"/>
      <c r="AO11" s="203"/>
      <c r="AP11" s="203"/>
    </row>
    <row r="12" spans="1:42" ht="17.25" customHeight="1">
      <c r="A12" s="2735"/>
      <c r="B12" s="2754"/>
      <c r="C12" s="2755"/>
      <c r="D12" s="2756"/>
      <c r="E12" s="2771" t="s">
        <v>689</v>
      </c>
      <c r="F12" s="2797"/>
      <c r="G12" s="2797"/>
      <c r="H12" s="2797"/>
      <c r="I12" s="2797"/>
      <c r="J12" s="2798"/>
      <c r="K12" s="2791" t="s">
        <v>690</v>
      </c>
      <c r="L12" s="2792"/>
      <c r="M12" s="2793"/>
      <c r="N12" s="205"/>
      <c r="O12" s="2800"/>
      <c r="P12" s="2765" t="s">
        <v>691</v>
      </c>
      <c r="Q12" s="2766"/>
      <c r="R12" s="2766"/>
      <c r="S12" s="2766"/>
      <c r="T12" s="2766"/>
      <c r="U12" s="2766"/>
      <c r="V12" s="2766"/>
      <c r="W12" s="2766"/>
      <c r="X12" s="2766"/>
      <c r="Y12" s="2767"/>
      <c r="Z12" s="2758">
        <f>M13-0.01</f>
        <v>-6.0599999999999987</v>
      </c>
      <c r="AA12" s="2759"/>
      <c r="AB12" s="2759"/>
      <c r="AC12" s="2759"/>
      <c r="AD12" s="2759"/>
      <c r="AE12" s="2760"/>
      <c r="AN12" s="203"/>
      <c r="AO12" s="203"/>
      <c r="AP12" s="203"/>
    </row>
    <row r="13" spans="1:42" ht="17.25" customHeight="1">
      <c r="A13" s="2735"/>
      <c r="B13" s="2754"/>
      <c r="C13" s="2755"/>
      <c r="D13" s="2756"/>
      <c r="E13" s="2771"/>
      <c r="F13" s="2797"/>
      <c r="G13" s="2797"/>
      <c r="H13" s="2797"/>
      <c r="I13" s="2797"/>
      <c r="J13" s="2798"/>
      <c r="K13" s="1270">
        <f>E11-0.01</f>
        <v>-6.0299999999999994</v>
      </c>
      <c r="L13" s="1270">
        <f>K13-0.01</f>
        <v>-6.0399999999999991</v>
      </c>
      <c r="M13" s="1271">
        <f>L13-0.01</f>
        <v>-6.0499999999999989</v>
      </c>
      <c r="N13" s="206"/>
      <c r="O13" s="2800"/>
      <c r="P13" s="2768"/>
      <c r="Q13" s="2769"/>
      <c r="R13" s="2769"/>
      <c r="S13" s="2769"/>
      <c r="T13" s="2769"/>
      <c r="U13" s="2769"/>
      <c r="V13" s="2769"/>
      <c r="W13" s="2769"/>
      <c r="X13" s="2769"/>
      <c r="Y13" s="2770"/>
      <c r="Z13" s="2788" t="s">
        <v>692</v>
      </c>
      <c r="AA13" s="2789"/>
      <c r="AB13" s="2789"/>
      <c r="AC13" s="2789"/>
      <c r="AD13" s="2789"/>
      <c r="AE13" s="2790"/>
      <c r="AL13" s="207"/>
    </row>
    <row r="14" spans="1:42" ht="17.25" customHeight="1">
      <c r="A14" s="2735"/>
      <c r="B14" s="2754"/>
      <c r="C14" s="2755"/>
      <c r="D14" s="2756"/>
      <c r="E14" s="2771"/>
      <c r="F14" s="2797"/>
      <c r="G14" s="2797"/>
      <c r="H14" s="2797"/>
      <c r="I14" s="2797"/>
      <c r="J14" s="2798"/>
      <c r="K14" s="2771" t="s">
        <v>693</v>
      </c>
      <c r="L14" s="2771" t="s">
        <v>694</v>
      </c>
      <c r="M14" s="2764" t="s">
        <v>695</v>
      </c>
      <c r="N14" s="208"/>
      <c r="O14" s="2800"/>
      <c r="P14" s="2768"/>
      <c r="Q14" s="2769"/>
      <c r="R14" s="2769"/>
      <c r="S14" s="2769"/>
      <c r="T14" s="2769"/>
      <c r="U14" s="2769"/>
      <c r="V14" s="2769"/>
      <c r="W14" s="2769"/>
      <c r="X14" s="2769"/>
      <c r="Y14" s="2770"/>
      <c r="Z14" s="2788"/>
      <c r="AA14" s="2789"/>
      <c r="AB14" s="2789"/>
      <c r="AC14" s="2789"/>
      <c r="AD14" s="2789"/>
      <c r="AE14" s="2790"/>
      <c r="AL14" s="209"/>
      <c r="AM14" s="209"/>
      <c r="AN14" s="209"/>
    </row>
    <row r="15" spans="1:42" ht="17.25" customHeight="1">
      <c r="A15" s="2735"/>
      <c r="B15" s="2754"/>
      <c r="C15" s="2755"/>
      <c r="D15" s="2756"/>
      <c r="E15" s="2785" t="s">
        <v>690</v>
      </c>
      <c r="F15" s="2786"/>
      <c r="G15" s="2786"/>
      <c r="H15" s="2786"/>
      <c r="I15" s="2786"/>
      <c r="J15" s="2787"/>
      <c r="K15" s="2771"/>
      <c r="L15" s="2771"/>
      <c r="M15" s="2764"/>
      <c r="N15" s="208"/>
      <c r="O15" s="2800"/>
      <c r="P15" s="2768"/>
      <c r="Q15" s="2769"/>
      <c r="R15" s="2769"/>
      <c r="S15" s="2769"/>
      <c r="T15" s="2769"/>
      <c r="U15" s="2769"/>
      <c r="V15" s="2769"/>
      <c r="W15" s="2769"/>
      <c r="X15" s="2769"/>
      <c r="Y15" s="2770"/>
      <c r="Z15" s="2788"/>
      <c r="AA15" s="2789"/>
      <c r="AB15" s="2789"/>
      <c r="AC15" s="2789"/>
      <c r="AD15" s="2789"/>
      <c r="AE15" s="2790"/>
      <c r="AL15" s="209"/>
      <c r="AM15" s="209"/>
      <c r="AN15" s="209"/>
    </row>
    <row r="16" spans="1:42" ht="17.25" customHeight="1">
      <c r="A16" s="2735"/>
      <c r="B16" s="2754"/>
      <c r="C16" s="2755"/>
      <c r="D16" s="2756"/>
      <c r="E16" s="204"/>
      <c r="F16" s="399" t="s">
        <v>91</v>
      </c>
      <c r="G16" s="2746" t="s">
        <v>696</v>
      </c>
      <c r="H16" s="2746"/>
      <c r="I16" s="2746"/>
      <c r="J16" s="2747"/>
      <c r="K16" s="2771"/>
      <c r="L16" s="2773" t="s">
        <v>697</v>
      </c>
      <c r="M16" s="2764"/>
      <c r="N16" s="208"/>
      <c r="O16" s="2800"/>
      <c r="P16" s="2768"/>
      <c r="Q16" s="2769"/>
      <c r="R16" s="2769"/>
      <c r="S16" s="2769"/>
      <c r="T16" s="2769"/>
      <c r="U16" s="2769"/>
      <c r="V16" s="2769"/>
      <c r="W16" s="2769"/>
      <c r="X16" s="2769"/>
      <c r="Y16" s="2770"/>
      <c r="Z16" s="2788"/>
      <c r="AA16" s="2789"/>
      <c r="AB16" s="2789"/>
      <c r="AC16" s="2789"/>
      <c r="AD16" s="2789"/>
      <c r="AE16" s="2790"/>
      <c r="AL16" s="209"/>
      <c r="AM16" s="209"/>
      <c r="AN16" s="209"/>
    </row>
    <row r="17" spans="1:40" ht="17.25" customHeight="1">
      <c r="A17" s="2735"/>
      <c r="B17" s="2754"/>
      <c r="C17" s="2755"/>
      <c r="D17" s="2756"/>
      <c r="E17" s="204"/>
      <c r="G17" s="210"/>
      <c r="H17" s="210"/>
      <c r="I17" s="210"/>
      <c r="J17" s="211"/>
      <c r="K17" s="2771"/>
      <c r="L17" s="2773"/>
      <c r="M17" s="2764"/>
      <c r="N17" s="208"/>
      <c r="O17" s="2800"/>
      <c r="P17" s="2768"/>
      <c r="Q17" s="2769"/>
      <c r="R17" s="2769"/>
      <c r="S17" s="2769"/>
      <c r="T17" s="2769"/>
      <c r="U17" s="2769"/>
      <c r="V17" s="2769"/>
      <c r="W17" s="2769"/>
      <c r="X17" s="2769"/>
      <c r="Y17" s="2770"/>
      <c r="Z17" s="2788"/>
      <c r="AA17" s="2789"/>
      <c r="AB17" s="2789"/>
      <c r="AC17" s="2789"/>
      <c r="AD17" s="2789"/>
      <c r="AE17" s="2790"/>
      <c r="AL17" s="212"/>
      <c r="AM17" s="212"/>
      <c r="AN17" s="212"/>
    </row>
    <row r="18" spans="1:40" ht="17.25" customHeight="1">
      <c r="A18" s="2735"/>
      <c r="B18" s="2754"/>
      <c r="C18" s="2755"/>
      <c r="D18" s="2756"/>
      <c r="E18" s="2737" t="s">
        <v>698</v>
      </c>
      <c r="F18" s="2738"/>
      <c r="G18" s="2748" t="s">
        <v>699</v>
      </c>
      <c r="H18" s="2749"/>
      <c r="I18" s="2749"/>
      <c r="J18" s="2750"/>
      <c r="K18" s="2771"/>
      <c r="L18" s="2773"/>
      <c r="M18" s="2744"/>
      <c r="N18" s="207"/>
      <c r="O18" s="2800"/>
      <c r="P18" s="2768"/>
      <c r="Q18" s="2769"/>
      <c r="R18" s="2769"/>
      <c r="S18" s="2769"/>
      <c r="T18" s="2769"/>
      <c r="U18" s="2769"/>
      <c r="V18" s="2769"/>
      <c r="W18" s="2769"/>
      <c r="X18" s="2769"/>
      <c r="Y18" s="2770"/>
      <c r="Z18" s="2802" t="s">
        <v>700</v>
      </c>
      <c r="AA18" s="2803"/>
      <c r="AB18" s="2803"/>
      <c r="AC18" s="2803"/>
      <c r="AD18" s="2803"/>
      <c r="AE18" s="2804"/>
      <c r="AL18" s="212"/>
      <c r="AM18" s="212"/>
      <c r="AN18" s="212"/>
    </row>
    <row r="19" spans="1:40" ht="17.25" customHeight="1">
      <c r="A19" s="2736"/>
      <c r="B19" s="2739"/>
      <c r="C19" s="2757"/>
      <c r="D19" s="2740"/>
      <c r="E19" s="2739"/>
      <c r="F19" s="2740"/>
      <c r="G19" s="2751" t="s">
        <v>701</v>
      </c>
      <c r="H19" s="2752"/>
      <c r="I19" s="2751" t="s">
        <v>702</v>
      </c>
      <c r="J19" s="2752"/>
      <c r="K19" s="2772"/>
      <c r="L19" s="2774"/>
      <c r="M19" s="2745"/>
      <c r="N19" s="203"/>
      <c r="O19" s="2801"/>
      <c r="P19" s="2748"/>
      <c r="Q19" s="2749"/>
      <c r="R19" s="2749"/>
      <c r="S19" s="2749"/>
      <c r="T19" s="2749"/>
      <c r="U19" s="2749"/>
      <c r="V19" s="2749"/>
      <c r="W19" s="2749"/>
      <c r="X19" s="2749"/>
      <c r="Y19" s="2750"/>
      <c r="Z19" s="2805"/>
      <c r="AA19" s="2806"/>
      <c r="AB19" s="2806"/>
      <c r="AC19" s="2806"/>
      <c r="AD19" s="2806"/>
      <c r="AE19" s="2807"/>
      <c r="AL19" s="203"/>
      <c r="AM19" s="203"/>
      <c r="AN19" s="203"/>
    </row>
    <row r="20" spans="1:40" ht="17.25" customHeight="1">
      <c r="A20" s="782">
        <v>1</v>
      </c>
      <c r="B20" s="2716" t="s">
        <v>703</v>
      </c>
      <c r="C20" s="2775"/>
      <c r="D20" s="2776"/>
      <c r="E20" s="215"/>
      <c r="F20" s="214"/>
      <c r="G20" s="213"/>
      <c r="H20" s="214"/>
      <c r="I20" s="213"/>
      <c r="J20" s="214"/>
      <c r="K20" s="215"/>
      <c r="L20" s="215"/>
      <c r="M20" s="400"/>
      <c r="O20" s="782">
        <v>1</v>
      </c>
      <c r="P20" s="2716" t="s">
        <v>704</v>
      </c>
      <c r="Q20" s="2775"/>
      <c r="R20" s="2775"/>
      <c r="S20" s="2775"/>
      <c r="T20" s="2775"/>
      <c r="U20" s="2775"/>
      <c r="V20" s="2775"/>
      <c r="W20" s="2775"/>
      <c r="X20" s="2775"/>
      <c r="Y20" s="2776"/>
      <c r="Z20" s="2701"/>
      <c r="AA20" s="2702"/>
      <c r="AB20" s="2702"/>
      <c r="AC20" s="2702"/>
      <c r="AD20" s="2702"/>
      <c r="AE20" s="2703"/>
    </row>
    <row r="21" spans="1:40" ht="17.25" customHeight="1">
      <c r="A21" s="2721">
        <v>2</v>
      </c>
      <c r="B21" s="2716" t="s">
        <v>705</v>
      </c>
      <c r="C21" s="2717"/>
      <c r="D21" s="2718"/>
      <c r="E21" s="215"/>
      <c r="F21" s="214"/>
      <c r="G21" s="213"/>
      <c r="H21" s="214"/>
      <c r="I21" s="213"/>
      <c r="J21" s="214"/>
      <c r="K21" s="215"/>
      <c r="L21" s="215"/>
      <c r="M21" s="199"/>
      <c r="O21" s="782">
        <v>2</v>
      </c>
      <c r="P21" s="2716" t="s">
        <v>706</v>
      </c>
      <c r="Q21" s="2775"/>
      <c r="R21" s="2775"/>
      <c r="S21" s="2775"/>
      <c r="T21" s="2775"/>
      <c r="U21" s="2775"/>
      <c r="V21" s="2775"/>
      <c r="W21" s="2775"/>
      <c r="X21" s="2775"/>
      <c r="Y21" s="2776"/>
      <c r="Z21" s="2701"/>
      <c r="AA21" s="2702"/>
      <c r="AB21" s="2702"/>
      <c r="AC21" s="2702"/>
      <c r="AD21" s="2702"/>
      <c r="AE21" s="2703"/>
    </row>
    <row r="22" spans="1:40" ht="17.25" customHeight="1">
      <c r="A22" s="2722"/>
      <c r="B22" s="2716" t="s">
        <v>707</v>
      </c>
      <c r="C22" s="2717"/>
      <c r="D22" s="2718"/>
      <c r="E22" s="2701" t="s">
        <v>708</v>
      </c>
      <c r="F22" s="2703"/>
      <c r="G22" s="2701" t="s">
        <v>708</v>
      </c>
      <c r="H22" s="2703"/>
      <c r="I22" s="2701" t="s">
        <v>708</v>
      </c>
      <c r="J22" s="2703"/>
      <c r="K22" s="387" t="s">
        <v>708</v>
      </c>
      <c r="L22" s="215"/>
      <c r="M22" s="199"/>
      <c r="O22" s="782">
        <v>3</v>
      </c>
      <c r="P22" s="2716" t="s">
        <v>709</v>
      </c>
      <c r="Q22" s="2775"/>
      <c r="R22" s="2775"/>
      <c r="S22" s="2775"/>
      <c r="T22" s="2775"/>
      <c r="U22" s="2775"/>
      <c r="V22" s="2775"/>
      <c r="W22" s="2775"/>
      <c r="X22" s="2775"/>
      <c r="Y22" s="2776"/>
      <c r="Z22" s="2701"/>
      <c r="AA22" s="2702"/>
      <c r="AB22" s="2702"/>
      <c r="AC22" s="2702"/>
      <c r="AD22" s="2702"/>
      <c r="AE22" s="2703"/>
    </row>
    <row r="23" spans="1:40" ht="17.25" customHeight="1">
      <c r="A23" s="782">
        <v>3</v>
      </c>
      <c r="B23" s="2716" t="s">
        <v>710</v>
      </c>
      <c r="C23" s="2717"/>
      <c r="D23" s="2718"/>
      <c r="E23" s="215"/>
      <c r="F23" s="214"/>
      <c r="G23" s="213"/>
      <c r="H23" s="214"/>
      <c r="I23" s="213"/>
      <c r="J23" s="214"/>
      <c r="K23" s="215"/>
      <c r="L23" s="215"/>
      <c r="M23" s="199"/>
      <c r="O23" s="782">
        <v>4</v>
      </c>
      <c r="P23" s="2777" t="s">
        <v>711</v>
      </c>
      <c r="Q23" s="2778"/>
      <c r="R23" s="2778"/>
      <c r="S23" s="2778"/>
      <c r="T23" s="2778"/>
      <c r="U23" s="2778"/>
      <c r="V23" s="2778"/>
      <c r="W23" s="2778"/>
      <c r="X23" s="2778"/>
      <c r="Y23" s="2779"/>
      <c r="Z23" s="2701"/>
      <c r="AA23" s="2702"/>
      <c r="AB23" s="2702"/>
      <c r="AC23" s="2702"/>
      <c r="AD23" s="2702"/>
      <c r="AE23" s="2703"/>
    </row>
    <row r="24" spans="1:40" ht="17.25" customHeight="1">
      <c r="A24" s="782">
        <v>4</v>
      </c>
      <c r="B24" s="2716" t="s">
        <v>712</v>
      </c>
      <c r="C24" s="2717"/>
      <c r="D24" s="2718"/>
      <c r="E24" s="215"/>
      <c r="F24" s="214"/>
      <c r="G24" s="213"/>
      <c r="H24" s="214"/>
      <c r="I24" s="213"/>
      <c r="J24" s="214"/>
      <c r="K24" s="215"/>
      <c r="L24" s="215"/>
      <c r="M24" s="199"/>
      <c r="O24" s="782">
        <v>5</v>
      </c>
      <c r="P24" s="2716" t="s">
        <v>713</v>
      </c>
      <c r="Q24" s="2775"/>
      <c r="R24" s="2775"/>
      <c r="S24" s="2775"/>
      <c r="T24" s="2775"/>
      <c r="U24" s="2775"/>
      <c r="V24" s="2775"/>
      <c r="W24" s="2775"/>
      <c r="X24" s="2775"/>
      <c r="Y24" s="2776"/>
      <c r="Z24" s="2701"/>
      <c r="AA24" s="2702"/>
      <c r="AB24" s="2702"/>
      <c r="AC24" s="2702"/>
      <c r="AD24" s="2702"/>
      <c r="AE24" s="2703"/>
    </row>
    <row r="25" spans="1:40" ht="17.25" customHeight="1">
      <c r="A25" s="782">
        <v>5</v>
      </c>
      <c r="B25" s="2716" t="s">
        <v>714</v>
      </c>
      <c r="C25" s="2717"/>
      <c r="D25" s="2718"/>
      <c r="E25" s="215"/>
      <c r="F25" s="214"/>
      <c r="G25" s="213"/>
      <c r="H25" s="214"/>
      <c r="I25" s="213"/>
      <c r="J25" s="214"/>
      <c r="K25" s="215"/>
      <c r="L25" s="215"/>
      <c r="M25" s="199"/>
      <c r="O25" s="782">
        <v>6</v>
      </c>
      <c r="P25" s="2716" t="s">
        <v>715</v>
      </c>
      <c r="Q25" s="2775"/>
      <c r="R25" s="2775"/>
      <c r="S25" s="2775"/>
      <c r="T25" s="2775"/>
      <c r="U25" s="2775"/>
      <c r="V25" s="2775"/>
      <c r="W25" s="2775"/>
      <c r="X25" s="2775"/>
      <c r="Y25" s="2776"/>
      <c r="Z25" s="2701"/>
      <c r="AA25" s="2702"/>
      <c r="AB25" s="2702"/>
      <c r="AC25" s="2702"/>
      <c r="AD25" s="2702"/>
      <c r="AE25" s="2703"/>
    </row>
    <row r="26" spans="1:40" ht="15" customHeight="1">
      <c r="A26" s="1456"/>
      <c r="B26" s="1457"/>
      <c r="C26" s="200"/>
      <c r="D26" s="200"/>
      <c r="E26" s="200"/>
      <c r="F26" s="200"/>
      <c r="G26" s="200"/>
      <c r="H26" s="200"/>
      <c r="I26" s="200"/>
      <c r="J26" s="200"/>
      <c r="K26" s="200"/>
      <c r="L26" s="200"/>
      <c r="M26" s="201"/>
      <c r="O26" s="2721">
        <v>7</v>
      </c>
      <c r="P26" s="2704" t="s">
        <v>716</v>
      </c>
      <c r="Q26" s="2705"/>
      <c r="R26" s="2705"/>
      <c r="S26" s="2705"/>
      <c r="T26" s="2705"/>
      <c r="U26" s="2705"/>
      <c r="V26" s="2705"/>
      <c r="W26" s="2705"/>
      <c r="X26" s="2705"/>
      <c r="Y26" s="2706"/>
      <c r="Z26" s="2724"/>
      <c r="AA26" s="2725"/>
      <c r="AB26" s="2725"/>
      <c r="AC26" s="2725"/>
      <c r="AD26" s="2725"/>
      <c r="AE26" s="2726"/>
    </row>
    <row r="27" spans="1:40" ht="15" customHeight="1">
      <c r="A27" s="2741" t="s">
        <v>717</v>
      </c>
      <c r="B27" s="2742"/>
      <c r="C27" s="2742"/>
      <c r="D27" s="2742"/>
      <c r="E27" s="2742"/>
      <c r="F27" s="2742"/>
      <c r="G27" s="2742"/>
      <c r="H27" s="2742"/>
      <c r="I27" s="2742"/>
      <c r="J27" s="2742"/>
      <c r="K27" s="2742"/>
      <c r="L27" s="2742"/>
      <c r="M27" s="2743"/>
      <c r="O27" s="2722"/>
      <c r="P27" s="2710"/>
      <c r="Q27" s="2711"/>
      <c r="R27" s="2711"/>
      <c r="S27" s="2711"/>
      <c r="T27" s="2711"/>
      <c r="U27" s="2711"/>
      <c r="V27" s="2711"/>
      <c r="W27" s="2711"/>
      <c r="X27" s="2711"/>
      <c r="Y27" s="2712"/>
      <c r="Z27" s="2727"/>
      <c r="AA27" s="2728"/>
      <c r="AB27" s="2728"/>
      <c r="AC27" s="2728"/>
      <c r="AD27" s="2728"/>
      <c r="AE27" s="2729"/>
    </row>
    <row r="28" spans="1:40" ht="15" customHeight="1">
      <c r="A28" s="2713">
        <v>6</v>
      </c>
      <c r="B28" s="2704" t="s">
        <v>718</v>
      </c>
      <c r="C28" s="2705"/>
      <c r="D28" s="2706"/>
      <c r="E28" s="2719"/>
      <c r="F28" s="2719"/>
      <c r="G28" s="2720" t="s">
        <v>708</v>
      </c>
      <c r="H28" s="2720"/>
      <c r="I28" s="2720" t="s">
        <v>708</v>
      </c>
      <c r="J28" s="2720"/>
      <c r="K28" s="2719"/>
      <c r="L28" s="2719"/>
      <c r="M28" s="2719"/>
      <c r="O28" s="2721">
        <v>8</v>
      </c>
      <c r="P28" s="2704" t="s">
        <v>719</v>
      </c>
      <c r="Q28" s="2705"/>
      <c r="R28" s="2705"/>
      <c r="S28" s="2705"/>
      <c r="T28" s="2705"/>
      <c r="U28" s="2705"/>
      <c r="V28" s="2705"/>
      <c r="W28" s="2705"/>
      <c r="X28" s="2705"/>
      <c r="Y28" s="2706"/>
      <c r="Z28" s="2724"/>
      <c r="AA28" s="2725"/>
      <c r="AB28" s="2725"/>
      <c r="AC28" s="2725"/>
      <c r="AD28" s="2725"/>
      <c r="AE28" s="2726"/>
    </row>
    <row r="29" spans="1:40" ht="15" customHeight="1">
      <c r="A29" s="2714"/>
      <c r="B29" s="2707"/>
      <c r="C29" s="2708"/>
      <c r="D29" s="2709"/>
      <c r="E29" s="2719"/>
      <c r="F29" s="2719"/>
      <c r="G29" s="2720"/>
      <c r="H29" s="2720"/>
      <c r="I29" s="2720"/>
      <c r="J29" s="2720"/>
      <c r="K29" s="2719"/>
      <c r="L29" s="2719"/>
      <c r="M29" s="2719"/>
      <c r="O29" s="2723"/>
      <c r="P29" s="2707"/>
      <c r="Q29" s="2708"/>
      <c r="R29" s="2708"/>
      <c r="S29" s="2708"/>
      <c r="T29" s="2708"/>
      <c r="U29" s="2708"/>
      <c r="V29" s="2708"/>
      <c r="W29" s="2708"/>
      <c r="X29" s="2708"/>
      <c r="Y29" s="2709"/>
      <c r="Z29" s="2730"/>
      <c r="AA29" s="2731"/>
      <c r="AB29" s="2731"/>
      <c r="AC29" s="2731"/>
      <c r="AD29" s="2731"/>
      <c r="AE29" s="2732"/>
    </row>
    <row r="30" spans="1:40" ht="15" customHeight="1">
      <c r="A30" s="2715"/>
      <c r="B30" s="2710"/>
      <c r="C30" s="2711"/>
      <c r="D30" s="2712"/>
      <c r="E30" s="2719"/>
      <c r="F30" s="2719"/>
      <c r="G30" s="2720"/>
      <c r="H30" s="2720"/>
      <c r="I30" s="2720"/>
      <c r="J30" s="2720"/>
      <c r="K30" s="2719"/>
      <c r="L30" s="2719"/>
      <c r="M30" s="2719"/>
      <c r="O30" s="2722"/>
      <c r="P30" s="2710"/>
      <c r="Q30" s="2711"/>
      <c r="R30" s="2711"/>
      <c r="S30" s="2711"/>
      <c r="T30" s="2711"/>
      <c r="U30" s="2711"/>
      <c r="V30" s="2711"/>
      <c r="W30" s="2711"/>
      <c r="X30" s="2711"/>
      <c r="Y30" s="2712"/>
      <c r="Z30" s="2727"/>
      <c r="AA30" s="2728"/>
      <c r="AB30" s="2728"/>
      <c r="AC30" s="2728"/>
      <c r="AD30" s="2728"/>
      <c r="AE30" s="2729"/>
    </row>
    <row r="31" spans="1:40" ht="17.25" customHeight="1">
      <c r="A31" s="257">
        <v>99</v>
      </c>
      <c r="B31" s="2761" t="s">
        <v>183</v>
      </c>
      <c r="C31" s="2762"/>
      <c r="D31" s="2763"/>
      <c r="E31" s="215"/>
      <c r="F31" s="214"/>
      <c r="G31" s="213"/>
      <c r="H31" s="214"/>
      <c r="I31" s="213"/>
      <c r="J31" s="214"/>
      <c r="K31" s="215"/>
      <c r="L31" s="215"/>
      <c r="M31" s="199"/>
      <c r="O31" s="259">
        <v>99</v>
      </c>
      <c r="P31" s="2761" t="s">
        <v>720</v>
      </c>
      <c r="Q31" s="2762"/>
      <c r="R31" s="2762"/>
      <c r="S31" s="2762"/>
      <c r="T31" s="2762"/>
      <c r="U31" s="2762"/>
      <c r="V31" s="2762"/>
      <c r="W31" s="2762"/>
      <c r="X31" s="2762"/>
      <c r="Y31" s="2763"/>
      <c r="Z31" s="2701"/>
      <c r="AA31" s="2702"/>
      <c r="AB31" s="2702"/>
      <c r="AC31" s="2702"/>
      <c r="AD31" s="2702"/>
      <c r="AE31" s="2703"/>
    </row>
    <row r="32" spans="1:40" ht="11.25" customHeight="1">
      <c r="A32" s="258"/>
    </row>
    <row r="34" spans="1:12">
      <c r="A34" s="197"/>
      <c r="L34" s="203"/>
    </row>
    <row r="35" spans="1:12">
      <c r="A35" s="197"/>
      <c r="L35" s="203"/>
    </row>
    <row r="36" spans="1:12">
      <c r="A36" s="197"/>
    </row>
  </sheetData>
  <mergeCells count="66">
    <mergeCell ref="Z13:AE17"/>
    <mergeCell ref="Z12:AE12"/>
    <mergeCell ref="K12:M12"/>
    <mergeCell ref="P11:AE11"/>
    <mergeCell ref="E12:J14"/>
    <mergeCell ref="O11:O19"/>
    <mergeCell ref="L14:L15"/>
    <mergeCell ref="Z18:AE19"/>
    <mergeCell ref="C8:D8"/>
    <mergeCell ref="C9:D9"/>
    <mergeCell ref="K11:M11"/>
    <mergeCell ref="E15:J15"/>
    <mergeCell ref="P20:Y20"/>
    <mergeCell ref="B31:D31"/>
    <mergeCell ref="M14:M17"/>
    <mergeCell ref="P12:Y19"/>
    <mergeCell ref="K14:K19"/>
    <mergeCell ref="L16:L19"/>
    <mergeCell ref="B20:D20"/>
    <mergeCell ref="B21:D21"/>
    <mergeCell ref="B22:D22"/>
    <mergeCell ref="B23:D23"/>
    <mergeCell ref="B24:D24"/>
    <mergeCell ref="P22:Y22"/>
    <mergeCell ref="P23:Y23"/>
    <mergeCell ref="P31:Y31"/>
    <mergeCell ref="P25:Y25"/>
    <mergeCell ref="P24:Y24"/>
    <mergeCell ref="P21:Y21"/>
    <mergeCell ref="Z28:AE30"/>
    <mergeCell ref="A5:B5"/>
    <mergeCell ref="A11:A19"/>
    <mergeCell ref="E18:F19"/>
    <mergeCell ref="A27:M27"/>
    <mergeCell ref="M18:M19"/>
    <mergeCell ref="G16:J16"/>
    <mergeCell ref="G18:J18"/>
    <mergeCell ref="G19:H19"/>
    <mergeCell ref="I19:J19"/>
    <mergeCell ref="A21:A22"/>
    <mergeCell ref="B11:D19"/>
    <mergeCell ref="E11:J11"/>
    <mergeCell ref="E22:F22"/>
    <mergeCell ref="G22:H22"/>
    <mergeCell ref="I22:J22"/>
    <mergeCell ref="Z20:AE20"/>
    <mergeCell ref="Z21:AE21"/>
    <mergeCell ref="Z22:AE22"/>
    <mergeCell ref="Z23:AE23"/>
    <mergeCell ref="Z24:AE24"/>
    <mergeCell ref="Z25:AE25"/>
    <mergeCell ref="Z31:AE31"/>
    <mergeCell ref="B28:D30"/>
    <mergeCell ref="A28:A30"/>
    <mergeCell ref="B25:D25"/>
    <mergeCell ref="E28:F30"/>
    <mergeCell ref="G28:H30"/>
    <mergeCell ref="I28:J30"/>
    <mergeCell ref="K28:K30"/>
    <mergeCell ref="L28:L30"/>
    <mergeCell ref="M28:M30"/>
    <mergeCell ref="P26:Y27"/>
    <mergeCell ref="P28:Y30"/>
    <mergeCell ref="O26:O27"/>
    <mergeCell ref="O28:O30"/>
    <mergeCell ref="Z26:AE27"/>
  </mergeCells>
  <pageMargins left="0.7" right="0.7" top="0.75" bottom="0.75" header="0.3" footer="0.3"/>
  <pageSetup paperSize="9" scale="95" orientation="landscape" r:id="rId1"/>
  <headerFooter alignWithMargins="0">
    <oddFooter>&amp;C&amp;P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8"/>
  <dimension ref="A1:AF46"/>
  <sheetViews>
    <sheetView showGridLines="0" view="pageBreakPreview" topLeftCell="A13" zoomScaleNormal="100" zoomScaleSheetLayoutView="100" workbookViewId="0">
      <selection activeCell="J45" sqref="J45"/>
    </sheetView>
  </sheetViews>
  <sheetFormatPr defaultColWidth="9.140625" defaultRowHeight="11.25"/>
  <cols>
    <col min="1" max="1" width="3.42578125" style="24" customWidth="1"/>
    <col min="2" max="5" width="5.42578125" style="24" customWidth="1"/>
    <col min="6" max="6" width="6.42578125" style="24" customWidth="1"/>
    <col min="7" max="7" width="4.42578125" style="24" customWidth="1"/>
    <col min="8" max="8" width="5.42578125" style="24" customWidth="1"/>
    <col min="9" max="10" width="2.28515625" style="24" customWidth="1"/>
    <col min="11" max="11" width="3.42578125" style="24" customWidth="1"/>
    <col min="12" max="12" width="6" style="24" customWidth="1"/>
    <col min="13" max="15" width="4.42578125" style="24" customWidth="1"/>
    <col min="16" max="17" width="3" style="24" customWidth="1"/>
    <col min="18" max="18" width="7.28515625" style="24" customWidth="1"/>
    <col min="19" max="20" width="3.42578125" style="24" customWidth="1"/>
    <col min="21" max="21" width="9" style="24" customWidth="1"/>
    <col min="22" max="23" width="2.7109375" style="24" customWidth="1"/>
    <col min="24" max="24" width="10.85546875" style="24" customWidth="1"/>
    <col min="25" max="26" width="3.85546875" style="24" customWidth="1"/>
    <col min="27" max="27" width="8" style="24" customWidth="1"/>
    <col min="28" max="28" width="3.42578125" style="24" customWidth="1"/>
    <col min="29" max="31" width="2.42578125" style="24" customWidth="1"/>
    <col min="32" max="32" width="5.5703125" style="24" customWidth="1"/>
    <col min="33" max="50" width="2.7109375" style="24" customWidth="1"/>
    <col min="51" max="16384" width="9.140625" style="24"/>
  </cols>
  <sheetData>
    <row r="1" spans="1:32" ht="18" customHeight="1">
      <c r="A1" s="1" t="s">
        <v>680</v>
      </c>
      <c r="U1" s="2833" t="s">
        <v>721</v>
      </c>
      <c r="V1" s="2833"/>
      <c r="W1" s="2833"/>
      <c r="X1" s="2833"/>
      <c r="Y1" s="2833"/>
      <c r="Z1" s="2833"/>
      <c r="AA1" s="2833"/>
      <c r="AB1" s="2833"/>
      <c r="AC1" s="2833"/>
      <c r="AD1" s="2833"/>
      <c r="AE1" s="2833"/>
      <c r="AF1" s="2833"/>
    </row>
    <row r="2" spans="1:32" ht="9.75" hidden="1" customHeight="1">
      <c r="A2" s="1"/>
      <c r="AF2" s="168"/>
    </row>
    <row r="3" spans="1:32" s="192" customFormat="1">
      <c r="A3" s="1594" t="s">
        <v>62</v>
      </c>
      <c r="B3" s="1594"/>
      <c r="AE3" s="1588"/>
      <c r="AF3" s="1588" t="s">
        <v>63</v>
      </c>
    </row>
    <row r="4" spans="1:32" s="192" customFormat="1" ht="4.5" customHeight="1">
      <c r="A4" s="1594"/>
      <c r="B4" s="1594"/>
      <c r="AE4" s="1588"/>
      <c r="AF4" s="1588"/>
    </row>
    <row r="5" spans="1:32" ht="15.75" customHeight="1">
      <c r="A5" s="2832">
        <v>-6.07</v>
      </c>
      <c r="B5" s="2832"/>
      <c r="C5" s="50" t="s">
        <v>722</v>
      </c>
      <c r="AF5" s="168"/>
    </row>
    <row r="6" spans="1:32" ht="12.75" customHeight="1">
      <c r="A6" s="1"/>
      <c r="B6" s="167"/>
      <c r="C6" s="779" t="s">
        <v>723</v>
      </c>
      <c r="AF6" s="168"/>
    </row>
    <row r="7" spans="1:32" ht="9" customHeight="1">
      <c r="A7" s="1"/>
      <c r="B7" s="167"/>
      <c r="C7" s="779"/>
      <c r="AF7" s="168"/>
    </row>
    <row r="8" spans="1:32" s="50" customFormat="1" ht="12.75">
      <c r="A8" s="216"/>
      <c r="B8" s="884"/>
      <c r="C8" s="884"/>
      <c r="F8" s="563" t="s">
        <v>104</v>
      </c>
      <c r="G8" s="686">
        <v>1</v>
      </c>
      <c r="H8" s="563"/>
      <c r="I8" s="563"/>
      <c r="J8" s="563"/>
      <c r="K8" s="563"/>
      <c r="M8" s="2286"/>
      <c r="N8" s="2287"/>
      <c r="U8" s="50" t="s">
        <v>275</v>
      </c>
      <c r="AF8" s="245"/>
    </row>
    <row r="9" spans="1:32" s="50" customFormat="1" ht="12.75">
      <c r="A9" s="216"/>
      <c r="F9" s="563" t="s">
        <v>108</v>
      </c>
      <c r="G9" s="686">
        <v>2</v>
      </c>
      <c r="H9" s="717" t="s">
        <v>91</v>
      </c>
      <c r="I9" s="1649" t="s">
        <v>684</v>
      </c>
      <c r="J9" s="1649"/>
      <c r="K9" s="1649"/>
      <c r="AF9" s="245"/>
    </row>
    <row r="10" spans="1:32">
      <c r="A10" s="167"/>
      <c r="AF10" s="401" t="s">
        <v>724</v>
      </c>
    </row>
    <row r="11" spans="1:32" ht="12.75" customHeight="1">
      <c r="A11" s="2848" t="s">
        <v>685</v>
      </c>
      <c r="B11" s="2824" t="s">
        <v>725</v>
      </c>
      <c r="C11" s="2825"/>
      <c r="D11" s="2825"/>
      <c r="E11" s="2825"/>
      <c r="F11" s="2825"/>
      <c r="G11" s="2825"/>
      <c r="H11" s="2826"/>
      <c r="I11" s="2273">
        <f>A5-0.01</f>
        <v>-6.08</v>
      </c>
      <c r="J11" s="2312"/>
      <c r="K11" s="2312"/>
      <c r="L11" s="2274"/>
      <c r="M11" s="2273">
        <f>I11-0.01</f>
        <v>-6.09</v>
      </c>
      <c r="N11" s="2312"/>
      <c r="O11" s="2274"/>
      <c r="P11" s="2824" t="s">
        <v>699</v>
      </c>
      <c r="Q11" s="2834"/>
      <c r="R11" s="2834"/>
      <c r="S11" s="2834"/>
      <c r="T11" s="2834"/>
      <c r="U11" s="2834"/>
      <c r="V11" s="2834"/>
      <c r="W11" s="2834"/>
      <c r="X11" s="2834"/>
      <c r="Y11" s="2834"/>
      <c r="Z11" s="2834"/>
      <c r="AA11" s="2834"/>
      <c r="AB11" s="2834"/>
      <c r="AC11" s="2834"/>
      <c r="AD11" s="2834"/>
      <c r="AE11" s="2834"/>
      <c r="AF11" s="2835"/>
    </row>
    <row r="12" spans="1:32" ht="12.75" customHeight="1">
      <c r="A12" s="2849"/>
      <c r="B12" s="2827"/>
      <c r="C12" s="2828"/>
      <c r="D12" s="2828"/>
      <c r="E12" s="2828"/>
      <c r="F12" s="2828"/>
      <c r="G12" s="2828"/>
      <c r="H12" s="2666"/>
      <c r="I12" s="2042" t="s">
        <v>726</v>
      </c>
      <c r="J12" s="2043"/>
      <c r="K12" s="2043"/>
      <c r="L12" s="2044"/>
      <c r="M12" s="2042" t="s">
        <v>727</v>
      </c>
      <c r="N12" s="2043"/>
      <c r="O12" s="2044"/>
      <c r="P12" s="2836"/>
      <c r="Q12" s="2837"/>
      <c r="R12" s="2837"/>
      <c r="S12" s="2837"/>
      <c r="T12" s="2837"/>
      <c r="U12" s="2837"/>
      <c r="V12" s="2837"/>
      <c r="W12" s="2837"/>
      <c r="X12" s="2837"/>
      <c r="Y12" s="2837"/>
      <c r="Z12" s="2837"/>
      <c r="AA12" s="2837"/>
      <c r="AB12" s="2837"/>
      <c r="AC12" s="2837"/>
      <c r="AD12" s="2837"/>
      <c r="AE12" s="2837"/>
      <c r="AF12" s="2838"/>
    </row>
    <row r="13" spans="1:32" ht="14.25" customHeight="1">
      <c r="A13" s="2849"/>
      <c r="B13" s="2827"/>
      <c r="C13" s="2828"/>
      <c r="D13" s="2828"/>
      <c r="E13" s="2828"/>
      <c r="F13" s="2828"/>
      <c r="G13" s="2828"/>
      <c r="H13" s="2666"/>
      <c r="I13" s="2042"/>
      <c r="J13" s="2043"/>
      <c r="K13" s="2043"/>
      <c r="L13" s="2044"/>
      <c r="M13" s="2042"/>
      <c r="N13" s="2043"/>
      <c r="O13" s="2044"/>
      <c r="P13" s="2273">
        <f>M11-0.01</f>
        <v>-6.1</v>
      </c>
      <c r="Q13" s="2312"/>
      <c r="R13" s="2274"/>
      <c r="S13" s="2839" t="s">
        <v>728</v>
      </c>
      <c r="T13" s="2840"/>
      <c r="U13" s="2840"/>
      <c r="V13" s="2840"/>
      <c r="W13" s="2840"/>
      <c r="X13" s="2841"/>
      <c r="Y13" s="2842" t="s">
        <v>729</v>
      </c>
      <c r="Z13" s="2843"/>
      <c r="AA13" s="2843"/>
      <c r="AB13" s="2843"/>
      <c r="AC13" s="2843"/>
      <c r="AD13" s="2843"/>
      <c r="AE13" s="2843"/>
      <c r="AF13" s="2844"/>
    </row>
    <row r="14" spans="1:32" ht="12.75" customHeight="1">
      <c r="A14" s="2849"/>
      <c r="B14" s="2827"/>
      <c r="C14" s="2828"/>
      <c r="D14" s="2828"/>
      <c r="E14" s="2828"/>
      <c r="F14" s="2828"/>
      <c r="G14" s="2828"/>
      <c r="H14" s="2666"/>
      <c r="I14" s="2042"/>
      <c r="J14" s="2043"/>
      <c r="K14" s="2043"/>
      <c r="L14" s="2044"/>
      <c r="M14" s="2042"/>
      <c r="N14" s="2043"/>
      <c r="O14" s="2044"/>
      <c r="P14" s="2042" t="s">
        <v>730</v>
      </c>
      <c r="Q14" s="2043"/>
      <c r="R14" s="2044"/>
      <c r="S14" s="2845">
        <f>P13-0.01</f>
        <v>-6.1099999999999994</v>
      </c>
      <c r="T14" s="2846"/>
      <c r="U14" s="2847"/>
      <c r="V14" s="2273">
        <f>S14-0.01</f>
        <v>-6.1199999999999992</v>
      </c>
      <c r="W14" s="2312"/>
      <c r="X14" s="2274"/>
      <c r="Y14" s="2273">
        <f>V14-0.01</f>
        <v>-6.129999999999999</v>
      </c>
      <c r="Z14" s="2312"/>
      <c r="AA14" s="2274"/>
      <c r="AB14" s="2273">
        <f>Y14-0.01</f>
        <v>-6.1399999999999988</v>
      </c>
      <c r="AC14" s="2312"/>
      <c r="AD14" s="2312"/>
      <c r="AE14" s="2312"/>
      <c r="AF14" s="2274"/>
    </row>
    <row r="15" spans="1:32" ht="12.75" customHeight="1">
      <c r="A15" s="2849"/>
      <c r="B15" s="2827"/>
      <c r="C15" s="2828"/>
      <c r="D15" s="2828"/>
      <c r="E15" s="2828"/>
      <c r="F15" s="2828"/>
      <c r="G15" s="2828"/>
      <c r="H15" s="2666"/>
      <c r="I15" s="2042"/>
      <c r="J15" s="2043"/>
      <c r="K15" s="2043"/>
      <c r="L15" s="2044"/>
      <c r="M15" s="2042"/>
      <c r="N15" s="2043"/>
      <c r="O15" s="2044"/>
      <c r="P15" s="2042"/>
      <c r="Q15" s="2043"/>
      <c r="R15" s="2044"/>
      <c r="S15" s="2821" t="s">
        <v>731</v>
      </c>
      <c r="T15" s="2822"/>
      <c r="U15" s="2823"/>
      <c r="V15" s="2042" t="s">
        <v>732</v>
      </c>
      <c r="W15" s="2043"/>
      <c r="X15" s="2044"/>
      <c r="Y15" s="2821" t="s">
        <v>731</v>
      </c>
      <c r="Z15" s="2822"/>
      <c r="AA15" s="2823"/>
      <c r="AB15" s="2042" t="s">
        <v>732</v>
      </c>
      <c r="AC15" s="2043"/>
      <c r="AD15" s="2043"/>
      <c r="AE15" s="2043"/>
      <c r="AF15" s="2044"/>
    </row>
    <row r="16" spans="1:32" ht="12.75" customHeight="1">
      <c r="A16" s="2849"/>
      <c r="B16" s="2827"/>
      <c r="C16" s="2828"/>
      <c r="D16" s="2828"/>
      <c r="E16" s="2828"/>
      <c r="F16" s="2828"/>
      <c r="G16" s="2828"/>
      <c r="H16" s="2666"/>
      <c r="I16" s="162"/>
      <c r="J16" s="163"/>
      <c r="K16" s="163"/>
      <c r="L16" s="163"/>
      <c r="M16" s="165"/>
      <c r="N16" s="163"/>
      <c r="O16" s="164"/>
      <c r="P16" s="2042"/>
      <c r="Q16" s="2043"/>
      <c r="R16" s="2044"/>
      <c r="S16" s="2821"/>
      <c r="T16" s="2822"/>
      <c r="U16" s="2823"/>
      <c r="V16" s="2042"/>
      <c r="W16" s="2043"/>
      <c r="X16" s="2044"/>
      <c r="Y16" s="2821"/>
      <c r="Z16" s="2822"/>
      <c r="AA16" s="2823"/>
      <c r="AB16" s="2042"/>
      <c r="AC16" s="2043"/>
      <c r="AD16" s="2043"/>
      <c r="AE16" s="2043"/>
      <c r="AF16" s="2044"/>
    </row>
    <row r="17" spans="1:32" ht="15" customHeight="1">
      <c r="A17" s="2849"/>
      <c r="B17" s="2827"/>
      <c r="C17" s="2828"/>
      <c r="D17" s="2828"/>
      <c r="E17" s="2828"/>
      <c r="F17" s="2828"/>
      <c r="G17" s="2828"/>
      <c r="H17" s="2666"/>
      <c r="I17" s="2531" t="s">
        <v>733</v>
      </c>
      <c r="J17" s="2532"/>
      <c r="K17" s="2532"/>
      <c r="L17" s="2532"/>
      <c r="M17" s="2532"/>
      <c r="N17" s="2532"/>
      <c r="O17" s="2533"/>
      <c r="P17" s="2816"/>
      <c r="Q17" s="2817"/>
      <c r="R17" s="2818"/>
      <c r="S17" s="31"/>
      <c r="T17" s="735"/>
      <c r="U17" s="735"/>
      <c r="V17" s="2816"/>
      <c r="W17" s="2817"/>
      <c r="X17" s="2818"/>
      <c r="Y17" s="735"/>
      <c r="Z17" s="735"/>
      <c r="AA17" s="736"/>
      <c r="AB17" s="2816"/>
      <c r="AC17" s="2817"/>
      <c r="AD17" s="2817"/>
      <c r="AE17" s="2817"/>
      <c r="AF17" s="2818"/>
    </row>
    <row r="18" spans="1:32" ht="13.5" customHeight="1">
      <c r="A18" s="2849"/>
      <c r="B18" s="2829"/>
      <c r="C18" s="2830"/>
      <c r="D18" s="2830"/>
      <c r="E18" s="2830"/>
      <c r="F18" s="2830"/>
      <c r="G18" s="2830"/>
      <c r="H18" s="2831"/>
      <c r="I18" s="51"/>
      <c r="J18" s="2814" t="s">
        <v>734</v>
      </c>
      <c r="K18" s="2814"/>
      <c r="L18" s="2814"/>
      <c r="M18" s="2814"/>
      <c r="N18" s="2814"/>
      <c r="O18" s="2815"/>
      <c r="P18" s="2819" t="s">
        <v>735</v>
      </c>
      <c r="Q18" s="2820"/>
      <c r="R18" s="2820"/>
      <c r="S18" s="2820"/>
      <c r="T18" s="2820"/>
      <c r="U18" s="2820"/>
      <c r="V18" s="2820"/>
      <c r="W18" s="2820"/>
      <c r="X18" s="2820"/>
      <c r="Y18" s="2820"/>
      <c r="Z18" s="2820"/>
      <c r="AA18" s="2820"/>
      <c r="AB18" s="2820"/>
      <c r="AC18" s="2820"/>
      <c r="AD18" s="2820"/>
      <c r="AE18" s="2820"/>
      <c r="AF18" s="2543"/>
    </row>
    <row r="19" spans="1:32" ht="15.6" customHeight="1">
      <c r="A19" s="2811" t="s">
        <v>736</v>
      </c>
      <c r="B19" s="2812"/>
      <c r="C19" s="2812"/>
      <c r="D19" s="2812"/>
      <c r="E19" s="2812"/>
      <c r="F19" s="2812"/>
      <c r="G19" s="2812"/>
      <c r="H19" s="2812"/>
      <c r="I19" s="2812"/>
      <c r="J19" s="2812"/>
      <c r="K19" s="2812"/>
      <c r="L19" s="2812"/>
      <c r="M19" s="2812"/>
      <c r="N19" s="2812"/>
      <c r="O19" s="2812"/>
      <c r="P19" s="2812"/>
      <c r="Q19" s="2812"/>
      <c r="R19" s="2812"/>
      <c r="S19" s="2812"/>
      <c r="T19" s="2812"/>
      <c r="U19" s="2812"/>
      <c r="V19" s="2812"/>
      <c r="W19" s="2812"/>
      <c r="X19" s="2812"/>
      <c r="Y19" s="2812"/>
      <c r="Z19" s="2812"/>
      <c r="AA19" s="2812"/>
      <c r="AB19" s="2812"/>
      <c r="AC19" s="2812"/>
      <c r="AD19" s="2812"/>
      <c r="AE19" s="2812"/>
      <c r="AF19" s="2813"/>
    </row>
    <row r="20" spans="1:32" ht="15.6" customHeight="1">
      <c r="A20" s="782">
        <v>1</v>
      </c>
      <c r="B20" s="2777" t="s">
        <v>712</v>
      </c>
      <c r="C20" s="2778"/>
      <c r="D20" s="2778"/>
      <c r="E20" s="2778"/>
      <c r="F20" s="2779"/>
      <c r="G20" s="2808" t="s">
        <v>737</v>
      </c>
      <c r="H20" s="2809"/>
      <c r="I20" s="39"/>
      <c r="J20" s="40"/>
      <c r="K20" s="40"/>
      <c r="L20" s="42"/>
      <c r="M20" s="39"/>
      <c r="N20" s="40"/>
      <c r="O20" s="42"/>
      <c r="P20" s="39"/>
      <c r="Q20" s="40"/>
      <c r="R20" s="42"/>
      <c r="S20" s="39"/>
      <c r="T20" s="40"/>
      <c r="U20" s="42"/>
      <c r="V20" s="39"/>
      <c r="W20" s="40"/>
      <c r="X20" s="42"/>
      <c r="Y20" s="39"/>
      <c r="Z20" s="40"/>
      <c r="AA20" s="42"/>
      <c r="AB20" s="39"/>
      <c r="AC20" s="40"/>
      <c r="AD20" s="40"/>
      <c r="AE20" s="40"/>
      <c r="AF20" s="42"/>
    </row>
    <row r="21" spans="1:32" ht="15.6" customHeight="1">
      <c r="A21" s="782">
        <v>2</v>
      </c>
      <c r="B21" s="2777" t="s">
        <v>710</v>
      </c>
      <c r="C21" s="2778"/>
      <c r="D21" s="2778"/>
      <c r="E21" s="2778"/>
      <c r="F21" s="2779"/>
      <c r="G21" s="2808" t="s">
        <v>737</v>
      </c>
      <c r="H21" s="2809"/>
      <c r="I21" s="39"/>
      <c r="J21" s="40"/>
      <c r="K21" s="40"/>
      <c r="L21" s="42"/>
      <c r="M21" s="39"/>
      <c r="N21" s="40"/>
      <c r="O21" s="42"/>
      <c r="P21" s="39"/>
      <c r="Q21" s="40"/>
      <c r="R21" s="42"/>
      <c r="S21" s="39"/>
      <c r="T21" s="40"/>
      <c r="U21" s="42"/>
      <c r="V21" s="39"/>
      <c r="W21" s="40"/>
      <c r="X21" s="42"/>
      <c r="Y21" s="39"/>
      <c r="Z21" s="40"/>
      <c r="AA21" s="42"/>
      <c r="AB21" s="39"/>
      <c r="AC21" s="40"/>
      <c r="AD21" s="40"/>
      <c r="AE21" s="40"/>
      <c r="AF21" s="42"/>
    </row>
    <row r="22" spans="1:32" ht="15.6" customHeight="1">
      <c r="A22" s="782">
        <v>3</v>
      </c>
      <c r="B22" s="2777" t="s">
        <v>738</v>
      </c>
      <c r="C22" s="2778"/>
      <c r="D22" s="2778"/>
      <c r="E22" s="2778"/>
      <c r="F22" s="2779"/>
      <c r="G22" s="2808" t="s">
        <v>737</v>
      </c>
      <c r="H22" s="2809"/>
      <c r="I22" s="39"/>
      <c r="J22" s="40"/>
      <c r="K22" s="40"/>
      <c r="L22" s="42"/>
      <c r="M22" s="39"/>
      <c r="N22" s="40"/>
      <c r="O22" s="42"/>
      <c r="P22" s="39"/>
      <c r="Q22" s="40"/>
      <c r="R22" s="42"/>
      <c r="S22" s="39"/>
      <c r="T22" s="40"/>
      <c r="U22" s="42"/>
      <c r="V22" s="39"/>
      <c r="W22" s="40"/>
      <c r="X22" s="42"/>
      <c r="Y22" s="39"/>
      <c r="Z22" s="40"/>
      <c r="AA22" s="42"/>
      <c r="AB22" s="39"/>
      <c r="AC22" s="40"/>
      <c r="AD22" s="40"/>
      <c r="AE22" s="40"/>
      <c r="AF22" s="42"/>
    </row>
    <row r="23" spans="1:32" ht="15.6" customHeight="1">
      <c r="A23" s="782">
        <v>4</v>
      </c>
      <c r="B23" s="2777" t="s">
        <v>739</v>
      </c>
      <c r="C23" s="2778"/>
      <c r="D23" s="2778"/>
      <c r="E23" s="2778"/>
      <c r="F23" s="2779"/>
      <c r="G23" s="2808" t="s">
        <v>737</v>
      </c>
      <c r="H23" s="2809"/>
      <c r="I23" s="39"/>
      <c r="J23" s="40"/>
      <c r="K23" s="40"/>
      <c r="L23" s="42"/>
      <c r="M23" s="39"/>
      <c r="N23" s="40"/>
      <c r="O23" s="42"/>
      <c r="P23" s="39"/>
      <c r="Q23" s="40"/>
      <c r="R23" s="42"/>
      <c r="S23" s="39"/>
      <c r="T23" s="40"/>
      <c r="U23" s="42"/>
      <c r="V23" s="39"/>
      <c r="W23" s="40"/>
      <c r="X23" s="42"/>
      <c r="Y23" s="39"/>
      <c r="Z23" s="40"/>
      <c r="AA23" s="42"/>
      <c r="AB23" s="39"/>
      <c r="AC23" s="40"/>
      <c r="AD23" s="40"/>
      <c r="AE23" s="40"/>
      <c r="AF23" s="42"/>
    </row>
    <row r="24" spans="1:32" ht="15.6" customHeight="1">
      <c r="A24" s="2811" t="s">
        <v>740</v>
      </c>
      <c r="B24" s="2812"/>
      <c r="C24" s="2812"/>
      <c r="D24" s="2812"/>
      <c r="E24" s="2812"/>
      <c r="F24" s="2812"/>
      <c r="G24" s="2812"/>
      <c r="H24" s="2812"/>
      <c r="I24" s="2812"/>
      <c r="J24" s="2812"/>
      <c r="K24" s="2812"/>
      <c r="L24" s="2812"/>
      <c r="M24" s="2812"/>
      <c r="N24" s="2812"/>
      <c r="O24" s="2812"/>
      <c r="P24" s="2812"/>
      <c r="Q24" s="2812"/>
      <c r="R24" s="2812"/>
      <c r="S24" s="2812"/>
      <c r="T24" s="2812"/>
      <c r="U24" s="2812"/>
      <c r="V24" s="2812"/>
      <c r="W24" s="2812"/>
      <c r="X24" s="2812"/>
      <c r="Y24" s="2812"/>
      <c r="Z24" s="2812"/>
      <c r="AA24" s="2812"/>
      <c r="AB24" s="2812"/>
      <c r="AC24" s="2812"/>
      <c r="AD24" s="2812"/>
      <c r="AE24" s="2812"/>
      <c r="AF24" s="2813"/>
    </row>
    <row r="25" spans="1:32" ht="15.6" customHeight="1">
      <c r="A25" s="782">
        <v>5</v>
      </c>
      <c r="B25" s="2777" t="s">
        <v>712</v>
      </c>
      <c r="C25" s="2778"/>
      <c r="D25" s="2778"/>
      <c r="E25" s="2778"/>
      <c r="F25" s="2779"/>
      <c r="G25" s="2808" t="s">
        <v>741</v>
      </c>
      <c r="H25" s="2809"/>
      <c r="I25" s="2808" t="s">
        <v>742</v>
      </c>
      <c r="J25" s="2810"/>
      <c r="K25" s="2810"/>
      <c r="L25" s="2809"/>
      <c r="M25" s="39"/>
      <c r="N25" s="40"/>
      <c r="O25" s="42"/>
      <c r="P25" s="39"/>
      <c r="Q25" s="40"/>
      <c r="R25" s="42"/>
      <c r="S25" s="39"/>
      <c r="T25" s="40"/>
      <c r="U25" s="42"/>
      <c r="V25" s="39"/>
      <c r="W25" s="40"/>
      <c r="X25" s="42"/>
      <c r="Y25" s="39"/>
      <c r="Z25" s="40"/>
      <c r="AA25" s="42"/>
      <c r="AB25" s="39"/>
      <c r="AC25" s="40"/>
      <c r="AD25" s="40"/>
      <c r="AE25" s="40"/>
      <c r="AF25" s="42"/>
    </row>
    <row r="26" spans="1:32" ht="15.6" customHeight="1">
      <c r="A26" s="782">
        <v>6</v>
      </c>
      <c r="B26" s="2777" t="s">
        <v>714</v>
      </c>
      <c r="C26" s="2778"/>
      <c r="D26" s="2778"/>
      <c r="E26" s="2778"/>
      <c r="F26" s="2779"/>
      <c r="G26" s="2808" t="s">
        <v>741</v>
      </c>
      <c r="H26" s="2809"/>
      <c r="I26" s="2808" t="s">
        <v>742</v>
      </c>
      <c r="J26" s="2810"/>
      <c r="K26" s="2810"/>
      <c r="L26" s="2809"/>
      <c r="M26" s="39"/>
      <c r="N26" s="40"/>
      <c r="O26" s="42"/>
      <c r="P26" s="39"/>
      <c r="Q26" s="40"/>
      <c r="R26" s="42"/>
      <c r="S26" s="39"/>
      <c r="T26" s="40"/>
      <c r="U26" s="42"/>
      <c r="V26" s="39"/>
      <c r="W26" s="40"/>
      <c r="X26" s="42"/>
      <c r="Y26" s="39"/>
      <c r="Z26" s="40"/>
      <c r="AA26" s="42"/>
      <c r="AB26" s="39"/>
      <c r="AC26" s="40"/>
      <c r="AD26" s="40"/>
      <c r="AE26" s="40"/>
      <c r="AF26" s="42"/>
    </row>
    <row r="27" spans="1:32" ht="15.6" customHeight="1">
      <c r="A27" s="782">
        <v>7</v>
      </c>
      <c r="B27" s="2777" t="s">
        <v>703</v>
      </c>
      <c r="C27" s="2778"/>
      <c r="D27" s="2778"/>
      <c r="E27" s="2778"/>
      <c r="F27" s="2779"/>
      <c r="G27" s="2808" t="s">
        <v>741</v>
      </c>
      <c r="H27" s="2809"/>
      <c r="I27" s="2808" t="s">
        <v>742</v>
      </c>
      <c r="J27" s="2810"/>
      <c r="K27" s="2810"/>
      <c r="L27" s="2809"/>
      <c r="M27" s="39"/>
      <c r="N27" s="40"/>
      <c r="O27" s="42"/>
      <c r="P27" s="39"/>
      <c r="Q27" s="40"/>
      <c r="R27" s="42"/>
      <c r="S27" s="39"/>
      <c r="T27" s="40"/>
      <c r="U27" s="42"/>
      <c r="V27" s="39"/>
      <c r="W27" s="40"/>
      <c r="X27" s="42"/>
      <c r="Y27" s="39"/>
      <c r="Z27" s="40"/>
      <c r="AA27" s="42"/>
      <c r="AB27" s="39"/>
      <c r="AC27" s="40"/>
      <c r="AD27" s="40"/>
      <c r="AE27" s="40"/>
      <c r="AF27" s="42"/>
    </row>
    <row r="28" spans="1:32" ht="15.6" customHeight="1">
      <c r="A28" s="782">
        <v>8</v>
      </c>
      <c r="B28" s="2777" t="s">
        <v>743</v>
      </c>
      <c r="C28" s="2778"/>
      <c r="D28" s="2778"/>
      <c r="E28" s="2778"/>
      <c r="F28" s="2779"/>
      <c r="G28" s="2808" t="s">
        <v>741</v>
      </c>
      <c r="H28" s="2809"/>
      <c r="I28" s="2808" t="s">
        <v>742</v>
      </c>
      <c r="J28" s="2810"/>
      <c r="K28" s="2810"/>
      <c r="L28" s="2809"/>
      <c r="M28" s="39"/>
      <c r="N28" s="40"/>
      <c r="O28" s="42"/>
      <c r="P28" s="39"/>
      <c r="Q28" s="40"/>
      <c r="R28" s="42"/>
      <c r="S28" s="39"/>
      <c r="T28" s="40"/>
      <c r="U28" s="42"/>
      <c r="V28" s="39"/>
      <c r="W28" s="40"/>
      <c r="X28" s="42"/>
      <c r="Y28" s="39"/>
      <c r="Z28" s="40"/>
      <c r="AA28" s="42"/>
      <c r="AB28" s="39"/>
      <c r="AC28" s="40"/>
      <c r="AD28" s="40"/>
      <c r="AE28" s="40"/>
      <c r="AF28" s="42"/>
    </row>
    <row r="29" spans="1:32" ht="15.6" customHeight="1">
      <c r="A29" s="782">
        <v>9</v>
      </c>
      <c r="B29" s="2777" t="s">
        <v>710</v>
      </c>
      <c r="C29" s="2778"/>
      <c r="D29" s="2778"/>
      <c r="E29" s="2778"/>
      <c r="F29" s="2779"/>
      <c r="G29" s="2808" t="s">
        <v>741</v>
      </c>
      <c r="H29" s="2809"/>
      <c r="I29" s="2808" t="s">
        <v>742</v>
      </c>
      <c r="J29" s="2810"/>
      <c r="K29" s="2810"/>
      <c r="L29" s="2809"/>
      <c r="M29" s="150"/>
      <c r="N29" s="154"/>
      <c r="O29" s="151"/>
      <c r="P29" s="150"/>
      <c r="Q29" s="154"/>
      <c r="R29" s="151"/>
      <c r="S29" s="150"/>
      <c r="T29" s="154"/>
      <c r="U29" s="151"/>
      <c r="V29" s="150"/>
      <c r="W29" s="154"/>
      <c r="X29" s="151"/>
      <c r="Y29" s="150"/>
      <c r="Z29" s="154"/>
      <c r="AA29" s="151"/>
      <c r="AB29" s="150"/>
      <c r="AC29" s="154"/>
      <c r="AD29" s="154"/>
      <c r="AE29" s="23"/>
      <c r="AF29" s="32"/>
    </row>
    <row r="30" spans="1:32" ht="15.6" customHeight="1">
      <c r="A30" s="2811" t="s">
        <v>744</v>
      </c>
      <c r="B30" s="2812"/>
      <c r="C30" s="2812"/>
      <c r="D30" s="2812"/>
      <c r="E30" s="2812"/>
      <c r="F30" s="2812"/>
      <c r="G30" s="2812"/>
      <c r="H30" s="2812"/>
      <c r="I30" s="2812"/>
      <c r="J30" s="2812"/>
      <c r="K30" s="2812"/>
      <c r="L30" s="2812"/>
      <c r="M30" s="2812"/>
      <c r="N30" s="2812"/>
      <c r="O30" s="2812"/>
      <c r="P30" s="2812"/>
      <c r="Q30" s="2812"/>
      <c r="R30" s="2812"/>
      <c r="S30" s="2812"/>
      <c r="T30" s="2812"/>
      <c r="U30" s="2812"/>
      <c r="V30" s="2812"/>
      <c r="W30" s="2812"/>
      <c r="X30" s="2812"/>
      <c r="Y30" s="2812"/>
      <c r="Z30" s="2812"/>
      <c r="AA30" s="2812"/>
      <c r="AB30" s="2812"/>
      <c r="AC30" s="2812"/>
      <c r="AD30" s="2812"/>
      <c r="AE30" s="2812"/>
      <c r="AF30" s="2813"/>
    </row>
    <row r="31" spans="1:32" ht="15.6" customHeight="1">
      <c r="A31" s="247">
        <v>10</v>
      </c>
      <c r="B31" s="2777" t="s">
        <v>745</v>
      </c>
      <c r="C31" s="2778"/>
      <c r="D31" s="2778"/>
      <c r="E31" s="2778"/>
      <c r="F31" s="2779"/>
      <c r="G31" s="2808" t="s">
        <v>746</v>
      </c>
      <c r="H31" s="2809"/>
      <c r="I31" s="39"/>
      <c r="J31" s="40"/>
      <c r="K31" s="40"/>
      <c r="L31" s="42"/>
      <c r="M31" s="39"/>
      <c r="N31" s="40"/>
      <c r="O31" s="42"/>
      <c r="P31" s="39"/>
      <c r="Q31" s="40"/>
      <c r="R31" s="42"/>
      <c r="S31" s="39"/>
      <c r="T31" s="40"/>
      <c r="U31" s="42"/>
      <c r="V31" s="39"/>
      <c r="W31" s="40"/>
      <c r="X31" s="42"/>
      <c r="Y31" s="39"/>
      <c r="Z31" s="40"/>
      <c r="AA31" s="42"/>
      <c r="AB31" s="39"/>
      <c r="AC31" s="40"/>
      <c r="AD31" s="40"/>
      <c r="AE31" s="40"/>
      <c r="AF31" s="42"/>
    </row>
    <row r="32" spans="1:32" ht="15.6" customHeight="1">
      <c r="A32" s="247">
        <v>11</v>
      </c>
      <c r="B32" s="2777" t="s">
        <v>747</v>
      </c>
      <c r="C32" s="2778"/>
      <c r="D32" s="2778"/>
      <c r="E32" s="2778"/>
      <c r="F32" s="2779"/>
      <c r="G32" s="2808" t="s">
        <v>746</v>
      </c>
      <c r="H32" s="2809"/>
      <c r="I32" s="39"/>
      <c r="J32" s="40"/>
      <c r="K32" s="40"/>
      <c r="L32" s="42"/>
      <c r="M32" s="39"/>
      <c r="N32" s="40"/>
      <c r="O32" s="42"/>
      <c r="P32" s="39"/>
      <c r="Q32" s="40"/>
      <c r="R32" s="42"/>
      <c r="S32" s="39"/>
      <c r="T32" s="40"/>
      <c r="U32" s="42"/>
      <c r="V32" s="39"/>
      <c r="W32" s="40"/>
      <c r="X32" s="42"/>
      <c r="Y32" s="39"/>
      <c r="Z32" s="40"/>
      <c r="AA32" s="42"/>
      <c r="AB32" s="39"/>
      <c r="AC32" s="40"/>
      <c r="AD32" s="40"/>
      <c r="AE32" s="40"/>
      <c r="AF32" s="42"/>
    </row>
    <row r="33" spans="1:32" ht="15.6" customHeight="1">
      <c r="A33" s="247">
        <v>12</v>
      </c>
      <c r="B33" s="2777" t="s">
        <v>748</v>
      </c>
      <c r="C33" s="2778"/>
      <c r="D33" s="2778"/>
      <c r="E33" s="2778"/>
      <c r="F33" s="2779"/>
      <c r="G33" s="2808" t="s">
        <v>746</v>
      </c>
      <c r="H33" s="2809"/>
      <c r="I33" s="39"/>
      <c r="J33" s="40"/>
      <c r="K33" s="40"/>
      <c r="L33" s="42"/>
      <c r="M33" s="39"/>
      <c r="N33" s="40"/>
      <c r="O33" s="42"/>
      <c r="P33" s="39"/>
      <c r="Q33" s="40"/>
      <c r="R33" s="42"/>
      <c r="S33" s="39"/>
      <c r="T33" s="40"/>
      <c r="U33" s="42"/>
      <c r="V33" s="39"/>
      <c r="W33" s="40"/>
      <c r="X33" s="42"/>
      <c r="Y33" s="39"/>
      <c r="Z33" s="40"/>
      <c r="AA33" s="42"/>
      <c r="AB33" s="39"/>
      <c r="AC33" s="40"/>
      <c r="AD33" s="40"/>
      <c r="AE33" s="40"/>
      <c r="AF33" s="42"/>
    </row>
    <row r="34" spans="1:32" ht="15.6" customHeight="1">
      <c r="A34" s="248">
        <v>13</v>
      </c>
      <c r="B34" s="2777" t="s">
        <v>749</v>
      </c>
      <c r="C34" s="2778"/>
      <c r="D34" s="2778"/>
      <c r="E34" s="2778"/>
      <c r="F34" s="2779"/>
      <c r="G34" s="2808" t="s">
        <v>746</v>
      </c>
      <c r="H34" s="2809"/>
      <c r="I34" s="150"/>
      <c r="J34" s="154"/>
      <c r="K34" s="154"/>
      <c r="L34" s="151"/>
      <c r="M34" s="150"/>
      <c r="N34" s="154"/>
      <c r="O34" s="151"/>
      <c r="P34" s="150"/>
      <c r="Q34" s="154"/>
      <c r="R34" s="151"/>
      <c r="S34" s="150"/>
      <c r="T34" s="154"/>
      <c r="U34" s="151"/>
      <c r="V34" s="150"/>
      <c r="W34" s="154"/>
      <c r="X34" s="151"/>
      <c r="Y34" s="150"/>
      <c r="Z34" s="154"/>
      <c r="AA34" s="151"/>
      <c r="AB34" s="150"/>
      <c r="AC34" s="154"/>
      <c r="AD34" s="154"/>
      <c r="AE34" s="23"/>
      <c r="AF34" s="32"/>
    </row>
    <row r="35" spans="1:32" ht="15.6" customHeight="1">
      <c r="A35" s="247">
        <v>14</v>
      </c>
      <c r="B35" s="2777" t="s">
        <v>750</v>
      </c>
      <c r="C35" s="2778"/>
      <c r="D35" s="2778"/>
      <c r="E35" s="2778"/>
      <c r="F35" s="2779"/>
      <c r="G35" s="2808" t="s">
        <v>746</v>
      </c>
      <c r="H35" s="2809"/>
      <c r="I35" s="39"/>
      <c r="J35" s="40"/>
      <c r="K35" s="40"/>
      <c r="L35" s="42"/>
      <c r="M35" s="39"/>
      <c r="N35" s="40"/>
      <c r="O35" s="42"/>
      <c r="P35" s="39"/>
      <c r="Q35" s="40"/>
      <c r="R35" s="42"/>
      <c r="S35" s="39"/>
      <c r="T35" s="40"/>
      <c r="U35" s="42"/>
      <c r="V35" s="39"/>
      <c r="W35" s="40"/>
      <c r="X35" s="42"/>
      <c r="Y35" s="39"/>
      <c r="Z35" s="40"/>
      <c r="AA35" s="42"/>
      <c r="AB35" s="39"/>
      <c r="AC35" s="40"/>
      <c r="AD35" s="40"/>
      <c r="AE35" s="40"/>
      <c r="AF35" s="42"/>
    </row>
    <row r="36" spans="1:32" ht="15.6" customHeight="1">
      <c r="A36" s="2811" t="s">
        <v>751</v>
      </c>
      <c r="B36" s="2812"/>
      <c r="C36" s="2812"/>
      <c r="D36" s="2812"/>
      <c r="E36" s="2812"/>
      <c r="F36" s="2812"/>
      <c r="G36" s="2812"/>
      <c r="H36" s="2812"/>
      <c r="I36" s="2812"/>
      <c r="J36" s="2812"/>
      <c r="K36" s="2812"/>
      <c r="L36" s="2812"/>
      <c r="M36" s="2812"/>
      <c r="N36" s="2812"/>
      <c r="O36" s="2812"/>
      <c r="P36" s="2812"/>
      <c r="Q36" s="2812"/>
      <c r="R36" s="2812"/>
      <c r="S36" s="2812"/>
      <c r="T36" s="2812"/>
      <c r="U36" s="2812"/>
      <c r="V36" s="2812"/>
      <c r="W36" s="2812"/>
      <c r="X36" s="2812"/>
      <c r="Y36" s="2812"/>
      <c r="Z36" s="2812"/>
      <c r="AA36" s="2812"/>
      <c r="AB36" s="2812"/>
      <c r="AC36" s="2812"/>
      <c r="AD36" s="2812"/>
      <c r="AE36" s="2812"/>
      <c r="AF36" s="2813"/>
    </row>
    <row r="37" spans="1:32" ht="15.6" customHeight="1">
      <c r="A37" s="247">
        <v>15</v>
      </c>
      <c r="B37" s="2777" t="s">
        <v>752</v>
      </c>
      <c r="C37" s="2778"/>
      <c r="D37" s="2778"/>
      <c r="E37" s="2778"/>
      <c r="F37" s="2779"/>
      <c r="G37" s="2808" t="s">
        <v>741</v>
      </c>
      <c r="H37" s="2809"/>
      <c r="I37" s="2808" t="s">
        <v>742</v>
      </c>
      <c r="J37" s="2810"/>
      <c r="K37" s="2810"/>
      <c r="L37" s="2809"/>
      <c r="M37" s="39"/>
      <c r="N37" s="40"/>
      <c r="O37" s="42"/>
      <c r="P37" s="39"/>
      <c r="Q37" s="40"/>
      <c r="R37" s="42"/>
      <c r="S37" s="39"/>
      <c r="T37" s="40"/>
      <c r="U37" s="42"/>
      <c r="V37" s="39"/>
      <c r="W37" s="40"/>
      <c r="X37" s="42"/>
      <c r="Y37" s="39"/>
      <c r="Z37" s="40"/>
      <c r="AA37" s="42"/>
      <c r="AB37" s="39"/>
      <c r="AC37" s="40"/>
      <c r="AD37" s="40"/>
      <c r="AE37" s="40"/>
      <c r="AF37" s="42"/>
    </row>
    <row r="38" spans="1:32" ht="15.6" customHeight="1">
      <c r="A38" s="247">
        <v>16</v>
      </c>
      <c r="B38" s="2777" t="s">
        <v>753</v>
      </c>
      <c r="C38" s="2778"/>
      <c r="D38" s="2778"/>
      <c r="E38" s="2778"/>
      <c r="F38" s="2779"/>
      <c r="G38" s="2808" t="s">
        <v>737</v>
      </c>
      <c r="H38" s="2809"/>
      <c r="I38" s="2808" t="s">
        <v>742</v>
      </c>
      <c r="J38" s="2810"/>
      <c r="K38" s="2810"/>
      <c r="L38" s="2809"/>
      <c r="M38" s="39"/>
      <c r="N38" s="40"/>
      <c r="O38" s="42"/>
      <c r="P38" s="39"/>
      <c r="Q38" s="40"/>
      <c r="R38" s="42"/>
      <c r="S38" s="39"/>
      <c r="T38" s="40"/>
      <c r="U38" s="42"/>
      <c r="V38" s="39"/>
      <c r="W38" s="40"/>
      <c r="X38" s="42"/>
      <c r="Y38" s="39"/>
      <c r="Z38" s="40"/>
      <c r="AA38" s="42"/>
      <c r="AB38" s="39"/>
      <c r="AC38" s="40"/>
      <c r="AD38" s="40"/>
      <c r="AE38" s="40"/>
      <c r="AF38" s="42"/>
    </row>
    <row r="39" spans="1:32" ht="15.6" customHeight="1">
      <c r="A39" s="247">
        <v>17</v>
      </c>
      <c r="B39" s="2777" t="s">
        <v>112</v>
      </c>
      <c r="C39" s="2778"/>
      <c r="D39" s="2778"/>
      <c r="E39" s="2778"/>
      <c r="F39" s="2779"/>
      <c r="G39" s="2808"/>
      <c r="H39" s="2809"/>
      <c r="I39" s="2808" t="s">
        <v>742</v>
      </c>
      <c r="J39" s="2810"/>
      <c r="K39" s="2810"/>
      <c r="L39" s="2809"/>
      <c r="M39" s="39"/>
      <c r="N39" s="40"/>
      <c r="O39" s="42"/>
      <c r="P39" s="39"/>
      <c r="Q39" s="40"/>
      <c r="R39" s="42"/>
      <c r="S39" s="39"/>
      <c r="T39" s="40"/>
      <c r="U39" s="42"/>
      <c r="V39" s="39"/>
      <c r="W39" s="40"/>
      <c r="X39" s="42"/>
      <c r="Y39" s="39"/>
      <c r="Z39" s="40"/>
      <c r="AA39" s="42"/>
      <c r="AB39" s="39"/>
      <c r="AC39" s="40"/>
      <c r="AD39" s="40"/>
      <c r="AE39" s="40"/>
      <c r="AF39" s="42"/>
    </row>
    <row r="40" spans="1:32" ht="9" customHeight="1">
      <c r="A40" s="1578" t="s">
        <v>754</v>
      </c>
      <c r="B40" s="24" t="s">
        <v>755</v>
      </c>
    </row>
    <row r="42" spans="1:32">
      <c r="A42" s="52"/>
    </row>
    <row r="43" spans="1:32">
      <c r="A43" s="52"/>
    </row>
    <row r="44" spans="1:32">
      <c r="A44" s="52"/>
    </row>
    <row r="45" spans="1:32">
      <c r="A45" s="52"/>
    </row>
    <row r="46" spans="1:32">
      <c r="A46" s="52"/>
    </row>
  </sheetData>
  <mergeCells count="71">
    <mergeCell ref="B11:H18"/>
    <mergeCell ref="I12:L15"/>
    <mergeCell ref="M8:N8"/>
    <mergeCell ref="A5:B5"/>
    <mergeCell ref="U1:AF1"/>
    <mergeCell ref="I11:L11"/>
    <mergeCell ref="M11:O11"/>
    <mergeCell ref="P11:AF12"/>
    <mergeCell ref="P13:R13"/>
    <mergeCell ref="S13:X13"/>
    <mergeCell ref="Y13:AF13"/>
    <mergeCell ref="S14:U14"/>
    <mergeCell ref="V14:X14"/>
    <mergeCell ref="A11:A18"/>
    <mergeCell ref="Y14:AA14"/>
    <mergeCell ref="AB14:AF14"/>
    <mergeCell ref="G39:H39"/>
    <mergeCell ref="I39:L39"/>
    <mergeCell ref="G37:H37"/>
    <mergeCell ref="I37:L37"/>
    <mergeCell ref="G34:H34"/>
    <mergeCell ref="G35:H35"/>
    <mergeCell ref="G38:H38"/>
    <mergeCell ref="I38:L38"/>
    <mergeCell ref="A36:AF36"/>
    <mergeCell ref="B37:F37"/>
    <mergeCell ref="B38:F38"/>
    <mergeCell ref="B39:F39"/>
    <mergeCell ref="M12:O15"/>
    <mergeCell ref="J18:O18"/>
    <mergeCell ref="I17:O17"/>
    <mergeCell ref="P14:R17"/>
    <mergeCell ref="P18:AF18"/>
    <mergeCell ref="S15:U16"/>
    <mergeCell ref="Y15:AA16"/>
    <mergeCell ref="V15:X17"/>
    <mergeCell ref="AB15:AF17"/>
    <mergeCell ref="G23:H23"/>
    <mergeCell ref="A19:AF19"/>
    <mergeCell ref="G20:H20"/>
    <mergeCell ref="G21:H21"/>
    <mergeCell ref="G22:H22"/>
    <mergeCell ref="G32:H32"/>
    <mergeCell ref="G33:H33"/>
    <mergeCell ref="G29:H29"/>
    <mergeCell ref="I29:L29"/>
    <mergeCell ref="A24:AF24"/>
    <mergeCell ref="G25:H25"/>
    <mergeCell ref="I25:L25"/>
    <mergeCell ref="G26:H26"/>
    <mergeCell ref="I26:L26"/>
    <mergeCell ref="A30:AF30"/>
    <mergeCell ref="G31:H31"/>
    <mergeCell ref="G27:H27"/>
    <mergeCell ref="I27:L27"/>
    <mergeCell ref="G28:H28"/>
    <mergeCell ref="I28:L28"/>
    <mergeCell ref="B25:F25"/>
    <mergeCell ref="B26:F26"/>
    <mergeCell ref="B27:F27"/>
    <mergeCell ref="B28:F28"/>
    <mergeCell ref="B29:F29"/>
    <mergeCell ref="B20:F20"/>
    <mergeCell ref="B21:F21"/>
    <mergeCell ref="B22:F22"/>
    <mergeCell ref="B23:F23"/>
    <mergeCell ref="B31:F31"/>
    <mergeCell ref="B32:F32"/>
    <mergeCell ref="B33:F33"/>
    <mergeCell ref="B34:F34"/>
    <mergeCell ref="B35:F35"/>
  </mergeCells>
  <pageMargins left="0.45" right="0.45" top="0.75" bottom="0.5" header="0.3" footer="0.3"/>
  <pageSetup paperSize="9" scale="94" orientation="landscape" r:id="rId1"/>
  <headerFooter alignWithMargins="0">
    <oddFooter>&amp;C&amp;P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9"/>
  <dimension ref="A1:AY43"/>
  <sheetViews>
    <sheetView showGridLines="0" view="pageBreakPreview" topLeftCell="A16" zoomScaleSheetLayoutView="100" workbookViewId="0">
      <selection activeCell="Z53" sqref="Z53"/>
    </sheetView>
  </sheetViews>
  <sheetFormatPr defaultColWidth="2.7109375" defaultRowHeight="11.25"/>
  <cols>
    <col min="1" max="1" width="3.42578125" style="2" customWidth="1"/>
    <col min="2" max="4" width="3.85546875" style="2" customWidth="1"/>
    <col min="5" max="5" width="4.5703125" style="2" customWidth="1"/>
    <col min="6" max="6" width="6.5703125" style="2" customWidth="1"/>
    <col min="7" max="10" width="2.7109375" style="2"/>
    <col min="11" max="11" width="5.7109375" style="2" customWidth="1"/>
    <col min="12" max="12" width="2.7109375" style="2"/>
    <col min="13" max="13" width="3.140625" style="2" customWidth="1"/>
    <col min="14" max="14" width="3.42578125" style="2" customWidth="1"/>
    <col min="15" max="15" width="4.42578125" style="2" customWidth="1"/>
    <col min="16" max="18" width="2.7109375" style="2"/>
    <col min="19" max="19" width="3.140625" style="2" customWidth="1"/>
    <col min="20" max="20" width="2.42578125" style="2" customWidth="1"/>
    <col min="21" max="21" width="3" style="2" customWidth="1"/>
    <col min="22" max="22" width="2.7109375" style="2"/>
    <col min="23" max="23" width="3.28515625" style="2" customWidth="1"/>
    <col min="24" max="24" width="2.7109375" style="2"/>
    <col min="25" max="25" width="2.140625" style="2" customWidth="1"/>
    <col min="26" max="26" width="3.85546875" style="2" customWidth="1"/>
    <col min="27" max="27" width="3.140625" style="2" customWidth="1"/>
    <col min="28" max="30" width="2.7109375" style="2"/>
    <col min="31" max="31" width="5.85546875" style="2" customWidth="1"/>
    <col min="32" max="32" width="2.7109375" style="2"/>
    <col min="33" max="33" width="3.85546875" style="2" customWidth="1"/>
    <col min="34" max="46" width="2.85546875" style="2" customWidth="1"/>
    <col min="47" max="47" width="2.7109375" style="2"/>
    <col min="48" max="48" width="3.7109375" style="2" customWidth="1"/>
    <col min="49" max="49" width="4" style="2" customWidth="1"/>
    <col min="50" max="50" width="2.7109375" style="2"/>
    <col min="51" max="51" width="2.42578125" style="2" customWidth="1"/>
    <col min="52" max="16384" width="2.7109375" style="2"/>
  </cols>
  <sheetData>
    <row r="1" spans="1:51" ht="18.75" customHeight="1">
      <c r="A1" s="1" t="s">
        <v>680</v>
      </c>
      <c r="B1" s="53"/>
      <c r="C1" s="53"/>
      <c r="AH1" s="18"/>
      <c r="AY1" s="233" t="s">
        <v>756</v>
      </c>
    </row>
    <row r="2" spans="1:51" s="47" customFormat="1" ht="6" customHeight="1">
      <c r="A2" s="216"/>
      <c r="B2" s="171"/>
      <c r="C2" s="171"/>
      <c r="AY2" s="233"/>
    </row>
    <row r="3" spans="1:51">
      <c r="A3" s="1584" t="s">
        <v>62</v>
      </c>
      <c r="AY3" s="1585" t="s">
        <v>63</v>
      </c>
    </row>
    <row r="4" spans="1:51" ht="4.5" customHeight="1">
      <c r="A4" s="53"/>
    </row>
    <row r="5" spans="1:51" ht="30" customHeight="1">
      <c r="A5" s="2909">
        <v>-6.15</v>
      </c>
      <c r="B5" s="2910"/>
      <c r="C5" s="1956" t="s">
        <v>757</v>
      </c>
      <c r="D5" s="1956"/>
      <c r="E5" s="1956"/>
      <c r="F5" s="1956"/>
      <c r="G5" s="1956"/>
      <c r="H5" s="1956"/>
      <c r="I5" s="1956"/>
      <c r="J5" s="1956"/>
      <c r="K5" s="1956"/>
      <c r="L5" s="1956"/>
      <c r="M5" s="1956"/>
      <c r="N5" s="1956"/>
      <c r="O5" s="1956"/>
      <c r="P5" s="1956"/>
      <c r="Q5" s="1956"/>
      <c r="R5" s="1956"/>
      <c r="S5" s="1956"/>
      <c r="T5" s="1956"/>
      <c r="U5" s="1956"/>
      <c r="V5" s="1956"/>
      <c r="W5" s="1956"/>
      <c r="Z5" s="2901">
        <f>A12-0.01</f>
        <v>-6.17</v>
      </c>
      <c r="AA5" s="2901"/>
      <c r="AB5" s="1956" t="s">
        <v>758</v>
      </c>
      <c r="AC5" s="1956"/>
      <c r="AD5" s="1956"/>
      <c r="AE5" s="1956"/>
      <c r="AF5" s="1956"/>
      <c r="AG5" s="1956"/>
      <c r="AH5" s="1956"/>
      <c r="AI5" s="1956"/>
      <c r="AJ5" s="1956"/>
      <c r="AK5" s="1956"/>
      <c r="AL5" s="1956"/>
      <c r="AM5" s="1956"/>
      <c r="AN5" s="1956"/>
      <c r="AO5" s="1956"/>
      <c r="AP5" s="1956"/>
      <c r="AQ5" s="1956"/>
      <c r="AR5" s="1956"/>
      <c r="AS5" s="1956"/>
      <c r="AT5" s="1956"/>
      <c r="AU5" s="1956"/>
      <c r="AV5" s="1956"/>
      <c r="AW5" s="1956"/>
      <c r="AX5" s="1956"/>
      <c r="AY5" s="1956"/>
    </row>
    <row r="6" spans="1:51" ht="12.75">
      <c r="A6" s="54"/>
      <c r="B6" s="4"/>
      <c r="C6" s="149" t="s">
        <v>759</v>
      </c>
      <c r="D6" s="56"/>
      <c r="E6" s="56"/>
      <c r="F6" s="56"/>
      <c r="G6" s="56"/>
      <c r="H6" s="56"/>
      <c r="I6" s="56"/>
      <c r="J6" s="56"/>
      <c r="K6" s="56"/>
      <c r="L6" s="56"/>
      <c r="M6" s="56"/>
      <c r="N6" s="56"/>
      <c r="O6" s="56"/>
      <c r="P6" s="56"/>
      <c r="Q6" s="56"/>
      <c r="U6" s="155"/>
      <c r="Z6" s="54"/>
      <c r="AA6" s="4"/>
      <c r="AB6" s="780" t="s">
        <v>760</v>
      </c>
    </row>
    <row r="7" spans="1:51" ht="12">
      <c r="A7" s="54"/>
      <c r="B7" s="4"/>
      <c r="C7" s="55" t="s">
        <v>761</v>
      </c>
      <c r="Z7" s="54"/>
      <c r="AA7" s="4"/>
      <c r="AD7" s="55"/>
    </row>
    <row r="8" spans="1:51" ht="4.5" customHeight="1">
      <c r="A8" s="54"/>
      <c r="B8" s="4"/>
      <c r="Z8" s="54"/>
      <c r="AA8" s="4"/>
      <c r="AC8" s="159"/>
    </row>
    <row r="9" spans="1:51" ht="12.75">
      <c r="A9" s="54"/>
      <c r="B9" s="4"/>
      <c r="I9" s="560" t="s">
        <v>104</v>
      </c>
      <c r="J9" s="560"/>
      <c r="K9" s="560"/>
      <c r="L9" s="561">
        <v>1</v>
      </c>
      <c r="M9" s="560"/>
      <c r="N9" s="20"/>
      <c r="O9" s="20"/>
      <c r="P9" s="20"/>
      <c r="X9" s="60"/>
      <c r="Y9" s="57"/>
      <c r="Z9" s="54"/>
      <c r="AA9" s="4"/>
      <c r="AJ9" s="560" t="s">
        <v>104</v>
      </c>
      <c r="AK9" s="560"/>
      <c r="AL9" s="560"/>
      <c r="AM9" s="561">
        <v>1</v>
      </c>
      <c r="AN9" s="560"/>
      <c r="AO9" s="20"/>
      <c r="AP9" s="20"/>
      <c r="AQ9" s="20"/>
      <c r="AR9" s="20"/>
      <c r="AS9" s="20"/>
      <c r="AX9" s="60"/>
      <c r="AY9" s="57"/>
    </row>
    <row r="10" spans="1:51" ht="12.75">
      <c r="A10" s="54"/>
      <c r="B10" s="4"/>
      <c r="I10" s="560" t="s">
        <v>108</v>
      </c>
      <c r="J10" s="560"/>
      <c r="K10" s="560"/>
      <c r="L10" s="561">
        <v>2</v>
      </c>
      <c r="M10" s="718" t="s">
        <v>91</v>
      </c>
      <c r="N10" s="397" t="s">
        <v>762</v>
      </c>
      <c r="O10" s="397"/>
      <c r="P10" s="20"/>
      <c r="X10" s="8"/>
      <c r="Y10" s="10"/>
      <c r="Z10" s="54"/>
      <c r="AA10" s="4"/>
      <c r="AJ10" s="560" t="s">
        <v>108</v>
      </c>
      <c r="AK10" s="560"/>
      <c r="AL10" s="560"/>
      <c r="AM10" s="561">
        <v>2</v>
      </c>
      <c r="AN10" s="20"/>
      <c r="AO10" s="718" t="s">
        <v>91</v>
      </c>
      <c r="AP10" s="397" t="s">
        <v>762</v>
      </c>
      <c r="AQ10" s="397"/>
      <c r="AR10" s="397"/>
      <c r="AS10" s="20"/>
      <c r="AX10" s="8"/>
      <c r="AY10" s="10"/>
    </row>
    <row r="11" spans="1:51" ht="7.5" customHeight="1">
      <c r="A11" s="4"/>
      <c r="B11" s="4"/>
      <c r="Z11" s="4"/>
      <c r="AA11" s="4"/>
    </row>
    <row r="12" spans="1:51" ht="27.75" customHeight="1">
      <c r="A12" s="2901">
        <f>A5-0.01</f>
        <v>-6.16</v>
      </c>
      <c r="B12" s="2919"/>
      <c r="C12" s="2925" t="s">
        <v>763</v>
      </c>
      <c r="D12" s="2925"/>
      <c r="E12" s="2925"/>
      <c r="F12" s="2925"/>
      <c r="G12" s="2925"/>
      <c r="H12" s="2925"/>
      <c r="I12" s="2925"/>
      <c r="J12" s="2925"/>
      <c r="K12" s="2925"/>
      <c r="L12" s="2925"/>
      <c r="M12" s="2925"/>
      <c r="N12" s="2925"/>
      <c r="O12" s="2925"/>
      <c r="P12" s="2925"/>
      <c r="Q12" s="2925"/>
      <c r="R12" s="2925"/>
      <c r="S12" s="2925"/>
      <c r="T12" s="170"/>
      <c r="U12" s="46" t="s">
        <v>764</v>
      </c>
      <c r="V12" s="2922"/>
      <c r="W12" s="2923"/>
      <c r="X12" s="2923"/>
      <c r="Y12" s="2924"/>
      <c r="Z12" s="2901">
        <f>Z5-0.01</f>
        <v>-6.18</v>
      </c>
      <c r="AA12" s="2901"/>
      <c r="AB12" s="1956" t="s">
        <v>765</v>
      </c>
      <c r="AC12" s="1956"/>
      <c r="AD12" s="1956"/>
      <c r="AE12" s="1956"/>
      <c r="AF12" s="1956"/>
      <c r="AG12" s="1956"/>
      <c r="AH12" s="1956"/>
      <c r="AI12" s="1956"/>
      <c r="AJ12" s="1956"/>
      <c r="AK12" s="1956"/>
      <c r="AL12" s="1956"/>
      <c r="AM12" s="1956"/>
      <c r="AN12" s="1956"/>
      <c r="AO12" s="1956"/>
      <c r="AP12" s="1956"/>
      <c r="AQ12" s="1956"/>
      <c r="AR12" s="1956"/>
      <c r="AS12" s="1956"/>
      <c r="AT12" s="1956"/>
      <c r="AU12" s="1956"/>
      <c r="AV12" s="260" t="s">
        <v>764</v>
      </c>
      <c r="AW12" s="2929"/>
      <c r="AX12" s="2930"/>
      <c r="AY12" s="2931"/>
    </row>
    <row r="13" spans="1:51" ht="7.5" customHeight="1"/>
    <row r="14" spans="1:51" ht="15" customHeight="1">
      <c r="A14" s="2916" t="s">
        <v>766</v>
      </c>
      <c r="B14" s="2917"/>
      <c r="C14" s="2917"/>
      <c r="D14" s="2917"/>
      <c r="E14" s="2917"/>
      <c r="F14" s="2917"/>
      <c r="G14" s="2917"/>
      <c r="H14" s="2917"/>
      <c r="I14" s="2917"/>
      <c r="J14" s="2917"/>
      <c r="K14" s="2917"/>
      <c r="L14" s="2917"/>
      <c r="M14" s="2917"/>
      <c r="N14" s="2917"/>
      <c r="O14" s="2917"/>
      <c r="P14" s="2917"/>
      <c r="Q14" s="2917"/>
      <c r="R14" s="2917"/>
      <c r="S14" s="2917"/>
      <c r="T14" s="2917"/>
      <c r="U14" s="2917"/>
      <c r="V14" s="2917"/>
      <c r="W14" s="2917"/>
      <c r="X14" s="2917"/>
      <c r="Y14" s="2917"/>
      <c r="Z14" s="2917"/>
      <c r="AA14" s="2917"/>
      <c r="AB14" s="2917"/>
      <c r="AC14" s="2917"/>
      <c r="AD14" s="2917"/>
      <c r="AE14" s="2918"/>
      <c r="AG14" s="2902" t="s">
        <v>688</v>
      </c>
      <c r="AH14" s="2903"/>
      <c r="AI14" s="2903"/>
      <c r="AJ14" s="2903"/>
      <c r="AK14" s="2903"/>
      <c r="AL14" s="2903"/>
      <c r="AM14" s="2903"/>
      <c r="AN14" s="2903"/>
      <c r="AO14" s="2903"/>
      <c r="AP14" s="2903"/>
      <c r="AQ14" s="2903"/>
      <c r="AR14" s="2903"/>
      <c r="AS14" s="2903"/>
      <c r="AT14" s="2903"/>
      <c r="AU14" s="2903"/>
      <c r="AV14" s="2903"/>
      <c r="AW14" s="2903"/>
      <c r="AX14" s="2903"/>
      <c r="AY14" s="2904"/>
    </row>
    <row r="15" spans="1:51" ht="15" customHeight="1">
      <c r="A15" s="2920" t="s">
        <v>685</v>
      </c>
      <c r="B15" s="2911" t="s">
        <v>767</v>
      </c>
      <c r="C15" s="2912"/>
      <c r="D15" s="2912"/>
      <c r="E15" s="2912"/>
      <c r="F15" s="2913"/>
      <c r="G15" s="1952">
        <f>Z12-0.01</f>
        <v>-6.1899999999999995</v>
      </c>
      <c r="H15" s="1954"/>
      <c r="I15" s="1954"/>
      <c r="J15" s="2921"/>
      <c r="K15" s="380"/>
      <c r="L15" s="1952">
        <f>G15-0.01</f>
        <v>-6.1999999999999993</v>
      </c>
      <c r="M15" s="1954"/>
      <c r="N15" s="1954"/>
      <c r="O15" s="1953"/>
      <c r="P15" s="2938" t="s">
        <v>699</v>
      </c>
      <c r="Q15" s="2939"/>
      <c r="R15" s="2939"/>
      <c r="S15" s="2939"/>
      <c r="T15" s="2939"/>
      <c r="U15" s="2939"/>
      <c r="V15" s="2939"/>
      <c r="W15" s="2939"/>
      <c r="X15" s="2939"/>
      <c r="Y15" s="2939"/>
      <c r="Z15" s="2939"/>
      <c r="AA15" s="2939"/>
      <c r="AB15" s="2939"/>
      <c r="AC15" s="2939"/>
      <c r="AD15" s="2939"/>
      <c r="AE15" s="2940"/>
      <c r="AG15" s="2905" t="s">
        <v>685</v>
      </c>
      <c r="AH15" s="2907" t="s">
        <v>691</v>
      </c>
      <c r="AI15" s="2907"/>
      <c r="AJ15" s="2907"/>
      <c r="AK15" s="2907"/>
      <c r="AL15" s="2907"/>
      <c r="AM15" s="2907"/>
      <c r="AN15" s="2907"/>
      <c r="AO15" s="2907"/>
      <c r="AP15" s="2907"/>
      <c r="AQ15" s="2907"/>
      <c r="AR15" s="2907"/>
      <c r="AS15" s="2907"/>
      <c r="AT15" s="2907"/>
      <c r="AU15" s="1952">
        <f>X16-0.01</f>
        <v>-6.2399999999999984</v>
      </c>
      <c r="AV15" s="1954"/>
      <c r="AW15" s="1954"/>
      <c r="AX15" s="1954"/>
      <c r="AY15" s="1953"/>
    </row>
    <row r="16" spans="1:51" ht="15" customHeight="1">
      <c r="A16" s="2920"/>
      <c r="B16" s="2914"/>
      <c r="C16" s="2915"/>
      <c r="D16" s="2915"/>
      <c r="E16" s="2915"/>
      <c r="F16" s="2240"/>
      <c r="G16" s="1955" t="s">
        <v>768</v>
      </c>
      <c r="H16" s="1956"/>
      <c r="I16" s="1956"/>
      <c r="J16" s="1956"/>
      <c r="K16" s="1957"/>
      <c r="L16" s="1955" t="s">
        <v>769</v>
      </c>
      <c r="M16" s="1956"/>
      <c r="N16" s="1956"/>
      <c r="O16" s="1957"/>
      <c r="P16" s="1952">
        <f>L15-0.01</f>
        <v>-6.2099999999999991</v>
      </c>
      <c r="Q16" s="1954"/>
      <c r="R16" s="1954"/>
      <c r="S16" s="1953"/>
      <c r="T16" s="1952">
        <f>P16-0.01</f>
        <v>-6.2199999999999989</v>
      </c>
      <c r="U16" s="1954"/>
      <c r="V16" s="1954"/>
      <c r="W16" s="1953"/>
      <c r="X16" s="1952">
        <f>T16-0.01</f>
        <v>-6.2299999999999986</v>
      </c>
      <c r="Y16" s="1954"/>
      <c r="Z16" s="1954"/>
      <c r="AA16" s="1954"/>
      <c r="AB16" s="1954"/>
      <c r="AC16" s="1954"/>
      <c r="AD16" s="1954"/>
      <c r="AE16" s="1953"/>
      <c r="AG16" s="2905"/>
      <c r="AH16" s="2907"/>
      <c r="AI16" s="2907"/>
      <c r="AJ16" s="2907"/>
      <c r="AK16" s="2907"/>
      <c r="AL16" s="2907"/>
      <c r="AM16" s="2907"/>
      <c r="AN16" s="2907"/>
      <c r="AO16" s="2907"/>
      <c r="AP16" s="2907"/>
      <c r="AQ16" s="2907"/>
      <c r="AR16" s="2907"/>
      <c r="AS16" s="2907"/>
      <c r="AT16" s="2907"/>
      <c r="AU16" s="2872" t="s">
        <v>770</v>
      </c>
      <c r="AV16" s="2873"/>
      <c r="AW16" s="2873"/>
      <c r="AX16" s="2873"/>
      <c r="AY16" s="2874"/>
    </row>
    <row r="17" spans="1:51" ht="15" customHeight="1">
      <c r="A17" s="2920"/>
      <c r="B17" s="2914"/>
      <c r="C17" s="2915"/>
      <c r="D17" s="2915"/>
      <c r="E17" s="2915"/>
      <c r="F17" s="2240"/>
      <c r="G17" s="1955"/>
      <c r="H17" s="1956"/>
      <c r="I17" s="1956"/>
      <c r="J17" s="1956"/>
      <c r="K17" s="1957"/>
      <c r="L17" s="1955"/>
      <c r="M17" s="1956"/>
      <c r="N17" s="1956"/>
      <c r="O17" s="1957"/>
      <c r="P17" s="2087" t="s">
        <v>771</v>
      </c>
      <c r="Q17" s="2124"/>
      <c r="R17" s="2124"/>
      <c r="S17" s="2088"/>
      <c r="T17" s="1955" t="s">
        <v>772</v>
      </c>
      <c r="U17" s="1956"/>
      <c r="V17" s="1956"/>
      <c r="W17" s="1957"/>
      <c r="X17" s="1955" t="s">
        <v>694</v>
      </c>
      <c r="Y17" s="1956"/>
      <c r="Z17" s="1956"/>
      <c r="AA17" s="1956"/>
      <c r="AB17" s="1956"/>
      <c r="AC17" s="1956"/>
      <c r="AD17" s="1956"/>
      <c r="AE17" s="1957"/>
      <c r="AG17" s="2905"/>
      <c r="AH17" s="2907"/>
      <c r="AI17" s="2907"/>
      <c r="AJ17" s="2907"/>
      <c r="AK17" s="2907"/>
      <c r="AL17" s="2907"/>
      <c r="AM17" s="2907"/>
      <c r="AN17" s="2907"/>
      <c r="AO17" s="2907"/>
      <c r="AP17" s="2907"/>
      <c r="AQ17" s="2907"/>
      <c r="AR17" s="2907"/>
      <c r="AS17" s="2907"/>
      <c r="AT17" s="2907"/>
      <c r="AU17" s="2872"/>
      <c r="AV17" s="2873"/>
      <c r="AW17" s="2873"/>
      <c r="AX17" s="2873"/>
      <c r="AY17" s="2874"/>
    </row>
    <row r="18" spans="1:51" ht="15" customHeight="1">
      <c r="A18" s="2920"/>
      <c r="B18" s="2914"/>
      <c r="C18" s="2915"/>
      <c r="D18" s="2915"/>
      <c r="E18" s="2915"/>
      <c r="F18" s="2240"/>
      <c r="G18" s="1955"/>
      <c r="H18" s="1956"/>
      <c r="I18" s="1956"/>
      <c r="J18" s="1956"/>
      <c r="K18" s="1957"/>
      <c r="L18" s="2089"/>
      <c r="M18" s="2193"/>
      <c r="N18" s="2193"/>
      <c r="O18" s="2090"/>
      <c r="P18" s="2087"/>
      <c r="Q18" s="2124"/>
      <c r="R18" s="2124"/>
      <c r="S18" s="2088"/>
      <c r="T18" s="1955"/>
      <c r="U18" s="1956"/>
      <c r="V18" s="1956"/>
      <c r="W18" s="1957"/>
      <c r="X18" s="1978" t="s">
        <v>773</v>
      </c>
      <c r="Y18" s="1979"/>
      <c r="Z18" s="1979"/>
      <c r="AA18" s="1979"/>
      <c r="AB18" s="1979"/>
      <c r="AC18" s="1979"/>
      <c r="AD18" s="1979"/>
      <c r="AE18" s="1980"/>
      <c r="AG18" s="2905"/>
      <c r="AH18" s="2907"/>
      <c r="AI18" s="2907"/>
      <c r="AJ18" s="2907"/>
      <c r="AK18" s="2907"/>
      <c r="AL18" s="2907"/>
      <c r="AM18" s="2907"/>
      <c r="AN18" s="2907"/>
      <c r="AO18" s="2907"/>
      <c r="AP18" s="2907"/>
      <c r="AQ18" s="2907"/>
      <c r="AR18" s="2907"/>
      <c r="AS18" s="2907"/>
      <c r="AT18" s="2907"/>
      <c r="AU18" s="2872"/>
      <c r="AV18" s="2873"/>
      <c r="AW18" s="2873"/>
      <c r="AX18" s="2873"/>
      <c r="AY18" s="2874"/>
    </row>
    <row r="19" spans="1:51" ht="15" customHeight="1">
      <c r="A19" s="2920"/>
      <c r="B19" s="2914"/>
      <c r="C19" s="2915"/>
      <c r="D19" s="2915"/>
      <c r="E19" s="2915"/>
      <c r="F19" s="2240"/>
      <c r="G19" s="1955"/>
      <c r="H19" s="1956"/>
      <c r="I19" s="1956"/>
      <c r="J19" s="1956"/>
      <c r="K19" s="1957"/>
      <c r="L19" s="2089"/>
      <c r="M19" s="2193"/>
      <c r="N19" s="2193"/>
      <c r="O19" s="2090"/>
      <c r="P19" s="2087"/>
      <c r="Q19" s="2124"/>
      <c r="R19" s="2124"/>
      <c r="S19" s="2088"/>
      <c r="T19" s="1955"/>
      <c r="U19" s="1956"/>
      <c r="V19" s="1956"/>
      <c r="W19" s="1957"/>
      <c r="X19" s="1978"/>
      <c r="Y19" s="1979"/>
      <c r="Z19" s="1979"/>
      <c r="AA19" s="1979"/>
      <c r="AB19" s="1979"/>
      <c r="AC19" s="1979"/>
      <c r="AD19" s="1979"/>
      <c r="AE19" s="1980"/>
      <c r="AG19" s="2905"/>
      <c r="AH19" s="2907"/>
      <c r="AI19" s="2907"/>
      <c r="AJ19" s="2907"/>
      <c r="AK19" s="2907"/>
      <c r="AL19" s="2907"/>
      <c r="AM19" s="2907"/>
      <c r="AN19" s="2907"/>
      <c r="AO19" s="2907"/>
      <c r="AP19" s="2907"/>
      <c r="AQ19" s="2907"/>
      <c r="AR19" s="2907"/>
      <c r="AS19" s="2907"/>
      <c r="AT19" s="2907"/>
      <c r="AU19" s="2872"/>
      <c r="AV19" s="2873"/>
      <c r="AW19" s="2873"/>
      <c r="AX19" s="2873"/>
      <c r="AY19" s="2874"/>
    </row>
    <row r="20" spans="1:51" ht="15" customHeight="1">
      <c r="A20" s="2920"/>
      <c r="B20" s="2914"/>
      <c r="C20" s="2915"/>
      <c r="D20" s="2915"/>
      <c r="E20" s="2915"/>
      <c r="F20" s="2240"/>
      <c r="G20" s="1955"/>
      <c r="H20" s="1956"/>
      <c r="I20" s="1956"/>
      <c r="J20" s="1956"/>
      <c r="K20" s="1957"/>
      <c r="L20" s="2089"/>
      <c r="M20" s="2193"/>
      <c r="N20" s="2193"/>
      <c r="O20" s="2090"/>
      <c r="P20" s="2087"/>
      <c r="Q20" s="2124"/>
      <c r="R20" s="2124"/>
      <c r="S20" s="2088"/>
      <c r="T20" s="1955"/>
      <c r="U20" s="1956"/>
      <c r="V20" s="1956"/>
      <c r="W20" s="1957"/>
      <c r="X20" s="2071"/>
      <c r="Y20" s="2072"/>
      <c r="Z20" s="2072"/>
      <c r="AA20" s="2072"/>
      <c r="AB20" s="2072"/>
      <c r="AC20" s="2072"/>
      <c r="AD20" s="2072"/>
      <c r="AE20" s="2073"/>
      <c r="AG20" s="2905"/>
      <c r="AH20" s="2907"/>
      <c r="AI20" s="2907"/>
      <c r="AJ20" s="2907"/>
      <c r="AK20" s="2907"/>
      <c r="AL20" s="2907"/>
      <c r="AM20" s="2907"/>
      <c r="AN20" s="2907"/>
      <c r="AO20" s="2907"/>
      <c r="AP20" s="2907"/>
      <c r="AQ20" s="2907"/>
      <c r="AR20" s="2907"/>
      <c r="AS20" s="2907"/>
      <c r="AT20" s="2907"/>
      <c r="AU20" s="2872"/>
      <c r="AV20" s="2873"/>
      <c r="AW20" s="2873"/>
      <c r="AX20" s="2873"/>
      <c r="AY20" s="2874"/>
    </row>
    <row r="21" spans="1:51" ht="15" customHeight="1">
      <c r="A21" s="2920"/>
      <c r="B21" s="2914"/>
      <c r="C21" s="2915"/>
      <c r="D21" s="2915"/>
      <c r="E21" s="2915"/>
      <c r="F21" s="2240"/>
      <c r="G21" s="652" t="s">
        <v>104</v>
      </c>
      <c r="H21" s="47"/>
      <c r="I21" s="47"/>
      <c r="J21" s="47">
        <v>1</v>
      </c>
      <c r="K21" s="47"/>
      <c r="L21" s="2089"/>
      <c r="M21" s="2193"/>
      <c r="N21" s="2193"/>
      <c r="O21" s="2090"/>
      <c r="P21" s="58"/>
      <c r="Q21" s="1458"/>
      <c r="R21" s="1458"/>
      <c r="S21" s="59"/>
      <c r="T21" s="58"/>
      <c r="U21" s="1458"/>
      <c r="V21" s="1458"/>
      <c r="W21" s="59"/>
      <c r="X21" s="8"/>
      <c r="Y21" s="9"/>
      <c r="Z21" s="9"/>
      <c r="AA21" s="9"/>
      <c r="AB21" s="2882"/>
      <c r="AC21" s="2882"/>
      <c r="AD21" s="2882"/>
      <c r="AE21" s="2883"/>
      <c r="AG21" s="2905"/>
      <c r="AH21" s="2907"/>
      <c r="AI21" s="2907"/>
      <c r="AJ21" s="2907"/>
      <c r="AK21" s="2907"/>
      <c r="AL21" s="2907"/>
      <c r="AM21" s="2907"/>
      <c r="AN21" s="2907"/>
      <c r="AO21" s="2907"/>
      <c r="AP21" s="2907"/>
      <c r="AQ21" s="2907"/>
      <c r="AR21" s="2907"/>
      <c r="AS21" s="2907"/>
      <c r="AT21" s="2907"/>
      <c r="AU21" s="2872"/>
      <c r="AV21" s="2873"/>
      <c r="AW21" s="2873"/>
      <c r="AX21" s="2873"/>
      <c r="AY21" s="2874"/>
    </row>
    <row r="22" spans="1:51" ht="15" customHeight="1">
      <c r="A22" s="2920"/>
      <c r="B22" s="2914"/>
      <c r="C22" s="2915"/>
      <c r="D22" s="2915"/>
      <c r="E22" s="2915"/>
      <c r="F22" s="2240"/>
      <c r="G22" s="652" t="s">
        <v>108</v>
      </c>
      <c r="H22" s="47"/>
      <c r="I22" s="47"/>
      <c r="J22" s="47">
        <v>2</v>
      </c>
      <c r="K22" s="171" t="s">
        <v>91</v>
      </c>
      <c r="L22" s="2089"/>
      <c r="M22" s="2193"/>
      <c r="N22" s="2193"/>
      <c r="O22" s="2090"/>
      <c r="P22" s="58"/>
      <c r="Q22" s="1458"/>
      <c r="R22" s="1458"/>
      <c r="S22" s="59"/>
      <c r="T22" s="58"/>
      <c r="U22" s="1458"/>
      <c r="V22" s="1458"/>
      <c r="W22" s="59"/>
      <c r="X22" s="2911" t="s">
        <v>774</v>
      </c>
      <c r="Y22" s="2912"/>
      <c r="Z22" s="2912"/>
      <c r="AA22" s="2913"/>
      <c r="AB22" s="2911" t="s">
        <v>775</v>
      </c>
      <c r="AC22" s="2912"/>
      <c r="AD22" s="2912"/>
      <c r="AE22" s="2913"/>
      <c r="AG22" s="2905"/>
      <c r="AH22" s="2907"/>
      <c r="AI22" s="2907"/>
      <c r="AJ22" s="2907"/>
      <c r="AK22" s="2907"/>
      <c r="AL22" s="2907"/>
      <c r="AM22" s="2907"/>
      <c r="AN22" s="2907"/>
      <c r="AO22" s="2907"/>
      <c r="AP22" s="2907"/>
      <c r="AQ22" s="2907"/>
      <c r="AR22" s="2907"/>
      <c r="AS22" s="2907"/>
      <c r="AT22" s="2907"/>
      <c r="AU22" s="2875" t="s">
        <v>776</v>
      </c>
      <c r="AV22" s="2876"/>
      <c r="AW22" s="2876"/>
      <c r="AX22" s="2876"/>
      <c r="AY22" s="2877"/>
    </row>
    <row r="23" spans="1:51" ht="15" customHeight="1">
      <c r="A23" s="2920"/>
      <c r="B23" s="2914"/>
      <c r="C23" s="2915"/>
      <c r="D23" s="2915"/>
      <c r="E23" s="2915"/>
      <c r="F23" s="2240"/>
      <c r="G23" s="2866" t="s">
        <v>777</v>
      </c>
      <c r="H23" s="2867"/>
      <c r="I23" s="2867"/>
      <c r="J23" s="2867"/>
      <c r="K23" s="2868"/>
      <c r="L23" s="2089"/>
      <c r="M23" s="2193"/>
      <c r="N23" s="2193"/>
      <c r="O23" s="2090"/>
      <c r="P23" s="733"/>
      <c r="Q23" s="585"/>
      <c r="R23" s="585"/>
      <c r="S23" s="734"/>
      <c r="T23" s="733"/>
      <c r="U23" s="585"/>
      <c r="V23" s="585"/>
      <c r="W23" s="734"/>
      <c r="X23" s="2932"/>
      <c r="Y23" s="2933"/>
      <c r="Z23" s="2933"/>
      <c r="AA23" s="2934"/>
      <c r="AB23" s="2932"/>
      <c r="AC23" s="2933"/>
      <c r="AD23" s="2933"/>
      <c r="AE23" s="2934"/>
      <c r="AG23" s="2905"/>
      <c r="AH23" s="2907"/>
      <c r="AI23" s="2907"/>
      <c r="AJ23" s="2907"/>
      <c r="AK23" s="2907"/>
      <c r="AL23" s="2907"/>
      <c r="AM23" s="2907"/>
      <c r="AN23" s="2907"/>
      <c r="AO23" s="2907"/>
      <c r="AP23" s="2907"/>
      <c r="AQ23" s="2907"/>
      <c r="AR23" s="2907"/>
      <c r="AS23" s="2907"/>
      <c r="AT23" s="2907"/>
      <c r="AU23" s="2875"/>
      <c r="AV23" s="2876"/>
      <c r="AW23" s="2876"/>
      <c r="AX23" s="2876"/>
      <c r="AY23" s="2877"/>
    </row>
    <row r="24" spans="1:51" ht="15" customHeight="1">
      <c r="A24" s="2920"/>
      <c r="B24" s="2914"/>
      <c r="C24" s="2915"/>
      <c r="D24" s="2915"/>
      <c r="E24" s="2915"/>
      <c r="F24" s="2915"/>
      <c r="G24" s="2869"/>
      <c r="H24" s="2870"/>
      <c r="I24" s="2870"/>
      <c r="J24" s="2870"/>
      <c r="K24" s="2871"/>
      <c r="L24" s="2926"/>
      <c r="M24" s="2927"/>
      <c r="N24" s="2927"/>
      <c r="O24" s="2928"/>
      <c r="P24" s="2935" t="s">
        <v>778</v>
      </c>
      <c r="Q24" s="2936"/>
      <c r="R24" s="2936"/>
      <c r="S24" s="2936"/>
      <c r="T24" s="2936"/>
      <c r="U24" s="2936"/>
      <c r="V24" s="2936"/>
      <c r="W24" s="2936"/>
      <c r="X24" s="2936"/>
      <c r="Y24" s="2936"/>
      <c r="Z24" s="2936"/>
      <c r="AA24" s="2936"/>
      <c r="AB24" s="2936"/>
      <c r="AC24" s="2936"/>
      <c r="AD24" s="2936"/>
      <c r="AE24" s="2937"/>
      <c r="AG24" s="2906"/>
      <c r="AH24" s="2908"/>
      <c r="AI24" s="2908"/>
      <c r="AJ24" s="2908"/>
      <c r="AK24" s="2908"/>
      <c r="AL24" s="2908"/>
      <c r="AM24" s="2908"/>
      <c r="AN24" s="2908"/>
      <c r="AO24" s="2908"/>
      <c r="AP24" s="2908"/>
      <c r="AQ24" s="2908"/>
      <c r="AR24" s="2908"/>
      <c r="AS24" s="2908"/>
      <c r="AT24" s="2908"/>
      <c r="AY24" s="5"/>
    </row>
    <row r="25" spans="1:51" ht="15.6" customHeight="1">
      <c r="A25" s="782">
        <v>1</v>
      </c>
      <c r="B25" s="2892" t="s">
        <v>779</v>
      </c>
      <c r="C25" s="2893"/>
      <c r="D25" s="2893"/>
      <c r="E25" s="2893"/>
      <c r="F25" s="2894"/>
      <c r="G25" s="12"/>
      <c r="H25" s="14"/>
      <c r="I25" s="14"/>
      <c r="J25" s="14"/>
      <c r="K25" s="13"/>
      <c r="L25" s="12"/>
      <c r="M25" s="14"/>
      <c r="N25" s="14"/>
      <c r="O25" s="13"/>
      <c r="P25" s="12"/>
      <c r="Q25" s="14"/>
      <c r="R25" s="14"/>
      <c r="S25" s="13"/>
      <c r="T25" s="12"/>
      <c r="U25" s="169"/>
      <c r="V25" s="169"/>
      <c r="W25" s="13"/>
      <c r="X25" s="12"/>
      <c r="Y25" s="14"/>
      <c r="Z25" s="14"/>
      <c r="AA25" s="13"/>
      <c r="AB25" s="12"/>
      <c r="AC25" s="14"/>
      <c r="AD25" s="14"/>
      <c r="AE25" s="13"/>
      <c r="AG25" s="782">
        <v>1</v>
      </c>
      <c r="AH25" s="2892" t="s">
        <v>780</v>
      </c>
      <c r="AI25" s="2893"/>
      <c r="AJ25" s="2893"/>
      <c r="AK25" s="2893"/>
      <c r="AL25" s="2893"/>
      <c r="AM25" s="2893"/>
      <c r="AN25" s="2893"/>
      <c r="AO25" s="2893"/>
      <c r="AP25" s="2893"/>
      <c r="AQ25" s="2893"/>
      <c r="AR25" s="2893"/>
      <c r="AS25" s="2893"/>
      <c r="AT25" s="2894"/>
      <c r="AU25" s="12"/>
      <c r="AV25" s="14"/>
      <c r="AW25" s="14"/>
      <c r="AX25" s="14"/>
      <c r="AY25" s="13"/>
    </row>
    <row r="26" spans="1:51" ht="15.6" customHeight="1">
      <c r="A26" s="782">
        <v>2</v>
      </c>
      <c r="B26" s="2892" t="s">
        <v>781</v>
      </c>
      <c r="C26" s="2893"/>
      <c r="D26" s="2893"/>
      <c r="E26" s="2893"/>
      <c r="F26" s="2894"/>
      <c r="G26" s="12"/>
      <c r="H26" s="14"/>
      <c r="I26" s="14"/>
      <c r="J26" s="14"/>
      <c r="K26" s="13"/>
      <c r="L26" s="12"/>
      <c r="M26" s="14"/>
      <c r="N26" s="14"/>
      <c r="O26" s="13"/>
      <c r="P26" s="12"/>
      <c r="Q26" s="14"/>
      <c r="R26" s="14"/>
      <c r="S26" s="13"/>
      <c r="T26" s="12"/>
      <c r="U26" s="14"/>
      <c r="V26" s="14"/>
      <c r="W26" s="13"/>
      <c r="X26" s="12"/>
      <c r="Y26" s="14"/>
      <c r="Z26" s="14"/>
      <c r="AA26" s="13"/>
      <c r="AB26" s="12"/>
      <c r="AC26" s="14"/>
      <c r="AD26" s="14"/>
      <c r="AE26" s="13"/>
      <c r="AG26" s="782">
        <v>2</v>
      </c>
      <c r="AH26" s="2892" t="s">
        <v>782</v>
      </c>
      <c r="AI26" s="2893"/>
      <c r="AJ26" s="2893"/>
      <c r="AK26" s="2893"/>
      <c r="AL26" s="2893"/>
      <c r="AM26" s="2893"/>
      <c r="AN26" s="2893"/>
      <c r="AO26" s="2893"/>
      <c r="AP26" s="2893"/>
      <c r="AQ26" s="2893"/>
      <c r="AR26" s="2893"/>
      <c r="AS26" s="2893"/>
      <c r="AT26" s="2894"/>
      <c r="AU26" s="12"/>
      <c r="AV26" s="14"/>
      <c r="AW26" s="14"/>
      <c r="AX26" s="14"/>
      <c r="AY26" s="13"/>
    </row>
    <row r="27" spans="1:51" ht="15.6" customHeight="1">
      <c r="A27" s="782">
        <v>3</v>
      </c>
      <c r="B27" s="2892" t="s">
        <v>783</v>
      </c>
      <c r="C27" s="2893"/>
      <c r="D27" s="2893"/>
      <c r="E27" s="2893"/>
      <c r="F27" s="2894"/>
      <c r="G27" s="12"/>
      <c r="H27" s="14"/>
      <c r="I27" s="14"/>
      <c r="J27" s="14"/>
      <c r="K27" s="13"/>
      <c r="L27" s="12"/>
      <c r="M27" s="14"/>
      <c r="N27" s="14"/>
      <c r="O27" s="13"/>
      <c r="P27" s="12"/>
      <c r="Q27" s="14"/>
      <c r="R27" s="14"/>
      <c r="S27" s="13"/>
      <c r="T27" s="12"/>
      <c r="U27" s="14"/>
      <c r="V27" s="14"/>
      <c r="W27" s="13"/>
      <c r="X27" s="12"/>
      <c r="Y27" s="14"/>
      <c r="Z27" s="14"/>
      <c r="AA27" s="13"/>
      <c r="AB27" s="12"/>
      <c r="AC27" s="14"/>
      <c r="AD27" s="14"/>
      <c r="AE27" s="13"/>
      <c r="AG27" s="782">
        <v>3</v>
      </c>
      <c r="AH27" s="2892" t="s">
        <v>784</v>
      </c>
      <c r="AI27" s="2893"/>
      <c r="AJ27" s="2893"/>
      <c r="AK27" s="2893"/>
      <c r="AL27" s="2893"/>
      <c r="AM27" s="2893"/>
      <c r="AN27" s="2893"/>
      <c r="AO27" s="2893"/>
      <c r="AP27" s="2893"/>
      <c r="AQ27" s="2893"/>
      <c r="AR27" s="2893"/>
      <c r="AS27" s="2893"/>
      <c r="AT27" s="2894"/>
      <c r="AU27" s="12"/>
      <c r="AV27" s="14"/>
      <c r="AW27" s="14"/>
      <c r="AX27" s="14"/>
      <c r="AY27" s="13"/>
    </row>
    <row r="28" spans="1:51" ht="15.6" customHeight="1">
      <c r="A28" s="782">
        <v>4</v>
      </c>
      <c r="B28" s="2892" t="s">
        <v>785</v>
      </c>
      <c r="C28" s="2893"/>
      <c r="D28" s="2893"/>
      <c r="E28" s="2893"/>
      <c r="F28" s="2894"/>
      <c r="G28" s="12"/>
      <c r="H28" s="14"/>
      <c r="I28" s="14"/>
      <c r="J28" s="14"/>
      <c r="K28" s="13"/>
      <c r="L28" s="12"/>
      <c r="M28" s="14"/>
      <c r="N28" s="14"/>
      <c r="O28" s="13"/>
      <c r="P28" s="12"/>
      <c r="Q28" s="14"/>
      <c r="R28" s="14"/>
      <c r="S28" s="13"/>
      <c r="T28" s="12"/>
      <c r="U28" s="14"/>
      <c r="V28" s="14"/>
      <c r="W28" s="13"/>
      <c r="X28" s="12"/>
      <c r="Y28" s="14"/>
      <c r="Z28" s="14"/>
      <c r="AA28" s="13"/>
      <c r="AB28" s="12"/>
      <c r="AC28" s="14"/>
      <c r="AD28" s="14"/>
      <c r="AE28" s="13"/>
      <c r="AG28" s="782">
        <v>4</v>
      </c>
      <c r="AH28" s="2892" t="s">
        <v>713</v>
      </c>
      <c r="AI28" s="2893"/>
      <c r="AJ28" s="2893"/>
      <c r="AK28" s="2893"/>
      <c r="AL28" s="2893"/>
      <c r="AM28" s="2893"/>
      <c r="AN28" s="2893"/>
      <c r="AO28" s="2893"/>
      <c r="AP28" s="2893"/>
      <c r="AQ28" s="2893"/>
      <c r="AR28" s="2893"/>
      <c r="AS28" s="2893"/>
      <c r="AT28" s="2894"/>
      <c r="AU28" s="8"/>
      <c r="AV28" s="14"/>
      <c r="AW28" s="14"/>
      <c r="AX28" s="14"/>
      <c r="AY28" s="13"/>
    </row>
    <row r="29" spans="1:51" ht="15.6" customHeight="1">
      <c r="A29" s="782">
        <v>5</v>
      </c>
      <c r="B29" s="2892" t="s">
        <v>786</v>
      </c>
      <c r="C29" s="2893"/>
      <c r="D29" s="2893"/>
      <c r="E29" s="2893"/>
      <c r="F29" s="2894"/>
      <c r="G29" s="12"/>
      <c r="H29" s="14"/>
      <c r="I29" s="14"/>
      <c r="J29" s="14"/>
      <c r="K29" s="13"/>
      <c r="L29" s="12"/>
      <c r="M29" s="14"/>
      <c r="N29" s="14"/>
      <c r="O29" s="13"/>
      <c r="P29" s="12"/>
      <c r="Q29" s="14"/>
      <c r="R29" s="14"/>
      <c r="S29" s="13"/>
      <c r="T29" s="12"/>
      <c r="U29" s="14"/>
      <c r="V29" s="14"/>
      <c r="W29" s="13"/>
      <c r="X29" s="12"/>
      <c r="Y29" s="14"/>
      <c r="Z29" s="14"/>
      <c r="AA29" s="13"/>
      <c r="AB29" s="12"/>
      <c r="AC29" s="14"/>
      <c r="AD29" s="14"/>
      <c r="AE29" s="13"/>
      <c r="AG29" s="782">
        <v>5</v>
      </c>
      <c r="AH29" s="2892" t="s">
        <v>787</v>
      </c>
      <c r="AI29" s="2893"/>
      <c r="AJ29" s="2893"/>
      <c r="AK29" s="2893"/>
      <c r="AL29" s="2893"/>
      <c r="AM29" s="2893"/>
      <c r="AN29" s="2893"/>
      <c r="AO29" s="2893"/>
      <c r="AP29" s="2893"/>
      <c r="AQ29" s="2893"/>
      <c r="AR29" s="2893"/>
      <c r="AS29" s="2893"/>
      <c r="AT29" s="2894"/>
      <c r="AU29" s="8"/>
      <c r="AV29" s="14"/>
      <c r="AW29" s="14"/>
      <c r="AX29" s="14"/>
      <c r="AY29" s="13"/>
    </row>
    <row r="30" spans="1:51" ht="15.6" customHeight="1">
      <c r="A30" s="782">
        <v>6</v>
      </c>
      <c r="B30" s="2892" t="s">
        <v>788</v>
      </c>
      <c r="C30" s="2893"/>
      <c r="D30" s="2893"/>
      <c r="E30" s="2893"/>
      <c r="F30" s="2894"/>
      <c r="G30" s="12"/>
      <c r="H30" s="14"/>
      <c r="I30" s="14"/>
      <c r="J30" s="14"/>
      <c r="K30" s="13"/>
      <c r="L30" s="12"/>
      <c r="M30" s="14"/>
      <c r="N30" s="14"/>
      <c r="O30" s="13"/>
      <c r="P30" s="12"/>
      <c r="Q30" s="14"/>
      <c r="R30" s="14"/>
      <c r="S30" s="13"/>
      <c r="T30" s="12"/>
      <c r="U30" s="14"/>
      <c r="V30" s="14"/>
      <c r="W30" s="13"/>
      <c r="X30" s="12"/>
      <c r="Y30" s="14"/>
      <c r="Z30" s="14"/>
      <c r="AA30" s="13"/>
      <c r="AB30" s="12"/>
      <c r="AC30" s="14"/>
      <c r="AD30" s="14"/>
      <c r="AE30" s="13"/>
      <c r="AG30" s="782">
        <v>6</v>
      </c>
      <c r="AH30" s="2892" t="s">
        <v>789</v>
      </c>
      <c r="AI30" s="2893"/>
      <c r="AJ30" s="2893"/>
      <c r="AK30" s="2893"/>
      <c r="AL30" s="2893"/>
      <c r="AM30" s="2893"/>
      <c r="AN30" s="2893"/>
      <c r="AO30" s="2893"/>
      <c r="AP30" s="2893"/>
      <c r="AQ30" s="2893"/>
      <c r="AR30" s="2893"/>
      <c r="AS30" s="2893"/>
      <c r="AT30" s="2894"/>
      <c r="AU30" s="12"/>
      <c r="AV30" s="14"/>
      <c r="AW30" s="14"/>
      <c r="AX30" s="14"/>
      <c r="AY30" s="13"/>
    </row>
    <row r="31" spans="1:51" ht="15.6" customHeight="1">
      <c r="A31" s="782">
        <v>7</v>
      </c>
      <c r="B31" s="2892" t="s">
        <v>790</v>
      </c>
      <c r="C31" s="2893"/>
      <c r="D31" s="2893"/>
      <c r="E31" s="2893"/>
      <c r="F31" s="2894"/>
      <c r="G31" s="12"/>
      <c r="H31" s="14"/>
      <c r="I31" s="14"/>
      <c r="J31" s="14"/>
      <c r="K31" s="13"/>
      <c r="L31" s="12"/>
      <c r="M31" s="14"/>
      <c r="N31" s="14"/>
      <c r="O31" s="13"/>
      <c r="P31" s="12"/>
      <c r="Q31" s="14"/>
      <c r="R31" s="14"/>
      <c r="S31" s="13"/>
      <c r="T31" s="12"/>
      <c r="U31" s="14"/>
      <c r="V31" s="14"/>
      <c r="W31" s="13"/>
      <c r="X31" s="12"/>
      <c r="Y31" s="14"/>
      <c r="Z31" s="14"/>
      <c r="AA31" s="13"/>
      <c r="AB31" s="12"/>
      <c r="AC31" s="14"/>
      <c r="AD31" s="14"/>
      <c r="AE31" s="13"/>
      <c r="AG31" s="782">
        <v>7</v>
      </c>
      <c r="AH31" s="2892" t="s">
        <v>791</v>
      </c>
      <c r="AI31" s="2893"/>
      <c r="AJ31" s="2893"/>
      <c r="AK31" s="2893"/>
      <c r="AL31" s="2893"/>
      <c r="AM31" s="2893"/>
      <c r="AN31" s="2893"/>
      <c r="AO31" s="2893"/>
      <c r="AP31" s="2893"/>
      <c r="AQ31" s="2893"/>
      <c r="AR31" s="2893"/>
      <c r="AS31" s="2893"/>
      <c r="AT31" s="2894"/>
      <c r="AU31" s="12"/>
      <c r="AV31" s="14"/>
      <c r="AW31" s="14"/>
      <c r="AX31" s="14"/>
      <c r="AY31" s="13"/>
    </row>
    <row r="32" spans="1:51" ht="15.6" customHeight="1">
      <c r="A32" s="782">
        <v>8</v>
      </c>
      <c r="B32" s="2892" t="s">
        <v>792</v>
      </c>
      <c r="C32" s="2893"/>
      <c r="D32" s="2893"/>
      <c r="E32" s="2893"/>
      <c r="F32" s="2894"/>
      <c r="G32" s="12"/>
      <c r="H32" s="14"/>
      <c r="I32" s="14"/>
      <c r="J32" s="14"/>
      <c r="K32" s="13"/>
      <c r="L32" s="12"/>
      <c r="M32" s="14"/>
      <c r="N32" s="14"/>
      <c r="O32" s="13"/>
      <c r="P32" s="12"/>
      <c r="Q32" s="14"/>
      <c r="R32" s="14"/>
      <c r="S32" s="13"/>
      <c r="T32" s="12"/>
      <c r="U32" s="14"/>
      <c r="V32" s="14"/>
      <c r="W32" s="13"/>
      <c r="X32" s="12"/>
      <c r="Y32" s="14"/>
      <c r="Z32" s="14"/>
      <c r="AA32" s="13"/>
      <c r="AB32" s="12"/>
      <c r="AC32" s="14"/>
      <c r="AD32" s="14"/>
      <c r="AE32" s="13"/>
      <c r="AG32" s="782">
        <v>8</v>
      </c>
      <c r="AH32" s="2892" t="s">
        <v>793</v>
      </c>
      <c r="AI32" s="2893"/>
      <c r="AJ32" s="2893"/>
      <c r="AK32" s="2893"/>
      <c r="AL32" s="2893"/>
      <c r="AM32" s="2893"/>
      <c r="AN32" s="2893"/>
      <c r="AO32" s="2893"/>
      <c r="AP32" s="2893"/>
      <c r="AQ32" s="2893"/>
      <c r="AR32" s="2893"/>
      <c r="AS32" s="2893"/>
      <c r="AT32" s="2894"/>
      <c r="AU32" s="12"/>
      <c r="AV32" s="14"/>
      <c r="AW32" s="14"/>
      <c r="AX32" s="14"/>
      <c r="AY32" s="13"/>
    </row>
    <row r="33" spans="1:51" ht="15.6" customHeight="1">
      <c r="A33" s="782">
        <v>9</v>
      </c>
      <c r="B33" s="2892" t="s">
        <v>794</v>
      </c>
      <c r="C33" s="2893"/>
      <c r="D33" s="2893"/>
      <c r="E33" s="2893"/>
      <c r="F33" s="2894"/>
      <c r="G33" s="12"/>
      <c r="H33" s="14"/>
      <c r="I33" s="14"/>
      <c r="J33" s="14"/>
      <c r="K33" s="13"/>
      <c r="L33" s="12"/>
      <c r="M33" s="14"/>
      <c r="N33" s="14"/>
      <c r="O33" s="13"/>
      <c r="P33" s="12"/>
      <c r="Q33" s="14"/>
      <c r="R33" s="14"/>
      <c r="S33" s="13"/>
      <c r="T33" s="12"/>
      <c r="U33" s="14"/>
      <c r="V33" s="14"/>
      <c r="W33" s="13"/>
      <c r="X33" s="12"/>
      <c r="Y33" s="14"/>
      <c r="Z33" s="14"/>
      <c r="AA33" s="13"/>
      <c r="AB33" s="12"/>
      <c r="AC33" s="14"/>
      <c r="AD33" s="14"/>
      <c r="AE33" s="13"/>
      <c r="AG33" s="782">
        <v>9</v>
      </c>
      <c r="AH33" s="2892" t="s">
        <v>709</v>
      </c>
      <c r="AI33" s="2893"/>
      <c r="AJ33" s="2893"/>
      <c r="AK33" s="2893"/>
      <c r="AL33" s="2893"/>
      <c r="AM33" s="2893"/>
      <c r="AN33" s="2893"/>
      <c r="AO33" s="2893"/>
      <c r="AP33" s="2893"/>
      <c r="AQ33" s="2893"/>
      <c r="AR33" s="2893"/>
      <c r="AS33" s="2893"/>
      <c r="AT33" s="2894"/>
      <c r="AU33" s="12"/>
      <c r="AV33" s="14"/>
      <c r="AW33" s="14"/>
      <c r="AX33" s="14"/>
      <c r="AY33" s="13"/>
    </row>
    <row r="34" spans="1:51" ht="15.6" customHeight="1">
      <c r="A34" s="782">
        <v>10</v>
      </c>
      <c r="B34" s="2892" t="s">
        <v>795</v>
      </c>
      <c r="C34" s="2893"/>
      <c r="D34" s="2893"/>
      <c r="E34" s="2893"/>
      <c r="F34" s="2894"/>
      <c r="G34" s="12"/>
      <c r="H34" s="14"/>
      <c r="I34" s="14"/>
      <c r="J34" s="14"/>
      <c r="K34" s="13"/>
      <c r="L34" s="12"/>
      <c r="M34" s="14"/>
      <c r="N34" s="14"/>
      <c r="O34" s="13"/>
      <c r="P34" s="12"/>
      <c r="Q34" s="14"/>
      <c r="R34" s="14"/>
      <c r="S34" s="13"/>
      <c r="T34" s="12"/>
      <c r="U34" s="14"/>
      <c r="V34" s="14"/>
      <c r="W34" s="13"/>
      <c r="X34" s="12"/>
      <c r="Y34" s="14"/>
      <c r="Z34" s="14"/>
      <c r="AA34" s="13"/>
      <c r="AB34" s="12"/>
      <c r="AC34" s="14"/>
      <c r="AD34" s="14"/>
      <c r="AE34" s="13"/>
      <c r="AG34" s="781">
        <v>10</v>
      </c>
      <c r="AH34" s="2892" t="s">
        <v>796</v>
      </c>
      <c r="AI34" s="2893"/>
      <c r="AJ34" s="2893"/>
      <c r="AK34" s="2893"/>
      <c r="AL34" s="2893"/>
      <c r="AM34" s="2893"/>
      <c r="AN34" s="2893"/>
      <c r="AO34" s="2893"/>
      <c r="AP34" s="2893"/>
      <c r="AQ34" s="2893"/>
      <c r="AR34" s="2893"/>
      <c r="AS34" s="2893"/>
      <c r="AT34" s="2894"/>
      <c r="AU34" s="12"/>
      <c r="AV34" s="14"/>
      <c r="AW34" s="14"/>
      <c r="AX34" s="14"/>
      <c r="AY34" s="13"/>
    </row>
    <row r="35" spans="1:51" ht="15.6" customHeight="1">
      <c r="A35" s="782">
        <v>11</v>
      </c>
      <c r="B35" s="2892" t="s">
        <v>797</v>
      </c>
      <c r="C35" s="2893"/>
      <c r="D35" s="2893"/>
      <c r="E35" s="2893"/>
      <c r="F35" s="2894"/>
      <c r="G35" s="12"/>
      <c r="H35" s="14"/>
      <c r="I35" s="14"/>
      <c r="J35" s="14"/>
      <c r="K35" s="13"/>
      <c r="L35" s="12"/>
      <c r="M35" s="14"/>
      <c r="N35" s="14"/>
      <c r="O35" s="13"/>
      <c r="P35" s="12"/>
      <c r="Q35" s="14"/>
      <c r="R35" s="14"/>
      <c r="S35" s="13"/>
      <c r="T35" s="12"/>
      <c r="U35" s="14"/>
      <c r="V35" s="14"/>
      <c r="W35" s="13"/>
      <c r="X35" s="12"/>
      <c r="Y35" s="14"/>
      <c r="Z35" s="14"/>
      <c r="AA35" s="13"/>
      <c r="AB35" s="12"/>
      <c r="AC35" s="14"/>
      <c r="AD35" s="14"/>
      <c r="AE35" s="13"/>
      <c r="AG35" s="781">
        <v>11</v>
      </c>
      <c r="AH35" s="2892" t="s">
        <v>290</v>
      </c>
      <c r="AI35" s="2893"/>
      <c r="AJ35" s="2893"/>
      <c r="AK35" s="2893"/>
      <c r="AL35" s="2893"/>
      <c r="AM35" s="2893"/>
      <c r="AN35" s="2893"/>
      <c r="AO35" s="2893"/>
      <c r="AP35" s="2893"/>
      <c r="AQ35" s="2893"/>
      <c r="AR35" s="2893"/>
      <c r="AS35" s="2893"/>
      <c r="AT35" s="2894"/>
      <c r="AU35" s="8"/>
      <c r="AV35" s="9"/>
      <c r="AW35" s="9"/>
      <c r="AX35" s="9"/>
      <c r="AY35" s="10"/>
    </row>
    <row r="36" spans="1:51" ht="15.6" customHeight="1">
      <c r="A36" s="782">
        <v>12</v>
      </c>
      <c r="B36" s="2892" t="s">
        <v>798</v>
      </c>
      <c r="C36" s="2893"/>
      <c r="D36" s="2893"/>
      <c r="E36" s="2893"/>
      <c r="F36" s="2894"/>
      <c r="G36" s="12"/>
      <c r="H36" s="14"/>
      <c r="I36" s="14"/>
      <c r="J36" s="14"/>
      <c r="K36" s="13"/>
      <c r="L36" s="12"/>
      <c r="M36" s="14"/>
      <c r="N36" s="14"/>
      <c r="O36" s="13"/>
      <c r="P36" s="12"/>
      <c r="Q36" s="14" t="s">
        <v>799</v>
      </c>
      <c r="R36" s="14"/>
      <c r="S36" s="13"/>
      <c r="T36" s="12"/>
      <c r="U36" s="14"/>
      <c r="V36" s="14"/>
      <c r="W36" s="13"/>
      <c r="X36" s="12"/>
      <c r="Y36" s="14"/>
      <c r="Z36" s="14"/>
      <c r="AA36" s="13"/>
      <c r="AB36" s="12"/>
      <c r="AC36" s="14"/>
      <c r="AD36" s="14"/>
      <c r="AE36" s="13"/>
      <c r="AG36" s="781">
        <v>12</v>
      </c>
      <c r="AH36" s="2892" t="s">
        <v>800</v>
      </c>
      <c r="AI36" s="2893"/>
      <c r="AJ36" s="2893"/>
      <c r="AK36" s="2893"/>
      <c r="AL36" s="2893"/>
      <c r="AM36" s="2893"/>
      <c r="AN36" s="2893"/>
      <c r="AO36" s="2893"/>
      <c r="AP36" s="2893"/>
      <c r="AQ36" s="2893"/>
      <c r="AR36" s="2893"/>
      <c r="AS36" s="2893"/>
      <c r="AT36" s="2894"/>
      <c r="AU36" s="8"/>
      <c r="AV36" s="9"/>
      <c r="AW36" s="9"/>
      <c r="AX36" s="9"/>
      <c r="AY36" s="10"/>
    </row>
    <row r="37" spans="1:51" ht="13.15" customHeight="1">
      <c r="A37" s="2856">
        <v>13</v>
      </c>
      <c r="B37" s="2850" t="s">
        <v>1683</v>
      </c>
      <c r="C37" s="2851"/>
      <c r="D37" s="2851"/>
      <c r="E37" s="2851"/>
      <c r="F37" s="2852"/>
      <c r="G37" s="2878"/>
      <c r="H37" s="2879"/>
      <c r="I37" s="2879"/>
      <c r="J37" s="2879"/>
      <c r="K37" s="2880"/>
      <c r="L37" s="60"/>
      <c r="M37" s="1779"/>
      <c r="N37" s="1779"/>
      <c r="O37" s="57"/>
      <c r="P37" s="60"/>
      <c r="Q37" s="1779"/>
      <c r="R37" s="1779"/>
      <c r="S37" s="57"/>
      <c r="T37" s="60"/>
      <c r="U37" s="1779"/>
      <c r="V37" s="1779"/>
      <c r="W37" s="57"/>
      <c r="X37" s="60"/>
      <c r="Y37" s="1779"/>
      <c r="Z37" s="1779"/>
      <c r="AA37" s="57"/>
      <c r="AB37" s="60"/>
      <c r="AC37" s="1779"/>
      <c r="AD37" s="1779"/>
      <c r="AE37" s="57"/>
      <c r="AG37" s="2884">
        <v>13</v>
      </c>
      <c r="AH37" s="2858" t="s">
        <v>801</v>
      </c>
      <c r="AI37" s="2859"/>
      <c r="AJ37" s="2859"/>
      <c r="AK37" s="2859"/>
      <c r="AL37" s="2859"/>
      <c r="AM37" s="2859"/>
      <c r="AN37" s="2859"/>
      <c r="AO37" s="2859"/>
      <c r="AP37" s="2859"/>
      <c r="AQ37" s="2859"/>
      <c r="AR37" s="2859"/>
      <c r="AS37" s="2859"/>
      <c r="AT37" s="2860"/>
      <c r="AU37" s="6"/>
      <c r="AY37" s="5"/>
    </row>
    <row r="38" spans="1:51" ht="13.15" customHeight="1">
      <c r="A38" s="2857"/>
      <c r="B38" s="2853"/>
      <c r="C38" s="2854"/>
      <c r="D38" s="2854"/>
      <c r="E38" s="2854"/>
      <c r="F38" s="2855"/>
      <c r="G38" s="2881"/>
      <c r="H38" s="2882"/>
      <c r="I38" s="2882"/>
      <c r="J38" s="2882"/>
      <c r="K38" s="2883"/>
      <c r="L38" s="6"/>
      <c r="O38" s="5"/>
      <c r="P38" s="6"/>
      <c r="S38" s="5"/>
      <c r="T38" s="6"/>
      <c r="W38" s="5"/>
      <c r="X38" s="6"/>
      <c r="AA38" s="5"/>
      <c r="AB38" s="6"/>
      <c r="AE38" s="5"/>
      <c r="AG38" s="2885"/>
      <c r="AH38" s="2861"/>
      <c r="AI38" s="2862"/>
      <c r="AJ38" s="2862"/>
      <c r="AK38" s="2862"/>
      <c r="AL38" s="2862"/>
      <c r="AM38" s="2862"/>
      <c r="AN38" s="2862"/>
      <c r="AO38" s="2862"/>
      <c r="AP38" s="2862"/>
      <c r="AQ38" s="2862"/>
      <c r="AR38" s="2862"/>
      <c r="AS38" s="2862"/>
      <c r="AT38" s="2863"/>
      <c r="AU38" s="8"/>
      <c r="AV38" s="9"/>
      <c r="AW38" s="9"/>
      <c r="AX38" s="9"/>
      <c r="AY38" s="10"/>
    </row>
    <row r="39" spans="1:51" ht="13.15" customHeight="1">
      <c r="A39" s="2856">
        <v>14</v>
      </c>
      <c r="B39" s="2850" t="s">
        <v>1682</v>
      </c>
      <c r="C39" s="2851"/>
      <c r="D39" s="2851"/>
      <c r="E39" s="2851"/>
      <c r="F39" s="2852"/>
      <c r="G39" s="60"/>
      <c r="H39" s="1779"/>
      <c r="I39" s="1779"/>
      <c r="J39" s="1779"/>
      <c r="K39" s="57"/>
      <c r="L39" s="60"/>
      <c r="M39" s="1779"/>
      <c r="N39" s="1779"/>
      <c r="O39" s="57"/>
      <c r="P39" s="60"/>
      <c r="Q39" s="1779"/>
      <c r="R39" s="1779"/>
      <c r="S39" s="57"/>
      <c r="T39" s="60"/>
      <c r="U39" s="1779"/>
      <c r="V39" s="1779"/>
      <c r="W39" s="57"/>
      <c r="X39" s="60"/>
      <c r="Y39" s="1779"/>
      <c r="Z39" s="1779"/>
      <c r="AA39" s="57"/>
      <c r="AB39" s="60"/>
      <c r="AC39" s="1779"/>
      <c r="AD39" s="1779"/>
      <c r="AE39" s="57"/>
      <c r="AG39" s="1780">
        <v>99</v>
      </c>
      <c r="AH39" s="2898" t="s">
        <v>720</v>
      </c>
      <c r="AI39" s="2899"/>
      <c r="AJ39" s="2899"/>
      <c r="AK39" s="2899"/>
      <c r="AL39" s="2899"/>
      <c r="AM39" s="2899"/>
      <c r="AN39" s="2899"/>
      <c r="AO39" s="2899"/>
      <c r="AP39" s="2899"/>
      <c r="AQ39" s="2899"/>
      <c r="AR39" s="2899"/>
      <c r="AS39" s="2899"/>
      <c r="AT39" s="2900"/>
      <c r="AU39" s="6"/>
      <c r="AY39" s="5"/>
    </row>
    <row r="40" spans="1:51" ht="13.15" customHeight="1">
      <c r="A40" s="2857"/>
      <c r="B40" s="2853"/>
      <c r="C40" s="2854"/>
      <c r="D40" s="2854"/>
      <c r="E40" s="2854"/>
      <c r="F40" s="2855"/>
      <c r="G40" s="6"/>
      <c r="K40" s="5"/>
      <c r="L40" s="6"/>
      <c r="O40" s="5"/>
      <c r="P40" s="6"/>
      <c r="S40" s="5"/>
      <c r="T40" s="6"/>
      <c r="W40" s="5"/>
      <c r="X40" s="6"/>
      <c r="AA40" s="5"/>
      <c r="AB40" s="6"/>
      <c r="AE40" s="5"/>
      <c r="AG40" s="1781"/>
      <c r="AH40" s="265"/>
      <c r="AI40" s="265"/>
      <c r="AJ40" s="265"/>
      <c r="AK40" s="265"/>
      <c r="AL40" s="265"/>
      <c r="AM40" s="265"/>
      <c r="AN40" s="265"/>
      <c r="AO40" s="265"/>
      <c r="AP40" s="265"/>
      <c r="AQ40" s="265"/>
      <c r="AR40" s="265"/>
      <c r="AS40" s="265"/>
      <c r="AT40" s="265"/>
      <c r="AU40" s="1779"/>
      <c r="AV40" s="1779"/>
      <c r="AW40" s="1779"/>
      <c r="AX40" s="1779"/>
      <c r="AY40" s="1779"/>
    </row>
    <row r="41" spans="1:51" ht="13.15" customHeight="1">
      <c r="A41" s="2884">
        <v>15</v>
      </c>
      <c r="B41" s="2886" t="s">
        <v>1684</v>
      </c>
      <c r="C41" s="2887"/>
      <c r="D41" s="2887"/>
      <c r="E41" s="2887"/>
      <c r="F41" s="2888"/>
      <c r="G41" s="2878"/>
      <c r="H41" s="2879"/>
      <c r="I41" s="2879"/>
      <c r="J41" s="2879"/>
      <c r="K41" s="2880"/>
      <c r="L41" s="2878"/>
      <c r="M41" s="2879"/>
      <c r="N41" s="2879"/>
      <c r="O41" s="2880"/>
      <c r="P41" s="2878"/>
      <c r="Q41" s="2879"/>
      <c r="R41" s="2879"/>
      <c r="S41" s="2880"/>
      <c r="T41" s="2878"/>
      <c r="U41" s="2879"/>
      <c r="V41" s="2879"/>
      <c r="W41" s="2880"/>
      <c r="X41" s="2878"/>
      <c r="Y41" s="2879"/>
      <c r="Z41" s="2879"/>
      <c r="AA41" s="2880"/>
      <c r="AB41" s="2878"/>
      <c r="AC41" s="2879"/>
      <c r="AD41" s="2879"/>
      <c r="AE41" s="2880"/>
      <c r="AU41" s="2864"/>
      <c r="AV41" s="2865"/>
      <c r="AW41" s="2865"/>
      <c r="AX41" s="2865"/>
      <c r="AY41" s="2865"/>
    </row>
    <row r="42" spans="1:51" ht="13.15" customHeight="1">
      <c r="A42" s="2885"/>
      <c r="B42" s="2889"/>
      <c r="C42" s="2890"/>
      <c r="D42" s="2890"/>
      <c r="E42" s="2890"/>
      <c r="F42" s="2891"/>
      <c r="G42" s="2881"/>
      <c r="H42" s="2882"/>
      <c r="I42" s="2882"/>
      <c r="J42" s="2882"/>
      <c r="K42" s="2883"/>
      <c r="L42" s="2881"/>
      <c r="M42" s="2882"/>
      <c r="N42" s="2882"/>
      <c r="O42" s="2883"/>
      <c r="P42" s="2881"/>
      <c r="Q42" s="2882"/>
      <c r="R42" s="2882"/>
      <c r="S42" s="2883"/>
      <c r="T42" s="2881"/>
      <c r="U42" s="2882"/>
      <c r="V42" s="2882"/>
      <c r="W42" s="2883"/>
      <c r="X42" s="2881"/>
      <c r="Y42" s="2882"/>
      <c r="Z42" s="2882"/>
      <c r="AA42" s="2883"/>
      <c r="AB42" s="2881"/>
      <c r="AC42" s="2882"/>
      <c r="AD42" s="2882"/>
      <c r="AE42" s="2883"/>
      <c r="AU42" s="2865"/>
      <c r="AV42" s="2865"/>
      <c r="AW42" s="2865"/>
      <c r="AX42" s="2865"/>
      <c r="AY42" s="2865"/>
    </row>
    <row r="43" spans="1:51" ht="15.6" customHeight="1">
      <c r="A43" s="48">
        <v>99</v>
      </c>
      <c r="B43" s="2895" t="s">
        <v>183</v>
      </c>
      <c r="C43" s="2896"/>
      <c r="D43" s="2896"/>
      <c r="E43" s="2896"/>
      <c r="F43" s="2897"/>
      <c r="G43" s="12"/>
      <c r="H43" s="14"/>
      <c r="I43" s="2923" t="s">
        <v>802</v>
      </c>
      <c r="J43" s="2923"/>
      <c r="K43" s="13"/>
      <c r="L43" s="12"/>
      <c r="M43" s="14"/>
      <c r="N43" s="14"/>
      <c r="O43" s="13"/>
      <c r="P43" s="12"/>
      <c r="Q43" s="14"/>
      <c r="R43" s="14"/>
      <c r="S43" s="13"/>
      <c r="T43" s="12"/>
      <c r="U43" s="14"/>
      <c r="V43" s="14"/>
      <c r="W43" s="13"/>
      <c r="X43" s="12"/>
      <c r="Y43" s="14"/>
      <c r="Z43" s="14"/>
      <c r="AA43" s="13"/>
      <c r="AB43" s="12"/>
      <c r="AC43" s="14"/>
      <c r="AD43" s="14"/>
      <c r="AE43" s="13"/>
    </row>
  </sheetData>
  <customSheetViews>
    <customSheetView guid="{77361B37-359A-4BD7-AABE-B5C029043447}" scale="145" showPageBreaks="1" showGridLines="0" topLeftCell="A28">
      <selection activeCell="A11" sqref="A11:AE20"/>
      <rowBreaks count="1" manualBreakCount="1">
        <brk id="36" max="16383" man="1"/>
      </rowBreaks>
      <pageMargins left="0" right="0" top="0" bottom="0" header="0" footer="0"/>
      <pageSetup paperSize="9" scale="95" orientation="landscape" verticalDpi="300" r:id="rId1"/>
      <headerFooter alignWithMargins="0">
        <oddFooter>&amp;C&amp;P</oddFooter>
      </headerFooter>
    </customSheetView>
  </customSheetViews>
  <mergeCells count="81">
    <mergeCell ref="I43:J43"/>
    <mergeCell ref="L16:O24"/>
    <mergeCell ref="AW12:AY12"/>
    <mergeCell ref="X22:AA23"/>
    <mergeCell ref="AB22:AE23"/>
    <mergeCell ref="P24:AE24"/>
    <mergeCell ref="P16:S16"/>
    <mergeCell ref="T16:W16"/>
    <mergeCell ref="X16:AE16"/>
    <mergeCell ref="AU15:AY15"/>
    <mergeCell ref="L15:O15"/>
    <mergeCell ref="P15:AE15"/>
    <mergeCell ref="T41:W42"/>
    <mergeCell ref="X41:AA42"/>
    <mergeCell ref="AB41:AE42"/>
    <mergeCell ref="AG37:AG38"/>
    <mergeCell ref="A5:B5"/>
    <mergeCell ref="B15:F24"/>
    <mergeCell ref="A14:AE14"/>
    <mergeCell ref="C5:W5"/>
    <mergeCell ref="A12:B12"/>
    <mergeCell ref="A15:A24"/>
    <mergeCell ref="G15:J15"/>
    <mergeCell ref="AB20:AE20"/>
    <mergeCell ref="X20:AA20"/>
    <mergeCell ref="T17:W20"/>
    <mergeCell ref="P17:S20"/>
    <mergeCell ref="V12:Y12"/>
    <mergeCell ref="C12:S12"/>
    <mergeCell ref="AB12:AU12"/>
    <mergeCell ref="X18:AE19"/>
    <mergeCell ref="AB5:AY5"/>
    <mergeCell ref="Z5:AA5"/>
    <mergeCell ref="Z12:AA12"/>
    <mergeCell ref="AG14:AY14"/>
    <mergeCell ref="AG15:AG24"/>
    <mergeCell ref="AH15:AT24"/>
    <mergeCell ref="AB21:AE21"/>
    <mergeCell ref="X17:AE17"/>
    <mergeCell ref="B25:F25"/>
    <mergeCell ref="B26:F26"/>
    <mergeCell ref="B27:F27"/>
    <mergeCell ref="B28:F28"/>
    <mergeCell ref="B29:F29"/>
    <mergeCell ref="B30:F30"/>
    <mergeCell ref="B31:F31"/>
    <mergeCell ref="B32:F32"/>
    <mergeCell ref="B33:F33"/>
    <mergeCell ref="B34:F34"/>
    <mergeCell ref="B35:F35"/>
    <mergeCell ref="B36:F36"/>
    <mergeCell ref="B43:F43"/>
    <mergeCell ref="AH25:AT25"/>
    <mergeCell ref="AH26:AT26"/>
    <mergeCell ref="AH27:AT27"/>
    <mergeCell ref="AH28:AT28"/>
    <mergeCell ref="AH29:AT29"/>
    <mergeCell ref="AH30:AT30"/>
    <mergeCell ref="AH31:AT31"/>
    <mergeCell ref="AH32:AT32"/>
    <mergeCell ref="AH33:AT33"/>
    <mergeCell ref="AH34:AT34"/>
    <mergeCell ref="AH35:AT35"/>
    <mergeCell ref="AH36:AT36"/>
    <mergeCell ref="AH39:AT39"/>
    <mergeCell ref="A41:A42"/>
    <mergeCell ref="B41:F42"/>
    <mergeCell ref="G41:K42"/>
    <mergeCell ref="L41:O42"/>
    <mergeCell ref="P41:S42"/>
    <mergeCell ref="AU41:AY42"/>
    <mergeCell ref="G23:K24"/>
    <mergeCell ref="G16:K20"/>
    <mergeCell ref="AU16:AY21"/>
    <mergeCell ref="AU22:AY23"/>
    <mergeCell ref="G37:K38"/>
    <mergeCell ref="B37:F38"/>
    <mergeCell ref="B39:F40"/>
    <mergeCell ref="A37:A38"/>
    <mergeCell ref="A39:A40"/>
    <mergeCell ref="AH37:AT38"/>
  </mergeCells>
  <phoneticPr fontId="0" type="noConversion"/>
  <pageMargins left="0.45" right="0.45" top="0.75" bottom="0.5" header="0.3" footer="0.3"/>
  <pageSetup paperSize="9" scale="85" orientation="landscape" r:id="rId2"/>
  <headerFooter alignWithMargins="0">
    <oddFooter>&amp;C&amp;P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AV45"/>
  <sheetViews>
    <sheetView showGridLines="0" view="pageBreakPreview" zoomScaleSheetLayoutView="100" workbookViewId="0">
      <selection activeCell="J12" sqref="J12"/>
    </sheetView>
  </sheetViews>
  <sheetFormatPr defaultColWidth="9.140625" defaultRowHeight="12.75"/>
  <cols>
    <col min="1" max="1" width="6.42578125" style="403" customWidth="1"/>
    <col min="2" max="2" width="7.28515625" style="72" customWidth="1"/>
    <col min="3" max="3" width="3.42578125" style="72" customWidth="1"/>
    <col min="4" max="4" width="2.7109375" style="73" customWidth="1"/>
    <col min="5" max="6" width="3.42578125" style="71" customWidth="1"/>
    <col min="7" max="7" width="4.5703125" style="71" customWidth="1"/>
    <col min="8" max="8" width="3.42578125" style="72" customWidth="1"/>
    <col min="9" max="9" width="3.140625" style="72" customWidth="1"/>
    <col min="10" max="10" width="2.42578125" style="72" customWidth="1"/>
    <col min="11" max="11" width="3" style="72" customWidth="1"/>
    <col min="12" max="13" width="3.42578125" style="73" customWidth="1"/>
    <col min="14" max="14" width="2.42578125" style="73" customWidth="1"/>
    <col min="15" max="19" width="3.42578125" style="73" customWidth="1"/>
    <col min="20" max="20" width="3.42578125" style="72" customWidth="1"/>
    <col min="21" max="21" width="3.42578125" style="73" customWidth="1"/>
    <col min="22" max="22" width="4.42578125" style="73" customWidth="1"/>
    <col min="23" max="23" width="9.140625" style="73" customWidth="1"/>
    <col min="24" max="24" width="7" style="73" customWidth="1"/>
    <col min="25" max="26" width="3.5703125" style="73" customWidth="1"/>
    <col min="27" max="27" width="3.42578125" style="73" customWidth="1"/>
    <col min="28" max="28" width="2.85546875" style="73" customWidth="1"/>
    <col min="29" max="29" width="2.85546875" style="72" customWidth="1"/>
    <col min="30" max="32" width="2.85546875" style="73" customWidth="1"/>
    <col min="33" max="34" width="3.5703125" style="73" customWidth="1"/>
    <col min="35" max="35" width="3.7109375" style="73" customWidth="1"/>
    <col min="36" max="36" width="2.85546875" style="73" customWidth="1"/>
    <col min="37" max="40" width="2.85546875" style="72" customWidth="1"/>
    <col min="41" max="42" width="3.5703125" style="72" customWidth="1"/>
    <col min="43" max="43" width="3.7109375" style="72" customWidth="1"/>
    <col min="44" max="48" width="2.85546875" style="72" customWidth="1"/>
    <col min="49" max="53" width="2.7109375" style="72" customWidth="1"/>
    <col min="54" max="16384" width="9.140625" style="72"/>
  </cols>
  <sheetData>
    <row r="1" spans="1:48" s="63" customFormat="1" ht="15.75">
      <c r="A1" s="61" t="s">
        <v>803</v>
      </c>
      <c r="B1" s="62"/>
      <c r="C1" s="62"/>
      <c r="D1" s="62"/>
      <c r="E1" s="62"/>
      <c r="F1" s="62"/>
      <c r="G1" s="62"/>
      <c r="H1" s="62"/>
      <c r="J1" s="64"/>
      <c r="K1" s="64"/>
      <c r="L1" s="65"/>
      <c r="M1" s="65"/>
      <c r="N1" s="65"/>
      <c r="O1" s="65"/>
      <c r="P1" s="65"/>
      <c r="Q1" s="65"/>
      <c r="R1" s="65"/>
      <c r="S1" s="65"/>
      <c r="T1" s="65"/>
      <c r="U1" s="65"/>
      <c r="V1" s="65"/>
      <c r="W1" s="65"/>
      <c r="X1" s="65"/>
      <c r="Y1" s="65"/>
      <c r="Z1" s="65"/>
      <c r="AA1" s="65"/>
      <c r="AB1" s="65"/>
      <c r="AC1" s="65"/>
      <c r="AD1" s="65"/>
      <c r="AE1" s="65"/>
      <c r="AF1" s="65"/>
      <c r="AG1" s="65"/>
      <c r="AH1" s="65"/>
      <c r="AI1" s="65"/>
      <c r="AJ1" s="65"/>
    </row>
    <row r="2" spans="1:48" s="63" customFormat="1" ht="3" customHeight="1">
      <c r="A2" s="402"/>
      <c r="B2" s="62"/>
      <c r="C2" s="62"/>
      <c r="D2" s="62"/>
      <c r="E2" s="62"/>
      <c r="F2" s="62"/>
      <c r="G2" s="62"/>
      <c r="H2" s="62"/>
      <c r="I2" s="62"/>
      <c r="J2" s="66"/>
      <c r="L2" s="67"/>
      <c r="M2" s="67"/>
      <c r="N2" s="67"/>
      <c r="O2" s="67"/>
      <c r="P2" s="67"/>
      <c r="Q2" s="67"/>
      <c r="R2" s="67"/>
      <c r="S2" s="67"/>
      <c r="T2" s="67"/>
      <c r="U2" s="67"/>
      <c r="V2" s="67"/>
      <c r="W2" s="67"/>
      <c r="X2" s="67"/>
      <c r="Y2" s="67"/>
      <c r="Z2" s="67"/>
      <c r="AA2" s="67"/>
      <c r="AB2" s="67"/>
      <c r="AC2" s="67"/>
      <c r="AG2" s="68"/>
      <c r="AH2" s="68"/>
      <c r="AI2" s="73"/>
      <c r="AJ2" s="69"/>
      <c r="AO2" s="67"/>
      <c r="AP2" s="67"/>
    </row>
    <row r="3" spans="1:48" ht="11.25">
      <c r="A3" s="1595" t="s">
        <v>62</v>
      </c>
      <c r="AV3" s="1596" t="s">
        <v>63</v>
      </c>
    </row>
    <row r="4" spans="1:48" ht="5.25" customHeight="1">
      <c r="A4" s="71"/>
      <c r="AV4" s="1596"/>
    </row>
    <row r="5" spans="1:48">
      <c r="A5" s="1043">
        <v>-7.01</v>
      </c>
      <c r="B5" s="158" t="s">
        <v>804</v>
      </c>
      <c r="C5" s="71"/>
      <c r="D5" s="71"/>
      <c r="H5" s="71"/>
      <c r="I5" s="71"/>
      <c r="Y5" s="2973">
        <f>A5-0.01</f>
        <v>-7.02</v>
      </c>
      <c r="Z5" s="2973"/>
      <c r="AA5" s="87" t="s">
        <v>805</v>
      </c>
      <c r="AO5" s="73"/>
      <c r="AP5" s="73"/>
      <c r="AU5" s="74"/>
      <c r="AV5" s="75"/>
    </row>
    <row r="6" spans="1:48" ht="7.5" customHeight="1">
      <c r="A6" s="70"/>
      <c r="B6" s="71"/>
      <c r="C6" s="71"/>
      <c r="D6" s="71"/>
      <c r="F6" s="2"/>
      <c r="AO6" s="73"/>
      <c r="AP6" s="73"/>
    </row>
    <row r="7" spans="1:48">
      <c r="A7" s="70"/>
      <c r="B7" s="71"/>
      <c r="C7" s="71"/>
      <c r="D7" s="71"/>
      <c r="F7" s="2"/>
      <c r="G7" s="560" t="s">
        <v>104</v>
      </c>
      <c r="H7" s="560"/>
      <c r="I7" s="561">
        <v>1</v>
      </c>
      <c r="J7" s="560"/>
      <c r="K7" s="20"/>
      <c r="L7" s="404"/>
      <c r="M7" s="405"/>
      <c r="P7" s="1045"/>
      <c r="Q7" s="1046"/>
      <c r="AO7" s="73"/>
      <c r="AP7" s="73"/>
    </row>
    <row r="8" spans="1:48" s="1767" customFormat="1">
      <c r="A8" s="1764"/>
      <c r="B8" s="1765"/>
      <c r="C8" s="1765"/>
      <c r="D8" s="1765"/>
      <c r="E8" s="1765"/>
      <c r="F8" s="4"/>
      <c r="G8" s="560" t="s">
        <v>108</v>
      </c>
      <c r="H8" s="560"/>
      <c r="I8" s="561">
        <v>2</v>
      </c>
      <c r="J8" s="718" t="s">
        <v>91</v>
      </c>
      <c r="K8" s="1772" t="s">
        <v>806</v>
      </c>
      <c r="L8" s="1773"/>
      <c r="M8" s="1774"/>
      <c r="N8" s="1766"/>
      <c r="O8" s="1766"/>
      <c r="P8" s="1766"/>
      <c r="Q8" s="1766"/>
      <c r="R8" s="1766"/>
      <c r="S8" s="1766"/>
      <c r="U8" s="1766"/>
      <c r="V8" s="1766"/>
      <c r="W8" s="1766"/>
      <c r="X8" s="1766"/>
      <c r="Y8" s="2971" t="s">
        <v>807</v>
      </c>
      <c r="Z8" s="2971"/>
      <c r="AA8" s="2971"/>
      <c r="AB8" s="2971"/>
      <c r="AC8" s="2971"/>
      <c r="AD8" s="2971"/>
      <c r="AE8" s="2971"/>
      <c r="AF8" s="2971"/>
      <c r="AG8" s="2971" t="s">
        <v>808</v>
      </c>
      <c r="AH8" s="2971"/>
      <c r="AI8" s="2971"/>
      <c r="AJ8" s="2971"/>
      <c r="AK8" s="2971"/>
      <c r="AL8" s="2971"/>
      <c r="AM8" s="2971"/>
      <c r="AN8" s="2971"/>
      <c r="AO8" s="2971" t="s">
        <v>809</v>
      </c>
      <c r="AP8" s="2971"/>
      <c r="AQ8" s="2971"/>
      <c r="AR8" s="2971"/>
      <c r="AS8" s="2971"/>
      <c r="AT8" s="2971"/>
      <c r="AU8" s="2971"/>
      <c r="AV8" s="2971"/>
    </row>
    <row r="9" spans="1:48" s="1767" customFormat="1" ht="12">
      <c r="A9" s="1768"/>
      <c r="B9" s="1769"/>
      <c r="C9" s="1769"/>
      <c r="D9" s="1769"/>
      <c r="E9" s="1765"/>
      <c r="F9" s="1770"/>
      <c r="M9" s="1771"/>
      <c r="N9" s="1771"/>
      <c r="O9" s="1766"/>
      <c r="P9" s="1766"/>
      <c r="Q9" s="1766"/>
      <c r="R9" s="1766"/>
      <c r="S9" s="1766"/>
      <c r="U9" s="1766"/>
      <c r="V9" s="1766"/>
      <c r="W9" s="1766"/>
      <c r="X9" s="1771"/>
      <c r="Y9" s="2972"/>
      <c r="Z9" s="2972"/>
      <c r="AA9" s="2972"/>
      <c r="AB9" s="2972"/>
      <c r="AC9" s="2972"/>
      <c r="AD9" s="2972"/>
      <c r="AE9" s="2972"/>
      <c r="AF9" s="2972"/>
      <c r="AG9" s="2972"/>
      <c r="AH9" s="2972"/>
      <c r="AI9" s="2972"/>
      <c r="AJ9" s="2972"/>
      <c r="AK9" s="2972"/>
      <c r="AL9" s="2972"/>
      <c r="AM9" s="2972"/>
      <c r="AN9" s="2972"/>
      <c r="AO9" s="2972"/>
      <c r="AP9" s="2972"/>
      <c r="AQ9" s="2972"/>
      <c r="AR9" s="2972"/>
      <c r="AS9" s="2972"/>
      <c r="AT9" s="2972"/>
      <c r="AU9" s="2972"/>
      <c r="AV9" s="2972"/>
    </row>
    <row r="10" spans="1:48" ht="11.25" customHeight="1">
      <c r="A10" s="2941">
        <f>Y5-0.01</f>
        <v>-7.0299999999999994</v>
      </c>
      <c r="B10" s="2962" t="s">
        <v>810</v>
      </c>
      <c r="C10" s="2962"/>
      <c r="D10" s="2962"/>
      <c r="E10" s="2962"/>
      <c r="F10" s="2962"/>
      <c r="G10" s="2962"/>
      <c r="H10" s="2962"/>
      <c r="I10" s="2962"/>
      <c r="J10" s="2962"/>
      <c r="K10" s="2962"/>
      <c r="L10" s="2962"/>
      <c r="M10" s="2962"/>
      <c r="N10" s="2962"/>
      <c r="O10" s="2962"/>
      <c r="P10" s="2962"/>
      <c r="Q10" s="2962"/>
      <c r="R10" s="2962"/>
      <c r="S10" s="2962"/>
      <c r="T10" s="2962"/>
      <c r="U10" s="2962"/>
      <c r="V10" s="2962"/>
      <c r="W10" s="2962"/>
      <c r="X10" s="2963"/>
      <c r="Y10" s="2974"/>
      <c r="Z10" s="2975"/>
      <c r="AA10" s="2975"/>
      <c r="AB10" s="2975"/>
      <c r="AC10" s="2975"/>
      <c r="AD10" s="2975"/>
      <c r="AE10" s="2975"/>
      <c r="AF10" s="2976"/>
      <c r="AG10" s="2974"/>
      <c r="AH10" s="2975"/>
      <c r="AI10" s="2975"/>
      <c r="AJ10" s="2975"/>
      <c r="AK10" s="2975"/>
      <c r="AL10" s="2975"/>
      <c r="AM10" s="2975"/>
      <c r="AN10" s="2976"/>
      <c r="AO10" s="2974"/>
      <c r="AP10" s="2975"/>
      <c r="AQ10" s="2975"/>
      <c r="AR10" s="2975"/>
      <c r="AS10" s="2975"/>
      <c r="AT10" s="2975"/>
      <c r="AU10" s="2975"/>
      <c r="AV10" s="2976"/>
    </row>
    <row r="11" spans="1:48" ht="13.5" customHeight="1">
      <c r="A11" s="2942"/>
      <c r="B11" s="2964"/>
      <c r="C11" s="2964"/>
      <c r="D11" s="2964"/>
      <c r="E11" s="2964"/>
      <c r="F11" s="2964"/>
      <c r="G11" s="2964"/>
      <c r="H11" s="2964"/>
      <c r="I11" s="2964"/>
      <c r="J11" s="2964"/>
      <c r="K11" s="2964"/>
      <c r="L11" s="2964"/>
      <c r="M11" s="2964"/>
      <c r="N11" s="2964"/>
      <c r="O11" s="2964"/>
      <c r="P11" s="2964"/>
      <c r="Q11" s="2964"/>
      <c r="R11" s="2964"/>
      <c r="S11" s="2964"/>
      <c r="T11" s="2964"/>
      <c r="U11" s="2964"/>
      <c r="V11" s="2964"/>
      <c r="W11" s="2964"/>
      <c r="X11" s="2965"/>
      <c r="Y11" s="855" t="s">
        <v>811</v>
      </c>
      <c r="Z11" s="91"/>
      <c r="AA11" s="2951"/>
      <c r="AB11" s="2952"/>
      <c r="AC11" s="2948"/>
      <c r="AD11" s="2949"/>
      <c r="AE11" s="2948"/>
      <c r="AF11" s="2950"/>
      <c r="AG11" s="855" t="s">
        <v>811</v>
      </c>
      <c r="AH11" s="91"/>
      <c r="AI11" s="2951"/>
      <c r="AJ11" s="2952"/>
      <c r="AK11" s="2948"/>
      <c r="AL11" s="2949"/>
      <c r="AM11" s="2948"/>
      <c r="AN11" s="2950"/>
      <c r="AO11" s="855" t="s">
        <v>811</v>
      </c>
      <c r="AP11" s="91"/>
      <c r="AQ11" s="2951"/>
      <c r="AR11" s="2952"/>
      <c r="AS11" s="2948"/>
      <c r="AT11" s="2949"/>
      <c r="AU11" s="2948"/>
      <c r="AV11" s="2950"/>
    </row>
    <row r="12" spans="1:48" ht="15.6" customHeight="1">
      <c r="A12" s="1754">
        <f>A10-0.01</f>
        <v>-7.0399999999999991</v>
      </c>
      <c r="B12" s="76" t="s">
        <v>812</v>
      </c>
      <c r="C12" s="76"/>
      <c r="D12" s="76"/>
      <c r="E12" s="77"/>
      <c r="F12" s="77"/>
      <c r="G12" s="77"/>
      <c r="H12" s="49"/>
      <c r="I12" s="49"/>
      <c r="J12" s="49"/>
      <c r="K12" s="76"/>
      <c r="L12" s="1044"/>
      <c r="M12" s="1044"/>
      <c r="N12" s="1044"/>
      <c r="O12" s="1044"/>
      <c r="P12" s="76"/>
      <c r="Q12" s="76"/>
      <c r="R12" s="1044"/>
      <c r="S12" s="1044"/>
      <c r="T12" s="76"/>
      <c r="U12" s="1044"/>
      <c r="V12" s="1044"/>
      <c r="W12" s="1044"/>
      <c r="X12" s="1044"/>
      <c r="Y12" s="2958" t="s">
        <v>813</v>
      </c>
      <c r="Z12" s="2959"/>
      <c r="AA12" s="389"/>
      <c r="AB12" s="389"/>
      <c r="AC12" s="78"/>
      <c r="AD12" s="389"/>
      <c r="AE12" s="389"/>
      <c r="AF12" s="390"/>
      <c r="AG12" s="2958" t="s">
        <v>813</v>
      </c>
      <c r="AH12" s="2959"/>
      <c r="AI12" s="389"/>
      <c r="AJ12" s="389"/>
      <c r="AK12" s="78"/>
      <c r="AL12" s="389"/>
      <c r="AM12" s="389"/>
      <c r="AN12" s="390"/>
      <c r="AO12" s="2958" t="s">
        <v>813</v>
      </c>
      <c r="AP12" s="2959"/>
      <c r="AQ12" s="389"/>
      <c r="AR12" s="389"/>
      <c r="AS12" s="78"/>
      <c r="AT12" s="389"/>
      <c r="AU12" s="389"/>
      <c r="AV12" s="390"/>
    </row>
    <row r="13" spans="1:48" ht="15.6" customHeight="1">
      <c r="A13" s="1754">
        <f>A12-0.01</f>
        <v>-7.0499999999999989</v>
      </c>
      <c r="B13" s="76" t="s">
        <v>814</v>
      </c>
      <c r="C13" s="76"/>
      <c r="D13" s="76"/>
      <c r="E13" s="76"/>
      <c r="F13" s="76"/>
      <c r="G13" s="76"/>
      <c r="H13" s="76"/>
      <c r="I13" s="76"/>
      <c r="J13" s="77"/>
      <c r="K13" s="1044"/>
      <c r="L13" s="79"/>
      <c r="M13" s="1044"/>
      <c r="N13" s="1044"/>
      <c r="O13" s="76"/>
      <c r="P13" s="76"/>
      <c r="Q13" s="76"/>
      <c r="R13" s="1044"/>
      <c r="S13" s="1044"/>
      <c r="T13" s="76"/>
      <c r="U13" s="1044"/>
      <c r="V13" s="1044"/>
      <c r="W13" s="1044"/>
      <c r="X13" s="1044"/>
      <c r="Y13" s="2958" t="s">
        <v>815</v>
      </c>
      <c r="Z13" s="2959"/>
      <c r="AA13" s="389"/>
      <c r="AB13" s="389"/>
      <c r="AC13" s="78"/>
      <c r="AD13" s="389"/>
      <c r="AE13" s="389"/>
      <c r="AF13" s="390"/>
      <c r="AG13" s="2958" t="s">
        <v>815</v>
      </c>
      <c r="AH13" s="2959"/>
      <c r="AI13" s="389"/>
      <c r="AJ13" s="389"/>
      <c r="AK13" s="78"/>
      <c r="AL13" s="389"/>
      <c r="AM13" s="389"/>
      <c r="AN13" s="390"/>
      <c r="AO13" s="2958" t="s">
        <v>815</v>
      </c>
      <c r="AP13" s="2959"/>
      <c r="AQ13" s="389"/>
      <c r="AR13" s="389"/>
      <c r="AS13" s="78"/>
      <c r="AT13" s="389"/>
      <c r="AU13" s="389"/>
      <c r="AV13" s="390"/>
    </row>
    <row r="14" spans="1:48" ht="15.6" customHeight="1">
      <c r="A14" s="1754">
        <f>A13-0.01</f>
        <v>-7.0599999999999987</v>
      </c>
      <c r="B14" s="76" t="s">
        <v>816</v>
      </c>
      <c r="C14" s="76"/>
      <c r="D14" s="76"/>
      <c r="E14" s="76"/>
      <c r="F14" s="76"/>
      <c r="G14" s="76"/>
      <c r="H14" s="76"/>
      <c r="I14" s="76"/>
      <c r="J14" s="76"/>
      <c r="K14" s="76"/>
      <c r="L14" s="1044"/>
      <c r="M14" s="1044"/>
      <c r="N14" s="1044"/>
      <c r="O14" s="76"/>
      <c r="P14" s="76"/>
      <c r="Q14" s="76"/>
      <c r="R14" s="1044"/>
      <c r="S14" s="1044"/>
      <c r="T14" s="76"/>
      <c r="U14" s="1044"/>
      <c r="V14" s="1044"/>
      <c r="W14" s="1044"/>
      <c r="X14" s="1044"/>
      <c r="Y14" s="2958" t="s">
        <v>815</v>
      </c>
      <c r="Z14" s="2959"/>
      <c r="AA14" s="389"/>
      <c r="AB14" s="389"/>
      <c r="AC14" s="78"/>
      <c r="AD14" s="389"/>
      <c r="AE14" s="389"/>
      <c r="AF14" s="390"/>
      <c r="AG14" s="2958" t="s">
        <v>815</v>
      </c>
      <c r="AH14" s="2959"/>
      <c r="AI14" s="389"/>
      <c r="AJ14" s="389"/>
      <c r="AK14" s="78"/>
      <c r="AL14" s="389"/>
      <c r="AM14" s="389"/>
      <c r="AN14" s="390"/>
      <c r="AO14" s="2958" t="s">
        <v>815</v>
      </c>
      <c r="AP14" s="2959"/>
      <c r="AQ14" s="389"/>
      <c r="AR14" s="389"/>
      <c r="AS14" s="78"/>
      <c r="AT14" s="389"/>
      <c r="AU14" s="389"/>
      <c r="AV14" s="390"/>
    </row>
    <row r="15" spans="1:48" ht="12.6" customHeight="1">
      <c r="A15" s="2945" t="s">
        <v>817</v>
      </c>
      <c r="B15" s="2946"/>
      <c r="C15" s="2946"/>
      <c r="D15" s="2946"/>
      <c r="E15" s="2946"/>
      <c r="F15" s="2946"/>
      <c r="G15" s="2946"/>
      <c r="H15" s="2946"/>
      <c r="I15" s="2946"/>
      <c r="J15" s="2946"/>
      <c r="K15" s="2946"/>
      <c r="L15" s="2946"/>
      <c r="M15" s="2946"/>
      <c r="N15" s="2946"/>
      <c r="O15" s="2946"/>
      <c r="P15" s="2946"/>
      <c r="Q15" s="2946"/>
      <c r="R15" s="2946"/>
      <c r="S15" s="2946"/>
      <c r="T15" s="2946"/>
      <c r="U15" s="2946"/>
      <c r="V15" s="2946"/>
      <c r="W15" s="2946"/>
      <c r="X15" s="2946"/>
      <c r="Y15" s="2946"/>
      <c r="Z15" s="2946"/>
      <c r="AA15" s="2946"/>
      <c r="AB15" s="2946"/>
      <c r="AC15" s="2946"/>
      <c r="AD15" s="2946"/>
      <c r="AE15" s="2946"/>
      <c r="AF15" s="2946"/>
      <c r="AG15" s="2946"/>
      <c r="AH15" s="2946"/>
      <c r="AI15" s="2946"/>
      <c r="AJ15" s="2946"/>
      <c r="AK15" s="2946"/>
      <c r="AL15" s="2946"/>
      <c r="AM15" s="2946"/>
      <c r="AN15" s="2946"/>
      <c r="AO15" s="2946"/>
      <c r="AP15" s="2946"/>
      <c r="AQ15" s="2946"/>
      <c r="AR15" s="2946"/>
      <c r="AS15" s="2946"/>
      <c r="AT15" s="2946"/>
      <c r="AU15" s="2946"/>
      <c r="AV15" s="2947"/>
    </row>
    <row r="16" spans="1:48" ht="15.6" customHeight="1">
      <c r="A16" s="1755">
        <f>A14-0.01</f>
        <v>-7.0699999999999985</v>
      </c>
      <c r="B16" s="81" t="s">
        <v>818</v>
      </c>
      <c r="C16" s="81"/>
      <c r="D16" s="81"/>
      <c r="E16" s="81"/>
      <c r="F16" s="81"/>
      <c r="G16" s="81"/>
      <c r="H16" s="81"/>
      <c r="I16" s="81"/>
      <c r="J16" s="82"/>
      <c r="K16" s="82"/>
      <c r="L16" s="82"/>
      <c r="M16" s="82"/>
      <c r="N16" s="82"/>
      <c r="O16" s="82"/>
      <c r="P16" s="82"/>
      <c r="Q16" s="82"/>
      <c r="R16" s="1044"/>
      <c r="S16" s="1044"/>
      <c r="T16" s="1044"/>
      <c r="U16" s="76"/>
      <c r="V16" s="76"/>
      <c r="W16" s="76"/>
      <c r="X16" s="76"/>
      <c r="Y16" s="2953"/>
      <c r="Z16" s="2954"/>
      <c r="AA16" s="2954"/>
      <c r="AB16" s="2954"/>
      <c r="AC16" s="2954"/>
      <c r="AD16" s="2954"/>
      <c r="AE16" s="2954"/>
      <c r="AF16" s="2950"/>
      <c r="AG16" s="2953"/>
      <c r="AH16" s="2954"/>
      <c r="AI16" s="2954"/>
      <c r="AJ16" s="2954"/>
      <c r="AK16" s="2954"/>
      <c r="AL16" s="2954"/>
      <c r="AM16" s="2954"/>
      <c r="AN16" s="2950"/>
      <c r="AO16" s="2953"/>
      <c r="AP16" s="2954"/>
      <c r="AQ16" s="2954"/>
      <c r="AR16" s="2954"/>
      <c r="AS16" s="2954"/>
      <c r="AT16" s="2954"/>
      <c r="AU16" s="2954"/>
      <c r="AV16" s="2950"/>
    </row>
    <row r="17" spans="1:48" ht="15.6" customHeight="1">
      <c r="A17" s="80"/>
      <c r="B17" s="83"/>
      <c r="C17" s="83"/>
      <c r="D17" s="83"/>
      <c r="E17" s="83"/>
      <c r="F17" s="83"/>
      <c r="G17" s="84">
        <v>1</v>
      </c>
      <c r="H17" s="94"/>
      <c r="I17" s="94"/>
      <c r="J17" s="94"/>
      <c r="K17" s="94"/>
      <c r="L17" s="94"/>
      <c r="M17" s="94"/>
      <c r="N17" s="94"/>
      <c r="O17" s="94"/>
      <c r="P17" s="94"/>
      <c r="Q17" s="94"/>
      <c r="R17" s="94"/>
      <c r="S17" s="94"/>
      <c r="T17" s="94"/>
      <c r="U17" s="94"/>
      <c r="V17" s="94"/>
      <c r="W17" s="94"/>
      <c r="X17" s="88" t="s">
        <v>819</v>
      </c>
      <c r="Y17" s="85"/>
      <c r="Z17" s="389"/>
      <c r="AA17" s="389"/>
      <c r="AB17" s="389"/>
      <c r="AC17" s="78"/>
      <c r="AD17" s="389"/>
      <c r="AE17" s="389"/>
      <c r="AF17" s="390"/>
      <c r="AG17" s="85"/>
      <c r="AH17" s="389"/>
      <c r="AI17" s="389"/>
      <c r="AJ17" s="389"/>
      <c r="AK17" s="78"/>
      <c r="AL17" s="389"/>
      <c r="AM17" s="389"/>
      <c r="AN17" s="390"/>
      <c r="AO17" s="85"/>
      <c r="AP17" s="389"/>
      <c r="AQ17" s="389"/>
      <c r="AR17" s="389"/>
      <c r="AS17" s="78"/>
      <c r="AT17" s="389"/>
      <c r="AU17" s="389"/>
      <c r="AV17" s="390"/>
    </row>
    <row r="18" spans="1:48" ht="15.6" customHeight="1">
      <c r="A18" s="86"/>
      <c r="B18" s="87"/>
      <c r="C18" s="87"/>
      <c r="D18" s="87"/>
      <c r="E18" s="87"/>
      <c r="F18" s="87"/>
      <c r="G18" s="84">
        <v>2</v>
      </c>
      <c r="H18" s="94"/>
      <c r="I18" s="94"/>
      <c r="J18" s="94"/>
      <c r="K18" s="94"/>
      <c r="L18" s="94"/>
      <c r="M18" s="94"/>
      <c r="N18" s="94"/>
      <c r="O18" s="94"/>
      <c r="P18" s="94"/>
      <c r="Q18" s="94"/>
      <c r="R18" s="94"/>
      <c r="S18" s="94"/>
      <c r="T18" s="94"/>
      <c r="U18" s="94"/>
      <c r="V18" s="94"/>
      <c r="W18" s="94"/>
      <c r="X18" s="88" t="s">
        <v>820</v>
      </c>
      <c r="Y18" s="85"/>
      <c r="Z18" s="389"/>
      <c r="AA18" s="389"/>
      <c r="AB18" s="389"/>
      <c r="AC18" s="78"/>
      <c r="AD18" s="389"/>
      <c r="AE18" s="389"/>
      <c r="AF18" s="390"/>
      <c r="AG18" s="85"/>
      <c r="AH18" s="389"/>
      <c r="AI18" s="389"/>
      <c r="AJ18" s="389"/>
      <c r="AK18" s="78"/>
      <c r="AL18" s="389"/>
      <c r="AM18" s="389"/>
      <c r="AN18" s="390"/>
      <c r="AO18" s="85"/>
      <c r="AP18" s="389"/>
      <c r="AQ18" s="389"/>
      <c r="AR18" s="389"/>
      <c r="AS18" s="78"/>
      <c r="AT18" s="389"/>
      <c r="AU18" s="389"/>
      <c r="AV18" s="390"/>
    </row>
    <row r="19" spans="1:48" ht="15.6" customHeight="1">
      <c r="A19" s="86"/>
      <c r="B19" s="87"/>
      <c r="C19" s="87"/>
      <c r="D19" s="87"/>
      <c r="E19" s="87"/>
      <c r="F19" s="87"/>
      <c r="G19" s="84">
        <v>3</v>
      </c>
      <c r="H19" s="94"/>
      <c r="I19" s="94"/>
      <c r="J19" s="94"/>
      <c r="K19" s="94"/>
      <c r="L19" s="94"/>
      <c r="M19" s="94"/>
      <c r="N19" s="94"/>
      <c r="O19" s="94"/>
      <c r="P19" s="94"/>
      <c r="Q19" s="94"/>
      <c r="R19" s="94"/>
      <c r="S19" s="94"/>
      <c r="T19" s="94"/>
      <c r="U19" s="94"/>
      <c r="V19" s="94"/>
      <c r="W19" s="94"/>
      <c r="X19" s="88" t="s">
        <v>793</v>
      </c>
      <c r="Y19" s="85"/>
      <c r="Z19" s="389"/>
      <c r="AA19" s="389"/>
      <c r="AB19" s="389"/>
      <c r="AC19" s="78"/>
      <c r="AD19" s="389"/>
      <c r="AE19" s="389"/>
      <c r="AF19" s="390"/>
      <c r="AG19" s="85"/>
      <c r="AH19" s="389"/>
      <c r="AI19" s="389"/>
      <c r="AJ19" s="389"/>
      <c r="AK19" s="78"/>
      <c r="AL19" s="389"/>
      <c r="AM19" s="389"/>
      <c r="AN19" s="390"/>
      <c r="AO19" s="85"/>
      <c r="AP19" s="389"/>
      <c r="AQ19" s="389"/>
      <c r="AR19" s="389"/>
      <c r="AS19" s="78"/>
      <c r="AT19" s="389"/>
      <c r="AU19" s="389"/>
      <c r="AV19" s="390"/>
    </row>
    <row r="20" spans="1:48" ht="15.6" customHeight="1">
      <c r="A20" s="86"/>
      <c r="B20" s="87"/>
      <c r="C20" s="87"/>
      <c r="D20" s="87"/>
      <c r="E20" s="87"/>
      <c r="F20" s="87"/>
      <c r="G20" s="84">
        <v>4</v>
      </c>
      <c r="H20" s="94"/>
      <c r="I20" s="94"/>
      <c r="J20" s="94"/>
      <c r="K20" s="94"/>
      <c r="L20" s="94"/>
      <c r="M20" s="94"/>
      <c r="N20" s="94"/>
      <c r="O20" s="94"/>
      <c r="P20" s="94"/>
      <c r="Q20" s="94"/>
      <c r="R20" s="94"/>
      <c r="S20" s="94"/>
      <c r="T20" s="94"/>
      <c r="U20" s="94"/>
      <c r="V20" s="94"/>
      <c r="W20" s="94"/>
      <c r="X20" s="88" t="s">
        <v>821</v>
      </c>
      <c r="Y20" s="85"/>
      <c r="Z20" s="389"/>
      <c r="AA20" s="389"/>
      <c r="AB20" s="389"/>
      <c r="AC20" s="78"/>
      <c r="AD20" s="389"/>
      <c r="AE20" s="389"/>
      <c r="AF20" s="390"/>
      <c r="AG20" s="85"/>
      <c r="AH20" s="389"/>
      <c r="AI20" s="389"/>
      <c r="AJ20" s="389"/>
      <c r="AK20" s="78"/>
      <c r="AL20" s="389"/>
      <c r="AM20" s="389"/>
      <c r="AN20" s="390"/>
      <c r="AO20" s="85"/>
      <c r="AP20" s="389"/>
      <c r="AQ20" s="389"/>
      <c r="AR20" s="389"/>
      <c r="AS20" s="78"/>
      <c r="AT20" s="389"/>
      <c r="AU20" s="389"/>
      <c r="AV20" s="390"/>
    </row>
    <row r="21" spans="1:48" ht="15.6" customHeight="1">
      <c r="A21" s="86"/>
      <c r="B21" s="87"/>
      <c r="C21" s="87"/>
      <c r="D21" s="87"/>
      <c r="E21" s="87"/>
      <c r="F21" s="87"/>
      <c r="G21" s="84">
        <v>5</v>
      </c>
      <c r="H21" s="94"/>
      <c r="I21" s="94"/>
      <c r="J21" s="94"/>
      <c r="K21" s="94"/>
      <c r="L21" s="94"/>
      <c r="M21" s="94"/>
      <c r="N21" s="94"/>
      <c r="O21" s="94"/>
      <c r="P21" s="94"/>
      <c r="Q21" s="94"/>
      <c r="R21" s="94"/>
      <c r="S21" s="94"/>
      <c r="T21" s="94"/>
      <c r="U21" s="94"/>
      <c r="V21" s="94"/>
      <c r="W21" s="94"/>
      <c r="X21" s="88" t="s">
        <v>822</v>
      </c>
      <c r="Y21" s="85"/>
      <c r="Z21" s="389"/>
      <c r="AA21" s="389"/>
      <c r="AB21" s="389"/>
      <c r="AC21" s="78"/>
      <c r="AD21" s="389"/>
      <c r="AE21" s="389"/>
      <c r="AF21" s="390"/>
      <c r="AG21" s="85"/>
      <c r="AH21" s="389"/>
      <c r="AI21" s="389"/>
      <c r="AJ21" s="389"/>
      <c r="AK21" s="78"/>
      <c r="AL21" s="389"/>
      <c r="AM21" s="389"/>
      <c r="AN21" s="390"/>
      <c r="AO21" s="85"/>
      <c r="AP21" s="389"/>
      <c r="AQ21" s="389"/>
      <c r="AR21" s="389"/>
      <c r="AS21" s="78"/>
      <c r="AT21" s="389"/>
      <c r="AU21" s="389"/>
      <c r="AV21" s="390"/>
    </row>
    <row r="22" spans="1:48" ht="15.6" customHeight="1">
      <c r="A22" s="86"/>
      <c r="B22" s="87"/>
      <c r="C22" s="87"/>
      <c r="D22" s="87"/>
      <c r="E22" s="87"/>
      <c r="F22" s="87"/>
      <c r="G22" s="84">
        <v>6</v>
      </c>
      <c r="H22" s="94"/>
      <c r="I22" s="94"/>
      <c r="J22" s="94"/>
      <c r="K22" s="94"/>
      <c r="L22" s="94"/>
      <c r="M22" s="94"/>
      <c r="N22" s="94"/>
      <c r="O22" s="94"/>
      <c r="P22" s="94"/>
      <c r="Q22" s="94"/>
      <c r="R22" s="94"/>
      <c r="S22" s="94"/>
      <c r="T22" s="94"/>
      <c r="U22" s="94"/>
      <c r="V22" s="94"/>
      <c r="W22" s="94"/>
      <c r="X22" s="88" t="s">
        <v>787</v>
      </c>
      <c r="Y22" s="85"/>
      <c r="Z22" s="389"/>
      <c r="AA22" s="389"/>
      <c r="AB22" s="389"/>
      <c r="AC22" s="78"/>
      <c r="AD22" s="389"/>
      <c r="AE22" s="389"/>
      <c r="AF22" s="390"/>
      <c r="AG22" s="85"/>
      <c r="AH22" s="389"/>
      <c r="AI22" s="389"/>
      <c r="AJ22" s="389"/>
      <c r="AK22" s="78"/>
      <c r="AL22" s="389"/>
      <c r="AM22" s="389"/>
      <c r="AN22" s="390"/>
      <c r="AO22" s="85"/>
      <c r="AP22" s="389"/>
      <c r="AQ22" s="389"/>
      <c r="AR22" s="389"/>
      <c r="AS22" s="78"/>
      <c r="AT22" s="389"/>
      <c r="AU22" s="389"/>
      <c r="AV22" s="390"/>
    </row>
    <row r="23" spans="1:48" ht="15.6" customHeight="1">
      <c r="A23" s="86"/>
      <c r="B23" s="87"/>
      <c r="C23" s="87"/>
      <c r="D23" s="87"/>
      <c r="E23" s="87"/>
      <c r="F23" s="87"/>
      <c r="G23" s="84">
        <v>7</v>
      </c>
      <c r="H23" s="94"/>
      <c r="I23" s="94"/>
      <c r="J23" s="94"/>
      <c r="K23" s="94"/>
      <c r="L23" s="94"/>
      <c r="M23" s="94"/>
      <c r="N23" s="94"/>
      <c r="O23" s="94"/>
      <c r="P23" s="94"/>
      <c r="Q23" s="94"/>
      <c r="R23" s="94"/>
      <c r="S23" s="94"/>
      <c r="T23" s="94"/>
      <c r="U23" s="94"/>
      <c r="V23" s="94"/>
      <c r="W23" s="94"/>
      <c r="X23" s="88" t="s">
        <v>823</v>
      </c>
      <c r="Y23" s="85"/>
      <c r="Z23" s="389"/>
      <c r="AA23" s="389"/>
      <c r="AB23" s="389"/>
      <c r="AC23" s="78"/>
      <c r="AD23" s="389"/>
      <c r="AE23" s="389"/>
      <c r="AF23" s="390"/>
      <c r="AG23" s="85"/>
      <c r="AH23" s="389"/>
      <c r="AI23" s="389"/>
      <c r="AJ23" s="389"/>
      <c r="AK23" s="78"/>
      <c r="AL23" s="389"/>
      <c r="AM23" s="389"/>
      <c r="AN23" s="390"/>
      <c r="AO23" s="85"/>
      <c r="AP23" s="389"/>
      <c r="AQ23" s="389"/>
      <c r="AR23" s="389"/>
      <c r="AS23" s="78"/>
      <c r="AT23" s="389"/>
      <c r="AU23" s="389"/>
      <c r="AV23" s="390"/>
    </row>
    <row r="24" spans="1:48" ht="15.6" customHeight="1">
      <c r="A24" s="86"/>
      <c r="B24" s="87"/>
      <c r="C24" s="87"/>
      <c r="D24" s="87"/>
      <c r="E24" s="87"/>
      <c r="F24" s="87"/>
      <c r="G24" s="84">
        <v>8</v>
      </c>
      <c r="H24" s="94"/>
      <c r="I24" s="94"/>
      <c r="J24" s="94"/>
      <c r="K24" s="94"/>
      <c r="L24" s="94"/>
      <c r="M24" s="94"/>
      <c r="N24" s="94"/>
      <c r="O24" s="94"/>
      <c r="P24" s="94"/>
      <c r="Q24" s="94"/>
      <c r="R24" s="94"/>
      <c r="S24" s="94"/>
      <c r="T24" s="94"/>
      <c r="U24" s="94"/>
      <c r="V24" s="94"/>
      <c r="W24" s="94"/>
      <c r="X24" s="88" t="s">
        <v>824</v>
      </c>
      <c r="Y24" s="85"/>
      <c r="Z24" s="389"/>
      <c r="AA24" s="389"/>
      <c r="AB24" s="389"/>
      <c r="AC24" s="78"/>
      <c r="AD24" s="389"/>
      <c r="AE24" s="389"/>
      <c r="AF24" s="390"/>
      <c r="AG24" s="85"/>
      <c r="AH24" s="389"/>
      <c r="AI24" s="389"/>
      <c r="AJ24" s="389"/>
      <c r="AK24" s="78"/>
      <c r="AL24" s="389"/>
      <c r="AM24" s="389"/>
      <c r="AN24" s="390"/>
      <c r="AO24" s="85"/>
      <c r="AP24" s="389"/>
      <c r="AQ24" s="389"/>
      <c r="AR24" s="389"/>
      <c r="AS24" s="78"/>
      <c r="AT24" s="389"/>
      <c r="AU24" s="389"/>
      <c r="AV24" s="390"/>
    </row>
    <row r="25" spans="1:48" ht="15.6" customHeight="1">
      <c r="A25" s="86"/>
      <c r="B25" s="87"/>
      <c r="C25" s="87"/>
      <c r="D25" s="87"/>
      <c r="E25" s="87"/>
      <c r="F25" s="87"/>
      <c r="G25" s="84">
        <v>9</v>
      </c>
      <c r="H25" s="94"/>
      <c r="I25" s="94"/>
      <c r="J25" s="94"/>
      <c r="K25" s="94"/>
      <c r="L25" s="94"/>
      <c r="M25" s="94"/>
      <c r="N25" s="94"/>
      <c r="O25" s="94"/>
      <c r="P25" s="94"/>
      <c r="Q25" s="94"/>
      <c r="R25" s="94"/>
      <c r="S25" s="94"/>
      <c r="T25" s="94"/>
      <c r="U25" s="94"/>
      <c r="V25" s="94"/>
      <c r="W25" s="94"/>
      <c r="X25" s="88" t="s">
        <v>825</v>
      </c>
      <c r="Y25" s="85"/>
      <c r="Z25" s="389"/>
      <c r="AA25" s="389"/>
      <c r="AB25" s="389"/>
      <c r="AC25" s="78"/>
      <c r="AD25" s="389"/>
      <c r="AE25" s="389"/>
      <c r="AF25" s="390"/>
      <c r="AG25" s="85"/>
      <c r="AH25" s="389"/>
      <c r="AI25" s="389"/>
      <c r="AJ25" s="389"/>
      <c r="AK25" s="78"/>
      <c r="AL25" s="389"/>
      <c r="AM25" s="389"/>
      <c r="AN25" s="390"/>
      <c r="AO25" s="85"/>
      <c r="AP25" s="389"/>
      <c r="AQ25" s="389"/>
      <c r="AR25" s="389"/>
      <c r="AS25" s="78"/>
      <c r="AT25" s="389"/>
      <c r="AU25" s="389"/>
      <c r="AV25" s="390"/>
    </row>
    <row r="26" spans="1:48" ht="15.6" customHeight="1">
      <c r="A26" s="86"/>
      <c r="B26" s="87"/>
      <c r="C26" s="87"/>
      <c r="D26" s="87"/>
      <c r="E26" s="87"/>
      <c r="F26" s="87"/>
      <c r="G26" s="84">
        <v>10</v>
      </c>
      <c r="H26" s="94"/>
      <c r="I26" s="94"/>
      <c r="J26" s="94"/>
      <c r="K26" s="94"/>
      <c r="L26" s="94"/>
      <c r="M26" s="94"/>
      <c r="N26" s="94"/>
      <c r="O26" s="94"/>
      <c r="P26" s="94"/>
      <c r="Q26" s="94"/>
      <c r="R26" s="94"/>
      <c r="S26" s="94"/>
      <c r="T26" s="94"/>
      <c r="U26" s="94"/>
      <c r="V26" s="94"/>
      <c r="W26" s="94"/>
      <c r="X26" s="88" t="s">
        <v>826</v>
      </c>
      <c r="Y26" s="89"/>
      <c r="Z26" s="391"/>
      <c r="AA26" s="391"/>
      <c r="AB26" s="391"/>
      <c r="AC26" s="393"/>
      <c r="AD26" s="391"/>
      <c r="AE26" s="391"/>
      <c r="AF26" s="392"/>
      <c r="AG26" s="89"/>
      <c r="AH26" s="391"/>
      <c r="AI26" s="391"/>
      <c r="AJ26" s="391"/>
      <c r="AK26" s="393"/>
      <c r="AL26" s="391"/>
      <c r="AM26" s="391"/>
      <c r="AN26" s="392"/>
      <c r="AO26" s="89"/>
      <c r="AP26" s="391"/>
      <c r="AQ26" s="391"/>
      <c r="AR26" s="391"/>
      <c r="AS26" s="393"/>
      <c r="AT26" s="391"/>
      <c r="AU26" s="391"/>
      <c r="AV26" s="392"/>
    </row>
    <row r="27" spans="1:48" ht="15.6" customHeight="1">
      <c r="A27" s="86"/>
      <c r="B27" s="87"/>
      <c r="C27" s="87"/>
      <c r="D27" s="87"/>
      <c r="E27" s="87"/>
      <c r="F27" s="87"/>
      <c r="G27" s="1347">
        <v>11</v>
      </c>
      <c r="I27" s="1461"/>
      <c r="J27" s="1461"/>
      <c r="K27" s="1461"/>
      <c r="L27" s="1461"/>
      <c r="M27" s="1461"/>
      <c r="N27" s="1461"/>
      <c r="O27" s="1461"/>
      <c r="P27" s="1461"/>
      <c r="Q27" s="1461"/>
      <c r="R27" s="1461"/>
      <c r="S27" s="1461"/>
      <c r="T27" s="94"/>
      <c r="U27" s="94"/>
      <c r="V27" s="94"/>
      <c r="W27" s="94"/>
      <c r="X27" s="1461" t="s">
        <v>827</v>
      </c>
      <c r="Y27" s="2955"/>
      <c r="Z27" s="2956"/>
      <c r="AA27" s="2956"/>
      <c r="AB27" s="2956"/>
      <c r="AC27" s="2960"/>
      <c r="AD27" s="2960"/>
      <c r="AE27" s="2960"/>
      <c r="AF27" s="2961"/>
      <c r="AG27" s="2955"/>
      <c r="AH27" s="2956"/>
      <c r="AI27" s="2956"/>
      <c r="AJ27" s="2956"/>
      <c r="AK27" s="2956"/>
      <c r="AL27" s="2956"/>
      <c r="AM27" s="2956"/>
      <c r="AN27" s="2957"/>
      <c r="AO27" s="2955"/>
      <c r="AP27" s="2956"/>
      <c r="AQ27" s="2956"/>
      <c r="AR27" s="2956"/>
      <c r="AS27" s="2956"/>
      <c r="AT27" s="2956"/>
      <c r="AU27" s="2956"/>
      <c r="AV27" s="2957"/>
    </row>
    <row r="28" spans="1:48" ht="15.6" customHeight="1">
      <c r="A28" s="90"/>
      <c r="B28" s="91"/>
      <c r="C28" s="92"/>
      <c r="D28" s="92"/>
      <c r="E28" s="92"/>
      <c r="F28" s="92"/>
      <c r="G28" s="84">
        <v>99</v>
      </c>
      <c r="H28" s="93"/>
      <c r="I28" s="93"/>
      <c r="J28" s="76"/>
      <c r="K28" s="94"/>
      <c r="L28" s="1044"/>
      <c r="M28" s="76"/>
      <c r="N28" s="1044"/>
      <c r="O28" s="1044"/>
      <c r="P28" s="1044"/>
      <c r="Q28" s="1044"/>
      <c r="R28" s="1044"/>
      <c r="S28" s="1044"/>
      <c r="T28" s="1044"/>
      <c r="U28" s="76"/>
      <c r="V28" s="1044"/>
      <c r="W28" s="1044"/>
      <c r="X28" s="95" t="s">
        <v>720</v>
      </c>
      <c r="Y28" s="85"/>
      <c r="Z28" s="389"/>
      <c r="AA28" s="389"/>
      <c r="AB28" s="389"/>
      <c r="AC28" s="78"/>
      <c r="AD28" s="389"/>
      <c r="AE28" s="389"/>
      <c r="AF28" s="390"/>
      <c r="AG28" s="85"/>
      <c r="AH28" s="389"/>
      <c r="AI28" s="389"/>
      <c r="AJ28" s="389"/>
      <c r="AK28" s="78"/>
      <c r="AL28" s="389"/>
      <c r="AM28" s="389"/>
      <c r="AN28" s="390"/>
      <c r="AO28" s="85"/>
      <c r="AP28" s="389"/>
      <c r="AQ28" s="389"/>
      <c r="AR28" s="389"/>
      <c r="AS28" s="78"/>
      <c r="AT28" s="389"/>
      <c r="AU28" s="389"/>
      <c r="AV28" s="390"/>
    </row>
    <row r="29" spans="1:48" ht="13.9" customHeight="1">
      <c r="A29" s="2945" t="s">
        <v>828</v>
      </c>
      <c r="B29" s="2946"/>
      <c r="C29" s="2946"/>
      <c r="D29" s="2946"/>
      <c r="E29" s="2946"/>
      <c r="F29" s="2946"/>
      <c r="G29" s="2946"/>
      <c r="H29" s="2946"/>
      <c r="I29" s="2946"/>
      <c r="J29" s="2946"/>
      <c r="K29" s="2946"/>
      <c r="L29" s="2946"/>
      <c r="M29" s="2946"/>
      <c r="N29" s="2946"/>
      <c r="O29" s="2946"/>
      <c r="P29" s="2946"/>
      <c r="Q29" s="2946"/>
      <c r="R29" s="2946"/>
      <c r="S29" s="2946"/>
      <c r="T29" s="2946"/>
      <c r="U29" s="2946"/>
      <c r="V29" s="2946"/>
      <c r="W29" s="2946"/>
      <c r="X29" s="2946"/>
      <c r="Y29" s="2946"/>
      <c r="Z29" s="2946"/>
      <c r="AA29" s="2946"/>
      <c r="AB29" s="2946"/>
      <c r="AC29" s="2946"/>
      <c r="AD29" s="2946"/>
      <c r="AE29" s="2946"/>
      <c r="AF29" s="2946"/>
      <c r="AG29" s="2946"/>
      <c r="AH29" s="2946"/>
      <c r="AI29" s="2946"/>
      <c r="AJ29" s="2946"/>
      <c r="AK29" s="2946"/>
      <c r="AL29" s="2946"/>
      <c r="AM29" s="2946"/>
      <c r="AN29" s="2946"/>
      <c r="AO29" s="2946"/>
      <c r="AP29" s="2946"/>
      <c r="AQ29" s="2946"/>
      <c r="AR29" s="2946"/>
      <c r="AS29" s="2946"/>
      <c r="AT29" s="2946"/>
      <c r="AU29" s="2946"/>
      <c r="AV29" s="2947"/>
    </row>
    <row r="30" spans="1:48" ht="15.6" customHeight="1">
      <c r="A30" s="1756">
        <f>+A16-0.01</f>
        <v>-7.0799999999999983</v>
      </c>
      <c r="B30" s="91" t="s">
        <v>829</v>
      </c>
      <c r="C30" s="91"/>
      <c r="D30" s="91"/>
      <c r="E30" s="91"/>
      <c r="F30" s="91"/>
      <c r="G30" s="91"/>
      <c r="H30" s="91"/>
      <c r="I30" s="91"/>
      <c r="J30" s="76"/>
      <c r="K30" s="49"/>
      <c r="L30" s="49"/>
      <c r="M30" s="49"/>
      <c r="N30" s="49"/>
      <c r="O30" s="1044"/>
      <c r="P30" s="1044"/>
      <c r="Q30" s="1044"/>
      <c r="R30" s="1044"/>
      <c r="S30" s="1044"/>
      <c r="T30" s="1044"/>
      <c r="U30" s="76"/>
      <c r="V30" s="76"/>
      <c r="W30" s="76"/>
      <c r="X30" s="76"/>
      <c r="Y30" s="719" t="s">
        <v>830</v>
      </c>
      <c r="Z30" s="78"/>
      <c r="AA30" s="389"/>
      <c r="AB30" s="389"/>
      <c r="AC30" s="96"/>
      <c r="AD30" s="389"/>
      <c r="AE30" s="389"/>
      <c r="AF30" s="390"/>
      <c r="AG30" s="719" t="s">
        <v>830</v>
      </c>
      <c r="AH30" s="96"/>
      <c r="AI30" s="182"/>
      <c r="AJ30" s="389"/>
      <c r="AK30" s="96"/>
      <c r="AL30" s="389"/>
      <c r="AM30" s="389"/>
      <c r="AN30" s="390"/>
      <c r="AO30" s="719" t="s">
        <v>830</v>
      </c>
      <c r="AP30" s="96"/>
      <c r="AQ30" s="182"/>
      <c r="AR30" s="389"/>
      <c r="AS30" s="96"/>
      <c r="AT30" s="389"/>
      <c r="AU30" s="389"/>
      <c r="AV30" s="390"/>
    </row>
    <row r="31" spans="1:48" s="73" customFormat="1" ht="15.6" customHeight="1">
      <c r="A31" s="1757">
        <f>A30-0.01</f>
        <v>-7.0899999999999981</v>
      </c>
      <c r="B31" s="2943" t="s">
        <v>831</v>
      </c>
      <c r="C31" s="2943"/>
      <c r="D31" s="2943"/>
      <c r="E31" s="2943"/>
      <c r="F31" s="2943"/>
      <c r="G31" s="2943"/>
      <c r="H31" s="2943"/>
      <c r="I31" s="2943"/>
      <c r="J31" s="2943"/>
      <c r="K31" s="2943"/>
      <c r="L31" s="2943"/>
      <c r="M31" s="2943"/>
      <c r="N31" s="2943"/>
      <c r="O31" s="2943"/>
      <c r="P31" s="2943"/>
      <c r="Q31" s="2943"/>
      <c r="R31" s="2943"/>
      <c r="S31" s="2943"/>
      <c r="T31" s="2943"/>
      <c r="U31" s="2943"/>
      <c r="V31" s="2943"/>
      <c r="W31" s="2943"/>
      <c r="X31" s="2944"/>
      <c r="Y31" s="2958" t="s">
        <v>293</v>
      </c>
      <c r="Z31" s="2968"/>
      <c r="AA31" s="2968"/>
      <c r="AB31" s="2968"/>
      <c r="AC31" s="2959"/>
      <c r="AD31" s="2969" t="s">
        <v>43</v>
      </c>
      <c r="AE31" s="2939"/>
      <c r="AF31" s="2970"/>
      <c r="AG31" s="2958" t="s">
        <v>293</v>
      </c>
      <c r="AH31" s="2968"/>
      <c r="AI31" s="2968"/>
      <c r="AJ31" s="2968"/>
      <c r="AK31" s="2959"/>
      <c r="AL31" s="2969" t="s">
        <v>43</v>
      </c>
      <c r="AM31" s="2939"/>
      <c r="AN31" s="2970"/>
      <c r="AO31" s="2958" t="s">
        <v>293</v>
      </c>
      <c r="AP31" s="2968"/>
      <c r="AQ31" s="2968"/>
      <c r="AR31" s="2968"/>
      <c r="AS31" s="2959"/>
      <c r="AT31" s="2969" t="s">
        <v>43</v>
      </c>
      <c r="AU31" s="2939"/>
      <c r="AV31" s="2970"/>
    </row>
    <row r="32" spans="1:48" ht="15.6" customHeight="1">
      <c r="A32" s="1057"/>
      <c r="B32" s="46"/>
      <c r="C32" s="46"/>
      <c r="D32" s="46"/>
      <c r="E32" s="46"/>
      <c r="F32" s="46"/>
      <c r="G32" s="46"/>
      <c r="H32" s="46"/>
      <c r="I32" s="46"/>
      <c r="J32" s="46"/>
      <c r="K32" s="46"/>
      <c r="L32" s="46"/>
      <c r="M32" s="46"/>
      <c r="N32" s="46"/>
      <c r="O32" s="46"/>
      <c r="P32" s="46"/>
      <c r="Q32" s="46"/>
      <c r="R32" s="46"/>
      <c r="S32" s="46"/>
      <c r="T32" s="46"/>
      <c r="U32" s="46"/>
      <c r="V32" s="46"/>
      <c r="W32" s="1459" t="s">
        <v>832</v>
      </c>
      <c r="X32" s="1058" t="s">
        <v>833</v>
      </c>
      <c r="Y32" s="408"/>
      <c r="Z32" s="407"/>
      <c r="AA32" s="407"/>
      <c r="AB32" s="407"/>
      <c r="AC32" s="409"/>
      <c r="AD32" s="407"/>
      <c r="AE32" s="407"/>
      <c r="AF32" s="410"/>
      <c r="AG32" s="408"/>
      <c r="AH32" s="407"/>
      <c r="AI32" s="407"/>
      <c r="AJ32" s="407"/>
      <c r="AK32" s="409"/>
      <c r="AL32" s="407"/>
      <c r="AM32" s="407"/>
      <c r="AN32" s="410"/>
      <c r="AO32" s="408"/>
      <c r="AP32" s="407"/>
      <c r="AQ32" s="407"/>
      <c r="AR32" s="407"/>
      <c r="AS32" s="409"/>
      <c r="AT32" s="407"/>
      <c r="AU32" s="407"/>
      <c r="AV32" s="410"/>
    </row>
    <row r="33" spans="1:48" ht="15.6" customHeight="1">
      <c r="A33" s="406"/>
      <c r="B33" s="1979" t="s">
        <v>834</v>
      </c>
      <c r="C33" s="1979"/>
      <c r="D33" s="1979"/>
      <c r="E33" s="1979"/>
      <c r="F33" s="1979"/>
      <c r="G33" s="1979"/>
      <c r="H33" s="1979"/>
      <c r="I33" s="1979"/>
      <c r="J33" s="1979"/>
      <c r="K33" s="1979"/>
      <c r="L33" s="1979"/>
      <c r="M33" s="1979"/>
      <c r="N33" s="46"/>
      <c r="O33" s="46"/>
      <c r="P33" s="46"/>
      <c r="Q33" s="46"/>
      <c r="R33" s="46"/>
      <c r="S33" s="46"/>
      <c r="T33" s="46"/>
      <c r="U33" s="46"/>
      <c r="V33" s="46"/>
      <c r="W33" s="1459" t="s">
        <v>835</v>
      </c>
      <c r="X33" s="1058" t="s">
        <v>836</v>
      </c>
      <c r="Y33" s="412"/>
      <c r="Z33" s="411"/>
      <c r="AA33" s="411"/>
      <c r="AB33" s="411"/>
      <c r="AC33" s="413"/>
      <c r="AD33" s="411"/>
      <c r="AE33" s="411"/>
      <c r="AF33" s="414"/>
      <c r="AG33" s="412"/>
      <c r="AH33" s="411"/>
      <c r="AI33" s="411"/>
      <c r="AJ33" s="411"/>
      <c r="AK33" s="413"/>
      <c r="AL33" s="411"/>
      <c r="AM33" s="411"/>
      <c r="AN33" s="414"/>
      <c r="AO33" s="412"/>
      <c r="AP33" s="411"/>
      <c r="AQ33" s="411"/>
      <c r="AR33" s="411"/>
      <c r="AS33" s="413"/>
      <c r="AT33" s="411"/>
      <c r="AU33" s="411"/>
      <c r="AV33" s="414"/>
    </row>
    <row r="34" spans="1:48" ht="15.6" customHeight="1">
      <c r="A34" s="406"/>
      <c r="B34" s="1979"/>
      <c r="C34" s="1979"/>
      <c r="D34" s="1979"/>
      <c r="E34" s="1979"/>
      <c r="F34" s="1979"/>
      <c r="G34" s="1979"/>
      <c r="H34" s="1979"/>
      <c r="I34" s="1979"/>
      <c r="J34" s="1979"/>
      <c r="K34" s="1979"/>
      <c r="L34" s="1979"/>
      <c r="M34" s="1979"/>
      <c r="N34" s="46"/>
      <c r="O34" s="46"/>
      <c r="P34" s="46"/>
      <c r="Q34" s="46"/>
      <c r="R34" s="46"/>
      <c r="S34" s="46"/>
      <c r="T34" s="46"/>
      <c r="U34" s="46"/>
      <c r="V34" s="46"/>
      <c r="W34" s="1459" t="s">
        <v>837</v>
      </c>
      <c r="X34" s="1058" t="s">
        <v>838</v>
      </c>
      <c r="Y34" s="412"/>
      <c r="Z34" s="411"/>
      <c r="AA34" s="411"/>
      <c r="AB34" s="411"/>
      <c r="AC34" s="413"/>
      <c r="AD34" s="411"/>
      <c r="AE34" s="411"/>
      <c r="AF34" s="414"/>
      <c r="AG34" s="412"/>
      <c r="AH34" s="411"/>
      <c r="AI34" s="411"/>
      <c r="AJ34" s="411"/>
      <c r="AK34" s="413"/>
      <c r="AL34" s="411"/>
      <c r="AM34" s="411"/>
      <c r="AN34" s="414"/>
      <c r="AO34" s="412"/>
      <c r="AP34" s="411"/>
      <c r="AQ34" s="411"/>
      <c r="AR34" s="411"/>
      <c r="AS34" s="413"/>
      <c r="AT34" s="411"/>
      <c r="AU34" s="411"/>
      <c r="AV34" s="414"/>
    </row>
    <row r="35" spans="1:48" ht="15.6" customHeight="1">
      <c r="A35" s="1147"/>
      <c r="B35" s="1979"/>
      <c r="C35" s="1979"/>
      <c r="D35" s="1979"/>
      <c r="E35" s="1979"/>
      <c r="F35" s="1979"/>
      <c r="G35" s="1979"/>
      <c r="H35" s="1979"/>
      <c r="I35" s="1979"/>
      <c r="J35" s="1979"/>
      <c r="K35" s="1979"/>
      <c r="L35" s="1979"/>
      <c r="M35" s="1979"/>
      <c r="N35" s="46"/>
      <c r="O35" s="46"/>
      <c r="P35" s="46"/>
      <c r="Q35" s="46"/>
      <c r="R35" s="46"/>
      <c r="S35" s="46"/>
      <c r="T35" s="46"/>
      <c r="U35" s="46"/>
      <c r="V35" s="46"/>
      <c r="W35" s="1460" t="s">
        <v>839</v>
      </c>
      <c r="X35" s="1059" t="s">
        <v>840</v>
      </c>
      <c r="Y35" s="416"/>
      <c r="Z35" s="415"/>
      <c r="AA35" s="415"/>
      <c r="AB35" s="415"/>
      <c r="AC35" s="417"/>
      <c r="AD35" s="415"/>
      <c r="AE35" s="415"/>
      <c r="AF35" s="415"/>
      <c r="AG35" s="416"/>
      <c r="AH35" s="415"/>
      <c r="AI35" s="415"/>
      <c r="AJ35" s="415"/>
      <c r="AK35" s="417"/>
      <c r="AL35" s="415"/>
      <c r="AM35" s="415"/>
      <c r="AN35" s="418"/>
      <c r="AO35" s="415"/>
      <c r="AP35" s="415"/>
      <c r="AQ35" s="415"/>
      <c r="AR35" s="415"/>
      <c r="AS35" s="417"/>
      <c r="AT35" s="415"/>
      <c r="AU35" s="415"/>
      <c r="AV35" s="418"/>
    </row>
    <row r="36" spans="1:48" ht="15.6" customHeight="1">
      <c r="A36" s="86"/>
      <c r="B36" s="1979"/>
      <c r="C36" s="1979"/>
      <c r="D36" s="1979"/>
      <c r="E36" s="1979"/>
      <c r="F36" s="1979"/>
      <c r="G36" s="1979"/>
      <c r="H36" s="1979"/>
      <c r="I36" s="1979"/>
      <c r="J36" s="1979"/>
      <c r="K36" s="1979"/>
      <c r="L36" s="1979"/>
      <c r="M36" s="1979"/>
      <c r="N36" s="46"/>
      <c r="O36" s="46"/>
      <c r="P36" s="46"/>
      <c r="Q36" s="46"/>
      <c r="R36" s="46"/>
      <c r="S36" s="46"/>
      <c r="T36" s="46"/>
      <c r="U36" s="46"/>
      <c r="V36" s="46"/>
      <c r="W36" s="1460" t="s">
        <v>841</v>
      </c>
      <c r="X36" s="1059" t="s">
        <v>842</v>
      </c>
      <c r="Y36" s="416"/>
      <c r="Z36" s="415"/>
      <c r="AA36" s="415"/>
      <c r="AB36" s="415"/>
      <c r="AC36" s="417"/>
      <c r="AD36" s="415"/>
      <c r="AE36" s="415"/>
      <c r="AF36" s="415"/>
      <c r="AG36" s="416"/>
      <c r="AH36" s="415"/>
      <c r="AI36" s="415"/>
      <c r="AJ36" s="415"/>
      <c r="AK36" s="417"/>
      <c r="AL36" s="415"/>
      <c r="AM36" s="415"/>
      <c r="AN36" s="418"/>
      <c r="AO36" s="415"/>
      <c r="AP36" s="415"/>
      <c r="AQ36" s="415"/>
      <c r="AR36" s="415"/>
      <c r="AS36" s="417"/>
      <c r="AT36" s="415"/>
      <c r="AU36" s="415"/>
      <c r="AV36" s="418"/>
    </row>
    <row r="37" spans="1:48" ht="15.6" customHeight="1">
      <c r="A37" s="86"/>
      <c r="B37" s="1979"/>
      <c r="C37" s="1979"/>
      <c r="D37" s="1979"/>
      <c r="E37" s="1979"/>
      <c r="F37" s="1979"/>
      <c r="G37" s="1979"/>
      <c r="H37" s="1979"/>
      <c r="I37" s="1979"/>
      <c r="J37" s="1979"/>
      <c r="K37" s="1979"/>
      <c r="L37" s="1979"/>
      <c r="M37" s="1979"/>
      <c r="N37" s="46"/>
      <c r="O37" s="46"/>
      <c r="P37" s="46"/>
      <c r="Q37" s="46"/>
      <c r="R37" s="46"/>
      <c r="S37" s="46"/>
      <c r="T37" s="46"/>
      <c r="U37" s="46"/>
      <c r="V37" s="46"/>
      <c r="W37" s="1460" t="s">
        <v>843</v>
      </c>
      <c r="X37" s="1059" t="s">
        <v>844</v>
      </c>
      <c r="Y37" s="416"/>
      <c r="Z37" s="415"/>
      <c r="AA37" s="415"/>
      <c r="AB37" s="415"/>
      <c r="AC37" s="417"/>
      <c r="AD37" s="415"/>
      <c r="AE37" s="415"/>
      <c r="AF37" s="415"/>
      <c r="AG37" s="416"/>
      <c r="AH37" s="415"/>
      <c r="AI37" s="415"/>
      <c r="AJ37" s="415"/>
      <c r="AK37" s="417"/>
      <c r="AL37" s="415"/>
      <c r="AM37" s="415"/>
      <c r="AN37" s="418"/>
      <c r="AO37" s="415"/>
      <c r="AP37" s="415"/>
      <c r="AQ37" s="415"/>
      <c r="AR37" s="415"/>
      <c r="AS37" s="417"/>
      <c r="AT37" s="415"/>
      <c r="AU37" s="415"/>
      <c r="AV37" s="418"/>
    </row>
    <row r="38" spans="1:48" ht="15.6" customHeight="1">
      <c r="A38" s="86"/>
      <c r="B38" s="1979"/>
      <c r="C38" s="1979"/>
      <c r="D38" s="1979"/>
      <c r="E38" s="1979"/>
      <c r="F38" s="1979"/>
      <c r="G38" s="1979"/>
      <c r="H38" s="1979"/>
      <c r="I38" s="1979"/>
      <c r="J38" s="1979"/>
      <c r="K38" s="1979"/>
      <c r="L38" s="1979"/>
      <c r="M38" s="1979"/>
      <c r="N38" s="46"/>
      <c r="O38" s="46"/>
      <c r="P38" s="46"/>
      <c r="Q38" s="46"/>
      <c r="R38" s="46"/>
      <c r="S38" s="46"/>
      <c r="T38" s="46"/>
      <c r="U38" s="46"/>
      <c r="V38" s="46"/>
      <c r="W38" s="1460" t="s">
        <v>845</v>
      </c>
      <c r="X38" s="1059" t="s">
        <v>846</v>
      </c>
      <c r="Y38" s="416"/>
      <c r="Z38" s="415"/>
      <c r="AA38" s="415"/>
      <c r="AB38" s="415"/>
      <c r="AC38" s="417"/>
      <c r="AD38" s="415"/>
      <c r="AE38" s="415"/>
      <c r="AF38" s="415"/>
      <c r="AG38" s="416"/>
      <c r="AH38" s="415"/>
      <c r="AI38" s="415"/>
      <c r="AJ38" s="415"/>
      <c r="AK38" s="417"/>
      <c r="AL38" s="415"/>
      <c r="AM38" s="415"/>
      <c r="AN38" s="418"/>
      <c r="AO38" s="415"/>
      <c r="AP38" s="415"/>
      <c r="AQ38" s="415"/>
      <c r="AR38" s="415"/>
      <c r="AS38" s="417"/>
      <c r="AT38" s="415"/>
      <c r="AU38" s="415"/>
      <c r="AV38" s="418"/>
    </row>
    <row r="39" spans="1:48" ht="15.6" customHeight="1">
      <c r="A39" s="86"/>
      <c r="B39" s="1979"/>
      <c r="C39" s="1979"/>
      <c r="D39" s="1979"/>
      <c r="E39" s="1979"/>
      <c r="F39" s="1979"/>
      <c r="G39" s="1979"/>
      <c r="H39" s="1979"/>
      <c r="I39" s="1979"/>
      <c r="J39" s="1979"/>
      <c r="K39" s="1979"/>
      <c r="L39" s="1979"/>
      <c r="M39" s="1979"/>
      <c r="N39" s="46"/>
      <c r="O39" s="46"/>
      <c r="P39" s="46"/>
      <c r="Q39" s="46"/>
      <c r="R39" s="46"/>
      <c r="S39" s="46"/>
      <c r="T39" s="46"/>
      <c r="U39" s="46"/>
      <c r="V39" s="46"/>
      <c r="W39" s="1460" t="s">
        <v>847</v>
      </c>
      <c r="X39" s="1059" t="s">
        <v>848</v>
      </c>
      <c r="Y39" s="416"/>
      <c r="Z39" s="415"/>
      <c r="AA39" s="415"/>
      <c r="AB39" s="415"/>
      <c r="AC39" s="417"/>
      <c r="AD39" s="415"/>
      <c r="AE39" s="415"/>
      <c r="AF39" s="415"/>
      <c r="AG39" s="416"/>
      <c r="AH39" s="415"/>
      <c r="AI39" s="415"/>
      <c r="AJ39" s="415"/>
      <c r="AK39" s="417"/>
      <c r="AL39" s="415"/>
      <c r="AM39" s="415"/>
      <c r="AN39" s="418"/>
      <c r="AO39" s="415"/>
      <c r="AP39" s="415"/>
      <c r="AQ39" s="415"/>
      <c r="AR39" s="415"/>
      <c r="AS39" s="417"/>
      <c r="AT39" s="415"/>
      <c r="AU39" s="415"/>
      <c r="AV39" s="418"/>
    </row>
    <row r="40" spans="1:48" ht="15.6" customHeight="1">
      <c r="A40" s="86"/>
      <c r="B40" s="1979"/>
      <c r="C40" s="1979"/>
      <c r="D40" s="1979"/>
      <c r="E40" s="1979"/>
      <c r="F40" s="1979"/>
      <c r="G40" s="1979"/>
      <c r="H40" s="1979"/>
      <c r="I40" s="1979"/>
      <c r="J40" s="1979"/>
      <c r="K40" s="1979"/>
      <c r="L40" s="1979"/>
      <c r="M40" s="1979"/>
      <c r="N40" s="46"/>
      <c r="O40" s="46"/>
      <c r="P40" s="46"/>
      <c r="Q40" s="46"/>
      <c r="R40" s="46"/>
      <c r="S40" s="46"/>
      <c r="T40" s="46"/>
      <c r="U40" s="46"/>
      <c r="V40" s="46"/>
      <c r="W40" s="1460" t="s">
        <v>849</v>
      </c>
      <c r="X40" s="1059" t="s">
        <v>850</v>
      </c>
      <c r="Y40" s="416"/>
      <c r="Z40" s="415"/>
      <c r="AA40" s="415"/>
      <c r="AB40" s="415"/>
      <c r="AC40" s="417"/>
      <c r="AD40" s="415"/>
      <c r="AE40" s="415"/>
      <c r="AF40" s="415"/>
      <c r="AG40" s="416"/>
      <c r="AH40" s="415"/>
      <c r="AI40" s="415"/>
      <c r="AJ40" s="415"/>
      <c r="AK40" s="417"/>
      <c r="AL40" s="415"/>
      <c r="AM40" s="415"/>
      <c r="AN40" s="418"/>
      <c r="AO40" s="415"/>
      <c r="AP40" s="415"/>
      <c r="AQ40" s="415"/>
      <c r="AR40" s="415"/>
      <c r="AS40" s="417"/>
      <c r="AT40" s="415"/>
      <c r="AU40" s="415"/>
      <c r="AV40" s="418"/>
    </row>
    <row r="41" spans="1:48" ht="15.6" customHeight="1">
      <c r="A41" s="86"/>
      <c r="B41" s="46"/>
      <c r="C41" s="46"/>
      <c r="D41" s="46"/>
      <c r="E41" s="46"/>
      <c r="F41" s="46"/>
      <c r="G41" s="46"/>
      <c r="H41" s="46"/>
      <c r="I41" s="46"/>
      <c r="J41" s="46"/>
      <c r="K41" s="46"/>
      <c r="L41" s="46"/>
      <c r="M41" s="46"/>
      <c r="N41" s="46"/>
      <c r="O41" s="46"/>
      <c r="P41" s="46"/>
      <c r="Q41" s="46"/>
      <c r="R41" s="46"/>
      <c r="S41" s="46"/>
      <c r="T41" s="46"/>
      <c r="U41" s="46"/>
      <c r="V41" s="46"/>
      <c r="W41" s="1460" t="s">
        <v>851</v>
      </c>
      <c r="X41" s="1059" t="s">
        <v>852</v>
      </c>
      <c r="Y41" s="416"/>
      <c r="Z41" s="415"/>
      <c r="AA41" s="415"/>
      <c r="AB41" s="415"/>
      <c r="AC41" s="417"/>
      <c r="AD41" s="415"/>
      <c r="AE41" s="415"/>
      <c r="AF41" s="415"/>
      <c r="AG41" s="416"/>
      <c r="AH41" s="415"/>
      <c r="AI41" s="415"/>
      <c r="AJ41" s="415"/>
      <c r="AK41" s="417"/>
      <c r="AL41" s="415"/>
      <c r="AM41" s="415"/>
      <c r="AN41" s="418"/>
      <c r="AO41" s="415"/>
      <c r="AP41" s="415"/>
      <c r="AQ41" s="415"/>
      <c r="AR41" s="415"/>
      <c r="AS41" s="417"/>
      <c r="AT41" s="415"/>
      <c r="AU41" s="415"/>
      <c r="AV41" s="418"/>
    </row>
    <row r="42" spans="1:48" ht="15.6" customHeight="1">
      <c r="A42" s="86"/>
      <c r="B42" s="46"/>
      <c r="C42" s="46"/>
      <c r="D42" s="46"/>
      <c r="E42" s="46"/>
      <c r="F42" s="46"/>
      <c r="G42" s="46"/>
      <c r="H42" s="46"/>
      <c r="I42" s="46"/>
      <c r="J42" s="46"/>
      <c r="K42" s="46"/>
      <c r="L42" s="46"/>
      <c r="M42" s="46"/>
      <c r="N42" s="46"/>
      <c r="O42" s="46"/>
      <c r="P42" s="46"/>
      <c r="Q42" s="46"/>
      <c r="R42" s="46"/>
      <c r="S42" s="46"/>
      <c r="T42" s="46"/>
      <c r="U42" s="46"/>
      <c r="V42" s="46"/>
      <c r="W42" s="1460" t="s">
        <v>853</v>
      </c>
      <c r="X42" s="1059" t="s">
        <v>854</v>
      </c>
      <c r="Y42" s="416"/>
      <c r="Z42" s="415"/>
      <c r="AA42" s="415"/>
      <c r="AB42" s="415"/>
      <c r="AC42" s="417"/>
      <c r="AD42" s="415"/>
      <c r="AE42" s="415"/>
      <c r="AF42" s="415"/>
      <c r="AG42" s="416"/>
      <c r="AH42" s="415"/>
      <c r="AI42" s="415"/>
      <c r="AJ42" s="415"/>
      <c r="AK42" s="417"/>
      <c r="AL42" s="415"/>
      <c r="AM42" s="415"/>
      <c r="AN42" s="418"/>
      <c r="AO42" s="415"/>
      <c r="AP42" s="415"/>
      <c r="AQ42" s="415"/>
      <c r="AR42" s="415"/>
      <c r="AS42" s="417"/>
      <c r="AT42" s="415"/>
      <c r="AU42" s="415"/>
      <c r="AV42" s="418"/>
    </row>
    <row r="43" spans="1:48" ht="15.6" customHeight="1">
      <c r="A43" s="90"/>
      <c r="B43" s="1060"/>
      <c r="C43" s="1060"/>
      <c r="D43" s="1060"/>
      <c r="E43" s="1060"/>
      <c r="F43" s="1060"/>
      <c r="G43" s="1060"/>
      <c r="H43" s="1060"/>
      <c r="I43" s="1060"/>
      <c r="J43" s="1060"/>
      <c r="K43" s="1060"/>
      <c r="L43" s="1060"/>
      <c r="M43" s="1060"/>
      <c r="N43" s="1060"/>
      <c r="O43" s="1060"/>
      <c r="P43" s="1060"/>
      <c r="Q43" s="1060"/>
      <c r="R43" s="1060"/>
      <c r="S43" s="1060"/>
      <c r="T43" s="1060"/>
      <c r="U43" s="1060"/>
      <c r="V43" s="1060"/>
      <c r="W43" s="1061" t="s">
        <v>855</v>
      </c>
      <c r="X43" s="1062" t="s">
        <v>856</v>
      </c>
      <c r="Y43" s="416"/>
      <c r="Z43" s="415"/>
      <c r="AA43" s="415"/>
      <c r="AB43" s="415"/>
      <c r="AC43" s="417"/>
      <c r="AD43" s="415"/>
      <c r="AE43" s="415"/>
      <c r="AF43" s="415"/>
      <c r="AG43" s="416"/>
      <c r="AH43" s="415"/>
      <c r="AI43" s="415"/>
      <c r="AJ43" s="415"/>
      <c r="AK43" s="417"/>
      <c r="AL43" s="415"/>
      <c r="AM43" s="415"/>
      <c r="AN43" s="418"/>
      <c r="AO43" s="415"/>
      <c r="AP43" s="415"/>
      <c r="AQ43" s="415"/>
      <c r="AR43" s="415"/>
      <c r="AS43" s="417"/>
      <c r="AT43" s="415"/>
      <c r="AU43" s="415"/>
      <c r="AV43" s="418"/>
    </row>
    <row r="44" spans="1:48" ht="15.6" customHeight="1">
      <c r="A44" s="90">
        <f>A31-0.01</f>
        <v>-7.0999999999999979</v>
      </c>
      <c r="B44" s="91" t="s">
        <v>857</v>
      </c>
      <c r="C44" s="1142"/>
      <c r="D44" s="1063"/>
      <c r="E44" s="1064"/>
      <c r="F44" s="1064"/>
      <c r="G44" s="1064"/>
      <c r="H44" s="1142"/>
      <c r="I44" s="1142"/>
      <c r="J44" s="1142"/>
      <c r="K44" s="1142"/>
      <c r="L44" s="1063"/>
      <c r="M44" s="1063"/>
      <c r="N44" s="1063"/>
      <c r="O44" s="1063"/>
      <c r="P44" s="1063"/>
      <c r="Q44" s="1063"/>
      <c r="R44" s="1063"/>
      <c r="S44" s="1063"/>
      <c r="T44" s="1142"/>
      <c r="U44" s="1063"/>
      <c r="V44" s="1063"/>
      <c r="W44" s="1063"/>
      <c r="X44" s="1148"/>
      <c r="Y44" s="2966"/>
      <c r="Z44" s="2967"/>
      <c r="AA44" s="2967"/>
      <c r="AB44" s="2967"/>
      <c r="AC44" s="2967"/>
      <c r="AD44" s="2923"/>
      <c r="AE44" s="2939"/>
      <c r="AF44" s="2970"/>
      <c r="AG44" s="2966"/>
      <c r="AH44" s="2967"/>
      <c r="AI44" s="2967"/>
      <c r="AJ44" s="2967"/>
      <c r="AK44" s="2967"/>
      <c r="AL44" s="2923"/>
      <c r="AM44" s="2939"/>
      <c r="AN44" s="2970"/>
      <c r="AO44" s="2966"/>
      <c r="AP44" s="2967"/>
      <c r="AQ44" s="2967"/>
      <c r="AR44" s="2967"/>
      <c r="AS44" s="2967"/>
      <c r="AT44" s="2923"/>
      <c r="AU44" s="2939"/>
      <c r="AV44" s="2970"/>
    </row>
    <row r="45" spans="1:48" ht="11.25">
      <c r="A45" s="71"/>
    </row>
  </sheetData>
  <customSheetViews>
    <customSheetView guid="{77361B37-359A-4BD7-AABE-B5C029043447}" showGridLines="0" topLeftCell="A13">
      <selection activeCell="L11" sqref="L11:Q12"/>
      <pageMargins left="0" right="0" top="0" bottom="0" header="0" footer="0"/>
      <pageSetup paperSize="9" orientation="landscape" r:id="rId1"/>
      <headerFooter alignWithMargins="0">
        <oddFooter>&amp;C&amp;P</oddFooter>
      </headerFooter>
    </customSheetView>
  </customSheetViews>
  <mergeCells count="49">
    <mergeCell ref="AO8:AV9"/>
    <mergeCell ref="Y5:Z5"/>
    <mergeCell ref="AG13:AH13"/>
    <mergeCell ref="AG14:AH14"/>
    <mergeCell ref="AG12:AH12"/>
    <mergeCell ref="Y10:AF10"/>
    <mergeCell ref="AG10:AN10"/>
    <mergeCell ref="Y8:AF9"/>
    <mergeCell ref="AG8:AN9"/>
    <mergeCell ref="AO13:AP13"/>
    <mergeCell ref="AO14:AP14"/>
    <mergeCell ref="AO12:AP12"/>
    <mergeCell ref="AO10:AV10"/>
    <mergeCell ref="Y12:Z12"/>
    <mergeCell ref="AO44:AS44"/>
    <mergeCell ref="AO31:AS31"/>
    <mergeCell ref="AT31:AV31"/>
    <mergeCell ref="Y44:AC44"/>
    <mergeCell ref="AT44:AV44"/>
    <mergeCell ref="Y31:AC31"/>
    <mergeCell ref="AD31:AF31"/>
    <mergeCell ref="AD44:AF44"/>
    <mergeCell ref="AG44:AK44"/>
    <mergeCell ref="AL44:AN44"/>
    <mergeCell ref="AG31:AK31"/>
    <mergeCell ref="AL31:AN31"/>
    <mergeCell ref="B33:M40"/>
    <mergeCell ref="AA11:AB11"/>
    <mergeCell ref="AC11:AD11"/>
    <mergeCell ref="AE11:AF11"/>
    <mergeCell ref="AI11:AJ11"/>
    <mergeCell ref="Y16:AF16"/>
    <mergeCell ref="Y13:Z13"/>
    <mergeCell ref="Y14:Z14"/>
    <mergeCell ref="AG16:AN16"/>
    <mergeCell ref="Y27:AF27"/>
    <mergeCell ref="AG27:AN27"/>
    <mergeCell ref="B10:X11"/>
    <mergeCell ref="A10:A11"/>
    <mergeCell ref="B31:X31"/>
    <mergeCell ref="A15:AV15"/>
    <mergeCell ref="A29:AV29"/>
    <mergeCell ref="AK11:AL11"/>
    <mergeCell ref="AM11:AN11"/>
    <mergeCell ref="AQ11:AR11"/>
    <mergeCell ref="AS11:AT11"/>
    <mergeCell ref="AU11:AV11"/>
    <mergeCell ref="AO16:AV16"/>
    <mergeCell ref="AO27:AV27"/>
  </mergeCells>
  <phoneticPr fontId="3" type="noConversion"/>
  <pageMargins left="0.45" right="0.45" top="0.75" bottom="0.75" header="0.3" footer="0.3"/>
  <pageSetup paperSize="9" scale="80" orientation="landscape" r:id="rId2"/>
  <headerFooter alignWithMargins="0">
    <oddFooter>&amp;C&amp;P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2">
    <tabColor rgb="FFFF0000"/>
  </sheetPr>
  <dimension ref="A1:Y57"/>
  <sheetViews>
    <sheetView showGridLines="0" view="pageBreakPreview" zoomScaleSheetLayoutView="100" workbookViewId="0">
      <selection activeCell="F33" sqref="F33"/>
    </sheetView>
  </sheetViews>
  <sheetFormatPr defaultColWidth="9.140625" defaultRowHeight="12.75"/>
  <cols>
    <col min="1" max="1" width="7.42578125" style="1465" customWidth="1"/>
    <col min="2" max="14" width="7.42578125" style="102" customWidth="1"/>
    <col min="15" max="16" width="7.42578125" style="104" customWidth="1"/>
    <col min="17" max="25" width="7.42578125" style="102" customWidth="1"/>
    <col min="26" max="16384" width="9.140625" style="102"/>
  </cols>
  <sheetData>
    <row r="1" spans="1:25" ht="15.75">
      <c r="A1" s="1462" t="s">
        <v>858</v>
      </c>
      <c r="B1" s="99"/>
      <c r="C1" s="100"/>
      <c r="D1" s="100"/>
      <c r="E1" s="100"/>
      <c r="F1" s="100"/>
      <c r="G1" s="100"/>
      <c r="H1" s="100"/>
      <c r="I1" s="100"/>
      <c r="J1" s="100"/>
      <c r="K1" s="100"/>
      <c r="L1" s="100"/>
      <c r="M1" s="100"/>
      <c r="N1" s="100"/>
      <c r="O1" s="101"/>
      <c r="P1" s="101"/>
      <c r="Q1" s="100"/>
      <c r="R1" s="100"/>
      <c r="S1" s="100"/>
      <c r="T1" s="100"/>
      <c r="U1" s="100"/>
      <c r="V1" s="100"/>
      <c r="W1" s="100"/>
      <c r="X1" s="100"/>
      <c r="Y1" s="100"/>
    </row>
    <row r="2" spans="1:25" ht="5.25" customHeight="1">
      <c r="A2" s="1463"/>
      <c r="B2" s="99"/>
      <c r="C2" s="100"/>
      <c r="D2" s="100"/>
      <c r="E2" s="100"/>
      <c r="F2" s="100"/>
      <c r="G2" s="100"/>
      <c r="H2" s="100"/>
      <c r="I2" s="100"/>
      <c r="J2" s="100"/>
      <c r="K2" s="100"/>
      <c r="L2" s="100"/>
      <c r="M2" s="100"/>
      <c r="N2" s="100"/>
      <c r="O2" s="101"/>
      <c r="P2" s="101"/>
      <c r="Q2" s="100"/>
      <c r="R2" s="100"/>
      <c r="S2" s="100"/>
      <c r="T2" s="100"/>
      <c r="U2" s="100"/>
      <c r="V2" s="100"/>
      <c r="W2" s="100"/>
      <c r="X2" s="100"/>
      <c r="Y2" s="100"/>
    </row>
    <row r="3" spans="1:25">
      <c r="A3" s="1597" t="s">
        <v>859</v>
      </c>
      <c r="O3" s="102"/>
      <c r="P3" s="102"/>
      <c r="Y3" s="1598" t="s">
        <v>860</v>
      </c>
    </row>
    <row r="4" spans="1:25" ht="6.75" customHeight="1">
      <c r="A4" s="1597"/>
      <c r="O4" s="102"/>
      <c r="P4" s="102"/>
      <c r="Y4" s="1598"/>
    </row>
    <row r="5" spans="1:25" ht="13.15" customHeight="1">
      <c r="A5" s="1463">
        <v>-8.01</v>
      </c>
      <c r="B5" s="148" t="s">
        <v>861</v>
      </c>
      <c r="C5" s="100"/>
      <c r="D5" s="100"/>
      <c r="E5" s="100"/>
      <c r="F5" s="100"/>
      <c r="G5" s="100"/>
      <c r="H5" s="100"/>
      <c r="I5" s="100"/>
      <c r="J5" s="100"/>
      <c r="K5" s="100"/>
      <c r="M5" s="1065">
        <f>A14-0.01</f>
        <v>-8.0399999999999991</v>
      </c>
      <c r="N5" s="2977" t="s">
        <v>1677</v>
      </c>
      <c r="O5" s="2977"/>
      <c r="P5" s="2977"/>
      <c r="Q5" s="2977"/>
      <c r="R5" s="2977"/>
      <c r="S5" s="2977"/>
      <c r="T5" s="2977"/>
      <c r="U5" s="2977"/>
      <c r="V5" s="2977"/>
      <c r="W5" s="2977"/>
      <c r="X5" s="2977"/>
      <c r="Y5" s="2977"/>
    </row>
    <row r="6" spans="1:25">
      <c r="A6" s="571"/>
      <c r="H6" s="2"/>
      <c r="K6" s="2"/>
      <c r="L6" s="100"/>
      <c r="N6" s="2977"/>
      <c r="O6" s="2977"/>
      <c r="P6" s="2977"/>
      <c r="Q6" s="2977"/>
      <c r="R6" s="2977"/>
      <c r="S6" s="2977"/>
      <c r="T6" s="2977"/>
      <c r="U6" s="2977"/>
      <c r="V6" s="2977"/>
      <c r="W6" s="2977"/>
      <c r="X6" s="2977"/>
      <c r="Y6" s="2977"/>
    </row>
    <row r="7" spans="1:25">
      <c r="A7" s="571"/>
      <c r="C7" s="560" t="s">
        <v>104</v>
      </c>
      <c r="D7" s="561">
        <v>1</v>
      </c>
      <c r="E7" s="19"/>
      <c r="F7" s="19"/>
      <c r="G7" s="20"/>
      <c r="H7" s="2"/>
      <c r="I7" s="2"/>
      <c r="J7" s="103"/>
      <c r="K7" s="2"/>
      <c r="L7" s="100"/>
      <c r="O7" s="705"/>
      <c r="P7" s="705"/>
      <c r="Q7" s="705"/>
      <c r="R7" s="560" t="s">
        <v>104</v>
      </c>
      <c r="S7" s="561">
        <v>1</v>
      </c>
      <c r="T7" s="1066"/>
      <c r="U7" s="397"/>
      <c r="Y7" s="103"/>
    </row>
    <row r="8" spans="1:25">
      <c r="A8" s="571"/>
      <c r="C8" s="560" t="s">
        <v>108</v>
      </c>
      <c r="D8" s="561">
        <v>2</v>
      </c>
      <c r="E8" s="720" t="s">
        <v>91</v>
      </c>
      <c r="F8" s="720"/>
      <c r="G8" s="420">
        <f>A14</f>
        <v>-8.0299999999999994</v>
      </c>
      <c r="K8" s="100"/>
      <c r="L8" s="100"/>
      <c r="O8" s="102"/>
      <c r="P8" s="102"/>
      <c r="R8" s="560" t="s">
        <v>108</v>
      </c>
      <c r="S8" s="561">
        <v>2</v>
      </c>
      <c r="T8" s="720" t="s">
        <v>91</v>
      </c>
      <c r="U8" s="1067">
        <f>M14</f>
        <v>-8.0599999999999987</v>
      </c>
      <c r="V8" s="100"/>
    </row>
    <row r="9" spans="1:25" ht="8.25" customHeight="1">
      <c r="A9" s="571"/>
      <c r="C9" s="47"/>
      <c r="D9" s="639"/>
      <c r="E9" s="233"/>
      <c r="F9" s="233"/>
      <c r="G9" s="936"/>
      <c r="K9" s="100"/>
      <c r="L9" s="100"/>
      <c r="O9" s="102"/>
      <c r="P9" s="102"/>
      <c r="R9" s="47"/>
      <c r="S9" s="639"/>
      <c r="T9" s="233"/>
      <c r="U9" s="1068"/>
      <c r="V9" s="100"/>
    </row>
    <row r="10" spans="1:25">
      <c r="A10" s="1464">
        <f>A5-0.01</f>
        <v>-8.02</v>
      </c>
      <c r="B10" s="100" t="s">
        <v>862</v>
      </c>
      <c r="C10" s="100"/>
      <c r="D10" s="100"/>
      <c r="E10" s="100"/>
      <c r="F10" s="100"/>
      <c r="G10" s="100"/>
      <c r="H10" s="100"/>
      <c r="I10" s="100"/>
      <c r="J10" s="100"/>
      <c r="K10" s="100"/>
      <c r="M10" s="1065">
        <f>M5-0.01</f>
        <v>-8.0499999999999989</v>
      </c>
      <c r="N10" s="102" t="s">
        <v>863</v>
      </c>
    </row>
    <row r="11" spans="1:25" ht="6" customHeight="1">
      <c r="C11" s="100"/>
      <c r="D11" s="100"/>
      <c r="E11" s="100"/>
      <c r="F11" s="100"/>
      <c r="G11" s="100"/>
      <c r="H11" s="100"/>
      <c r="I11" s="100"/>
      <c r="J11" s="100"/>
      <c r="K11" s="100"/>
      <c r="L11" s="100"/>
    </row>
    <row r="12" spans="1:25" ht="15" customHeight="1">
      <c r="B12" s="24"/>
      <c r="C12" s="24"/>
      <c r="D12" s="100"/>
      <c r="E12" s="137" t="s">
        <v>293</v>
      </c>
      <c r="F12" s="137"/>
      <c r="G12" s="865"/>
      <c r="H12" s="866"/>
      <c r="I12" s="866"/>
      <c r="J12" s="867"/>
      <c r="K12" s="100"/>
      <c r="L12" s="100"/>
      <c r="O12" s="102"/>
      <c r="P12" s="102"/>
      <c r="X12" s="885" t="s">
        <v>864</v>
      </c>
      <c r="Y12" s="1069"/>
    </row>
    <row r="13" spans="1:25" ht="9" customHeight="1">
      <c r="C13" s="100"/>
      <c r="D13" s="100"/>
      <c r="E13" s="100"/>
      <c r="F13" s="100"/>
      <c r="G13" s="100"/>
      <c r="H13" s="100"/>
      <c r="I13" s="100"/>
      <c r="J13" s="100"/>
      <c r="L13" s="100"/>
      <c r="O13" s="102"/>
      <c r="P13" s="102"/>
      <c r="U13" s="1070"/>
    </row>
    <row r="14" spans="1:25" ht="13.15" customHeight="1">
      <c r="A14" s="1463">
        <f>A10-0.01</f>
        <v>-8.0299999999999994</v>
      </c>
      <c r="B14" s="2026" t="s">
        <v>865</v>
      </c>
      <c r="C14" s="2026"/>
      <c r="D14" s="2026"/>
      <c r="E14" s="2026"/>
      <c r="F14" s="2026"/>
      <c r="G14" s="2026"/>
      <c r="H14" s="2026"/>
      <c r="I14" s="2026"/>
      <c r="J14" s="2026"/>
      <c r="K14" s="100"/>
      <c r="L14" s="100"/>
      <c r="M14" s="884">
        <f>M10-0.01</f>
        <v>-8.0599999999999987</v>
      </c>
      <c r="N14" s="2977" t="s">
        <v>866</v>
      </c>
      <c r="O14" s="2977"/>
      <c r="P14" s="2977"/>
      <c r="Q14" s="2977"/>
      <c r="R14" s="2977"/>
      <c r="S14" s="2977"/>
      <c r="T14" s="2977"/>
      <c r="U14" s="2977"/>
      <c r="V14" s="2977"/>
      <c r="W14" s="2977"/>
      <c r="X14" s="2977"/>
      <c r="Y14" s="2977"/>
    </row>
    <row r="15" spans="1:25">
      <c r="A15" s="1463"/>
      <c r="B15" s="2026"/>
      <c r="C15" s="2026"/>
      <c r="D15" s="2026"/>
      <c r="E15" s="2026"/>
      <c r="F15" s="2026"/>
      <c r="G15" s="2026"/>
      <c r="H15" s="2026"/>
      <c r="I15" s="2026"/>
      <c r="J15" s="2026"/>
      <c r="K15" s="421"/>
      <c r="L15" s="421"/>
      <c r="M15" s="705"/>
      <c r="N15" s="2977"/>
      <c r="O15" s="2977"/>
      <c r="P15" s="2977"/>
      <c r="Q15" s="2977"/>
      <c r="R15" s="2977"/>
      <c r="S15" s="2977"/>
      <c r="T15" s="2977"/>
      <c r="U15" s="2977"/>
      <c r="V15" s="2977"/>
      <c r="W15" s="2977"/>
      <c r="X15" s="2977"/>
      <c r="Y15" s="2977"/>
    </row>
    <row r="16" spans="1:25">
      <c r="A16" s="1463"/>
      <c r="B16" s="2026"/>
      <c r="C16" s="2026"/>
      <c r="D16" s="2026"/>
      <c r="E16" s="2026"/>
      <c r="F16" s="2026"/>
      <c r="G16" s="2026"/>
      <c r="H16" s="2026"/>
      <c r="I16" s="2026"/>
      <c r="J16" s="2026"/>
      <c r="K16" s="421"/>
      <c r="L16" s="421"/>
      <c r="M16" s="421"/>
      <c r="N16" s="421"/>
      <c r="R16" s="560" t="s">
        <v>104</v>
      </c>
      <c r="S16" s="561">
        <v>1</v>
      </c>
      <c r="T16" s="20"/>
      <c r="U16" s="20"/>
      <c r="X16" s="100"/>
      <c r="Y16" s="103"/>
    </row>
    <row r="17" spans="1:25">
      <c r="A17" s="1463"/>
      <c r="B17" s="2026"/>
      <c r="C17" s="2026"/>
      <c r="D17" s="2026"/>
      <c r="E17" s="2026"/>
      <c r="F17" s="2026"/>
      <c r="G17" s="2026"/>
      <c r="H17" s="2026"/>
      <c r="I17" s="2026"/>
      <c r="J17" s="2026"/>
      <c r="K17" s="421"/>
      <c r="L17" s="421"/>
      <c r="M17" s="421"/>
      <c r="N17" s="421"/>
      <c r="O17" s="102"/>
      <c r="P17" s="102"/>
      <c r="R17" s="560" t="s">
        <v>108</v>
      </c>
      <c r="S17" s="561">
        <v>2</v>
      </c>
      <c r="T17" s="720" t="s">
        <v>91</v>
      </c>
      <c r="U17" s="397" t="s">
        <v>867</v>
      </c>
      <c r="V17" s="100"/>
      <c r="X17" s="705"/>
      <c r="Y17" s="705"/>
    </row>
    <row r="18" spans="1:25">
      <c r="A18" s="1463"/>
      <c r="C18" s="560" t="s">
        <v>104</v>
      </c>
      <c r="D18" s="561">
        <v>1</v>
      </c>
      <c r="E18" s="559"/>
      <c r="F18" s="559"/>
      <c r="G18" s="559"/>
      <c r="J18" s="103"/>
      <c r="K18" s="2"/>
      <c r="L18" s="2"/>
      <c r="O18" s="102"/>
      <c r="P18" s="102"/>
    </row>
    <row r="19" spans="1:25">
      <c r="C19" s="560" t="s">
        <v>108</v>
      </c>
      <c r="D19" s="561">
        <v>2</v>
      </c>
      <c r="E19" s="720" t="s">
        <v>91</v>
      </c>
      <c r="F19" s="720"/>
      <c r="G19" s="420">
        <f>M14</f>
        <v>-8.0599999999999987</v>
      </c>
      <c r="H19" s="100"/>
      <c r="K19" s="2"/>
      <c r="L19" s="2"/>
      <c r="M19" s="419">
        <f>M14-0.01</f>
        <v>-8.0699999999999985</v>
      </c>
      <c r="N19" s="148" t="s">
        <v>868</v>
      </c>
      <c r="Q19" s="100"/>
      <c r="R19" s="100"/>
      <c r="S19" s="100"/>
      <c r="T19" s="100"/>
      <c r="U19" s="100"/>
      <c r="X19" s="885" t="s">
        <v>815</v>
      </c>
      <c r="Y19" s="103"/>
    </row>
    <row r="20" spans="1:25" ht="9" customHeight="1"/>
    <row r="21" spans="1:25" ht="13.5" customHeight="1">
      <c r="A21" s="1466"/>
      <c r="B21" s="2978"/>
      <c r="C21" s="2978"/>
      <c r="D21" s="2978"/>
      <c r="E21" s="2978"/>
      <c r="F21" s="2978"/>
      <c r="G21" s="2978"/>
      <c r="H21" s="2978"/>
      <c r="I21" s="2978"/>
      <c r="J21" s="2978"/>
      <c r="K21" s="2978"/>
      <c r="L21" s="1047"/>
      <c r="M21" s="1047"/>
      <c r="N21" s="1047"/>
      <c r="O21" s="1047"/>
      <c r="P21" s="1047"/>
      <c r="Q21" s="2979" t="s">
        <v>869</v>
      </c>
      <c r="R21" s="2980"/>
      <c r="S21" s="2981"/>
      <c r="T21" s="2979" t="s">
        <v>870</v>
      </c>
      <c r="U21" s="2980"/>
      <c r="V21" s="2981"/>
      <c r="W21" s="2979" t="s">
        <v>871</v>
      </c>
      <c r="X21" s="2980"/>
      <c r="Y21" s="2981"/>
    </row>
    <row r="22" spans="1:25" ht="14.25" customHeight="1">
      <c r="A22" s="1344">
        <f>M19-0.01</f>
        <v>-8.0799999999999983</v>
      </c>
      <c r="B22" s="106" t="s">
        <v>872</v>
      </c>
      <c r="E22" s="107"/>
      <c r="F22" s="107"/>
      <c r="G22" s="107"/>
      <c r="H22" s="107"/>
      <c r="I22" s="107"/>
      <c r="J22" s="107"/>
      <c r="K22" s="107"/>
      <c r="L22" s="107"/>
      <c r="M22" s="107"/>
      <c r="N22" s="107"/>
      <c r="O22" s="107"/>
      <c r="P22" s="101"/>
      <c r="Q22" s="108"/>
      <c r="R22" s="101"/>
      <c r="S22" s="101"/>
      <c r="T22" s="108"/>
      <c r="U22" s="101"/>
      <c r="V22" s="101"/>
      <c r="W22" s="108"/>
      <c r="X22" s="101"/>
      <c r="Y22" s="109"/>
    </row>
    <row r="23" spans="1:25">
      <c r="A23" s="1467"/>
      <c r="B23" s="1474"/>
      <c r="E23" s="101"/>
      <c r="F23" s="101"/>
      <c r="G23" s="101"/>
      <c r="H23" s="101"/>
      <c r="I23" s="101"/>
      <c r="J23" s="101"/>
      <c r="K23" s="101"/>
      <c r="L23" s="101"/>
      <c r="M23" s="101"/>
      <c r="N23" s="101"/>
      <c r="O23" s="101"/>
      <c r="P23" s="101"/>
      <c r="Q23" s="108"/>
      <c r="R23" s="101"/>
      <c r="S23" s="101"/>
      <c r="T23" s="108"/>
      <c r="U23" s="101"/>
      <c r="V23" s="101"/>
      <c r="W23" s="108"/>
      <c r="X23" s="101"/>
      <c r="Y23" s="109"/>
    </row>
    <row r="24" spans="1:25" ht="14.25" customHeight="1">
      <c r="A24" s="1468"/>
      <c r="B24" s="562" t="s">
        <v>873</v>
      </c>
      <c r="C24" s="111"/>
      <c r="D24" s="111"/>
      <c r="E24" s="112"/>
      <c r="F24" s="112"/>
      <c r="G24" s="564">
        <v>1</v>
      </c>
      <c r="H24" s="113"/>
      <c r="I24" s="562" t="s">
        <v>874</v>
      </c>
      <c r="J24" s="111"/>
      <c r="K24" s="25"/>
      <c r="L24" s="110"/>
      <c r="M24" s="110"/>
      <c r="N24" s="110"/>
      <c r="O24" s="564">
        <v>6</v>
      </c>
      <c r="P24" s="101"/>
      <c r="Q24" s="108"/>
      <c r="R24" s="101"/>
      <c r="S24" s="101"/>
      <c r="T24" s="108"/>
      <c r="U24" s="101"/>
      <c r="V24" s="101"/>
      <c r="W24" s="108"/>
      <c r="X24" s="101"/>
      <c r="Y24" s="109"/>
    </row>
    <row r="25" spans="1:25" ht="14.25" customHeight="1">
      <c r="A25" s="1468"/>
      <c r="B25" s="562" t="s">
        <v>875</v>
      </c>
      <c r="C25" s="111"/>
      <c r="D25" s="111"/>
      <c r="E25" s="112"/>
      <c r="F25" s="112"/>
      <c r="G25" s="564">
        <v>2</v>
      </c>
      <c r="H25" s="113"/>
      <c r="I25" s="563" t="s">
        <v>876</v>
      </c>
      <c r="J25" s="111"/>
      <c r="K25" s="25"/>
      <c r="L25" s="110"/>
      <c r="M25" s="110"/>
      <c r="N25" s="110"/>
      <c r="O25" s="564">
        <v>7</v>
      </c>
      <c r="P25" s="101"/>
      <c r="Q25" s="108"/>
      <c r="R25" s="101"/>
      <c r="S25" s="101"/>
      <c r="T25" s="108"/>
      <c r="U25" s="101"/>
      <c r="V25" s="101"/>
      <c r="W25" s="108"/>
      <c r="X25" s="101"/>
      <c r="Y25" s="109"/>
    </row>
    <row r="26" spans="1:25" ht="14.25" customHeight="1">
      <c r="A26" s="1468"/>
      <c r="B26" s="562" t="s">
        <v>877</v>
      </c>
      <c r="C26" s="111"/>
      <c r="D26" s="111"/>
      <c r="E26" s="112"/>
      <c r="F26" s="112"/>
      <c r="G26" s="564">
        <v>3</v>
      </c>
      <c r="H26" s="113"/>
      <c r="I26" s="559" t="s">
        <v>878</v>
      </c>
      <c r="J26" s="111"/>
      <c r="K26" s="112"/>
      <c r="L26" s="112"/>
      <c r="M26" s="112"/>
      <c r="N26" s="112"/>
      <c r="O26" s="564">
        <v>8</v>
      </c>
      <c r="P26" s="101"/>
      <c r="Q26" s="108"/>
      <c r="R26" s="101"/>
      <c r="S26" s="101"/>
      <c r="T26" s="108"/>
      <c r="U26" s="101"/>
      <c r="V26" s="101"/>
      <c r="W26" s="108"/>
      <c r="X26" s="101"/>
      <c r="Y26" s="109"/>
    </row>
    <row r="27" spans="1:25" ht="14.25" customHeight="1">
      <c r="A27" s="1468"/>
      <c r="B27" s="559" t="s">
        <v>879</v>
      </c>
      <c r="C27" s="111"/>
      <c r="D27" s="111"/>
      <c r="E27" s="112"/>
      <c r="F27" s="112"/>
      <c r="G27" s="564">
        <v>4</v>
      </c>
      <c r="H27" s="113"/>
      <c r="I27" s="559" t="s">
        <v>112</v>
      </c>
      <c r="J27" s="111"/>
      <c r="K27" s="112"/>
      <c r="L27" s="112"/>
      <c r="M27" s="112"/>
      <c r="N27" s="112"/>
      <c r="O27" s="564">
        <v>9</v>
      </c>
      <c r="P27" s="101"/>
      <c r="Q27" s="108"/>
      <c r="R27" s="101"/>
      <c r="S27" s="101"/>
      <c r="T27" s="108"/>
      <c r="U27" s="101"/>
      <c r="V27" s="101"/>
      <c r="W27" s="108"/>
      <c r="X27" s="101"/>
      <c r="Y27" s="109"/>
    </row>
    <row r="28" spans="1:25" ht="14.25" customHeight="1">
      <c r="A28" s="1468"/>
      <c r="B28" s="559" t="s">
        <v>880</v>
      </c>
      <c r="C28" s="111"/>
      <c r="D28" s="111"/>
      <c r="E28" s="111"/>
      <c r="F28" s="111"/>
      <c r="G28" s="565">
        <v>5</v>
      </c>
      <c r="H28" s="113"/>
      <c r="I28" s="184"/>
      <c r="J28" s="184"/>
      <c r="K28" s="185"/>
      <c r="L28" s="185"/>
      <c r="M28" s="185"/>
      <c r="N28" s="185"/>
      <c r="O28" s="1749"/>
      <c r="P28" s="1778"/>
      <c r="Q28" s="108"/>
      <c r="R28" s="101"/>
      <c r="S28" s="101"/>
      <c r="T28" s="108"/>
      <c r="U28" s="101"/>
      <c r="V28" s="101"/>
      <c r="W28" s="108"/>
      <c r="X28" s="101"/>
      <c r="Y28" s="109"/>
    </row>
    <row r="29" spans="1:25">
      <c r="A29" s="1469"/>
      <c r="B29" s="115"/>
      <c r="C29" s="115"/>
      <c r="D29" s="115"/>
      <c r="E29" s="115"/>
      <c r="F29" s="1775"/>
      <c r="G29" s="1475"/>
      <c r="H29" s="116"/>
      <c r="I29" s="34"/>
      <c r="J29" s="34"/>
      <c r="K29" s="183"/>
      <c r="L29" s="183"/>
      <c r="M29" s="116"/>
      <c r="N29" s="116"/>
      <c r="O29" s="1750"/>
      <c r="P29" s="1750"/>
      <c r="Q29" s="114"/>
      <c r="R29" s="117"/>
      <c r="S29" s="117"/>
      <c r="T29" s="114"/>
      <c r="U29" s="117"/>
      <c r="V29" s="117"/>
      <c r="W29" s="114"/>
      <c r="X29" s="117"/>
      <c r="Y29" s="118"/>
    </row>
    <row r="30" spans="1:25" ht="14.25" customHeight="1">
      <c r="A30" s="1467">
        <f>A22-0.01</f>
        <v>-8.0899999999999981</v>
      </c>
      <c r="B30" s="119" t="s">
        <v>881</v>
      </c>
      <c r="C30" s="1038"/>
      <c r="D30" s="1038"/>
      <c r="E30" s="119"/>
      <c r="F30" s="119"/>
      <c r="G30" s="120"/>
      <c r="H30" s="119"/>
      <c r="I30" s="574" t="s">
        <v>882</v>
      </c>
      <c r="J30" s="934">
        <v>1</v>
      </c>
      <c r="K30" s="121"/>
      <c r="L30" s="1038"/>
      <c r="Q30" s="122"/>
      <c r="R30" s="100"/>
      <c r="S30" s="100"/>
      <c r="T30" s="122"/>
      <c r="U30" s="100"/>
      <c r="V30" s="100"/>
      <c r="W30" s="122"/>
      <c r="X30" s="100"/>
      <c r="Y30" s="123"/>
    </row>
    <row r="31" spans="1:25" ht="14.25" customHeight="1">
      <c r="A31" s="1470"/>
      <c r="C31" s="1039"/>
      <c r="D31" s="1039"/>
      <c r="E31" s="124"/>
      <c r="F31" s="124"/>
      <c r="G31" s="125"/>
      <c r="H31" s="124"/>
      <c r="I31" s="569" t="s">
        <v>108</v>
      </c>
      <c r="J31" s="935" t="s">
        <v>282</v>
      </c>
      <c r="K31" s="422">
        <f>A36</f>
        <v>-8.1199999999999974</v>
      </c>
      <c r="L31" s="1039"/>
      <c r="Q31" s="126"/>
      <c r="R31" s="124"/>
      <c r="S31" s="124"/>
      <c r="T31" s="126"/>
      <c r="U31" s="124"/>
      <c r="V31" s="124"/>
      <c r="W31" s="126"/>
      <c r="X31" s="124"/>
      <c r="Y31" s="127"/>
    </row>
    <row r="32" spans="1:25" ht="14.25" customHeight="1">
      <c r="A32" s="1344">
        <f>A30-0.01</f>
        <v>-8.0999999999999979</v>
      </c>
      <c r="B32" s="128" t="s">
        <v>883</v>
      </c>
      <c r="C32" s="1038"/>
      <c r="D32" s="1038"/>
      <c r="E32" s="119"/>
      <c r="F32" s="119"/>
      <c r="G32" s="120"/>
      <c r="H32" s="119"/>
      <c r="I32" s="119"/>
      <c r="J32" s="119"/>
      <c r="K32" s="119"/>
      <c r="L32" s="119"/>
      <c r="M32" s="119"/>
      <c r="N32" s="119"/>
      <c r="O32" s="107"/>
      <c r="P32" s="107"/>
      <c r="Q32" s="129"/>
      <c r="R32" s="119"/>
      <c r="S32" s="119"/>
      <c r="T32" s="129"/>
      <c r="U32" s="119"/>
      <c r="V32" s="119"/>
      <c r="W32" s="129"/>
      <c r="X32" s="119"/>
      <c r="Y32" s="130"/>
    </row>
    <row r="33" spans="1:25" s="136" customFormat="1">
      <c r="A33" s="1471"/>
      <c r="B33" s="1776" t="s">
        <v>884</v>
      </c>
      <c r="C33" s="131"/>
      <c r="D33" s="131"/>
      <c r="E33" s="132"/>
      <c r="F33" s="132"/>
      <c r="G33" s="133"/>
      <c r="H33" s="132"/>
      <c r="I33" s="132"/>
      <c r="J33" s="132"/>
      <c r="K33" s="132"/>
      <c r="L33" s="132"/>
      <c r="M33" s="132"/>
      <c r="N33" s="132"/>
      <c r="O33" s="1751"/>
      <c r="P33" s="1751"/>
      <c r="Q33" s="134"/>
      <c r="R33" s="132"/>
      <c r="S33" s="132"/>
      <c r="T33" s="134"/>
      <c r="U33" s="132"/>
      <c r="V33" s="132"/>
      <c r="W33" s="134"/>
      <c r="X33" s="132"/>
      <c r="Y33" s="135"/>
    </row>
    <row r="34" spans="1:25" ht="14.25" customHeight="1">
      <c r="A34" s="1710">
        <f>A32-0.01</f>
        <v>-8.1099999999999977</v>
      </c>
      <c r="B34" s="1711" t="s">
        <v>885</v>
      </c>
      <c r="C34" s="1712"/>
      <c r="D34" s="1712"/>
      <c r="E34" s="1712"/>
      <c r="F34" s="1712"/>
      <c r="G34" s="1713"/>
      <c r="H34" s="1712"/>
      <c r="I34" s="1712"/>
      <c r="J34" s="1712"/>
      <c r="K34" s="1712"/>
      <c r="L34" s="1712"/>
      <c r="M34" s="1712"/>
      <c r="N34" s="1712"/>
      <c r="O34" s="1752"/>
      <c r="P34" s="1752"/>
      <c r="Q34" s="1714"/>
      <c r="R34" s="1712"/>
      <c r="S34" s="1712"/>
      <c r="T34" s="1714"/>
      <c r="U34" s="1712"/>
      <c r="V34" s="1712"/>
      <c r="W34" s="1714"/>
      <c r="X34" s="1712"/>
      <c r="Y34" s="1715"/>
    </row>
    <row r="35" spans="1:25" s="136" customFormat="1">
      <c r="A35" s="1716"/>
      <c r="B35" s="1777" t="s">
        <v>886</v>
      </c>
      <c r="C35" s="1717"/>
      <c r="D35" s="1717"/>
      <c r="E35" s="1717"/>
      <c r="F35" s="1717"/>
      <c r="G35" s="1718"/>
      <c r="H35" s="1717"/>
      <c r="I35" s="1717"/>
      <c r="J35" s="1717"/>
      <c r="K35" s="1717"/>
      <c r="L35" s="1717"/>
      <c r="M35" s="1717"/>
      <c r="N35" s="1717"/>
      <c r="O35" s="1753"/>
      <c r="P35" s="1753"/>
      <c r="Q35" s="1719"/>
      <c r="R35" s="1717"/>
      <c r="S35" s="1717"/>
      <c r="T35" s="1719"/>
      <c r="U35" s="1717"/>
      <c r="V35" s="1717"/>
      <c r="W35" s="1719"/>
      <c r="X35" s="1717"/>
      <c r="Y35" s="1720"/>
    </row>
    <row r="36" spans="1:25" ht="14.25" customHeight="1">
      <c r="A36" s="1467">
        <f>A34-0.01</f>
        <v>-8.1199999999999974</v>
      </c>
      <c r="B36" s="100" t="s">
        <v>887</v>
      </c>
      <c r="E36" s="100"/>
      <c r="F36" s="100"/>
      <c r="G36" s="137"/>
      <c r="H36" s="100"/>
      <c r="I36" s="100"/>
      <c r="J36" s="100"/>
      <c r="K36" s="100"/>
      <c r="L36" s="100"/>
      <c r="M36" s="100"/>
      <c r="N36" s="100"/>
      <c r="O36" s="101"/>
      <c r="P36" s="101"/>
      <c r="Q36" s="122"/>
      <c r="R36" s="100"/>
      <c r="S36" s="100"/>
      <c r="T36" s="122"/>
      <c r="U36" s="100"/>
      <c r="V36" s="100"/>
      <c r="W36" s="122"/>
      <c r="X36" s="100"/>
      <c r="Y36" s="123"/>
    </row>
    <row r="37" spans="1:25" ht="14.25" customHeight="1">
      <c r="A37" s="1472"/>
      <c r="B37" s="568" t="s">
        <v>104</v>
      </c>
      <c r="C37" s="568"/>
      <c r="D37" s="568"/>
      <c r="E37" s="559"/>
      <c r="F37" s="559"/>
      <c r="G37" s="564">
        <v>1</v>
      </c>
      <c r="I37" s="568" t="s">
        <v>416</v>
      </c>
      <c r="J37" s="568"/>
      <c r="K37" s="568"/>
      <c r="L37" s="568"/>
      <c r="M37" s="568"/>
      <c r="N37" s="568"/>
      <c r="O37" s="564">
        <v>3</v>
      </c>
      <c r="P37" s="101"/>
      <c r="Q37" s="122"/>
      <c r="R37" s="100"/>
      <c r="S37" s="100"/>
      <c r="T37" s="122"/>
      <c r="U37" s="100"/>
      <c r="V37" s="100"/>
      <c r="W37" s="122"/>
      <c r="X37" s="100"/>
      <c r="Y37" s="123"/>
    </row>
    <row r="38" spans="1:25" ht="14.25" customHeight="1">
      <c r="A38" s="1470"/>
      <c r="B38" s="569" t="s">
        <v>108</v>
      </c>
      <c r="C38" s="569"/>
      <c r="D38" s="569"/>
      <c r="E38" s="570"/>
      <c r="F38" s="570"/>
      <c r="G38" s="567">
        <v>2</v>
      </c>
      <c r="H38" s="1039"/>
      <c r="I38" s="124"/>
      <c r="J38" s="124"/>
      <c r="K38" s="124"/>
      <c r="L38" s="124"/>
      <c r="M38" s="124"/>
      <c r="N38" s="124"/>
      <c r="O38" s="117"/>
      <c r="P38" s="117"/>
      <c r="Q38" s="126"/>
      <c r="R38" s="124"/>
      <c r="S38" s="124"/>
      <c r="T38" s="126"/>
      <c r="U38" s="124"/>
      <c r="V38" s="124"/>
      <c r="W38" s="126"/>
      <c r="X38" s="124"/>
      <c r="Y38" s="127"/>
    </row>
    <row r="39" spans="1:25" ht="14.25" customHeight="1">
      <c r="A39" s="1467">
        <f>A36-0.01</f>
        <v>-8.1299999999999972</v>
      </c>
      <c r="B39" s="100" t="s">
        <v>888</v>
      </c>
      <c r="C39" s="100"/>
      <c r="D39" s="100"/>
      <c r="E39" s="100"/>
      <c r="F39" s="100"/>
      <c r="G39" s="137"/>
      <c r="H39" s="100"/>
      <c r="I39" s="100"/>
      <c r="J39" s="100"/>
      <c r="K39" s="100"/>
      <c r="O39" s="101"/>
      <c r="P39" s="101"/>
      <c r="Q39" s="122"/>
      <c r="R39" s="100"/>
      <c r="S39" s="100"/>
      <c r="T39" s="122"/>
      <c r="U39" s="100"/>
      <c r="V39" s="100"/>
      <c r="W39" s="122"/>
      <c r="X39" s="100"/>
      <c r="Y39" s="123"/>
    </row>
    <row r="40" spans="1:25" ht="14.25" customHeight="1">
      <c r="A40" s="1472"/>
      <c r="B40" s="568" t="s">
        <v>889</v>
      </c>
      <c r="C40" s="139"/>
      <c r="D40" s="139"/>
      <c r="E40" s="139"/>
      <c r="F40" s="139"/>
      <c r="G40" s="564">
        <v>1</v>
      </c>
      <c r="H40" s="571"/>
      <c r="I40" s="568" t="s">
        <v>672</v>
      </c>
      <c r="J40" s="559"/>
      <c r="K40" s="568"/>
      <c r="L40" s="559"/>
      <c r="M40" s="559"/>
      <c r="N40" s="559"/>
      <c r="O40" s="564">
        <v>5</v>
      </c>
      <c r="P40" s="101"/>
      <c r="Q40" s="122"/>
      <c r="R40" s="100"/>
      <c r="S40" s="100"/>
      <c r="T40" s="122"/>
      <c r="U40" s="100"/>
      <c r="V40" s="100"/>
      <c r="W40" s="122"/>
      <c r="X40" s="100"/>
      <c r="Y40" s="123"/>
    </row>
    <row r="41" spans="1:25" ht="14.25" customHeight="1">
      <c r="A41" s="1472"/>
      <c r="B41" s="568" t="s">
        <v>890</v>
      </c>
      <c r="C41" s="139"/>
      <c r="D41" s="139"/>
      <c r="E41" s="139"/>
      <c r="F41" s="139"/>
      <c r="G41" s="564">
        <v>2</v>
      </c>
      <c r="H41" s="571"/>
      <c r="I41" s="568" t="s">
        <v>891</v>
      </c>
      <c r="J41" s="559"/>
      <c r="K41" s="568"/>
      <c r="L41" s="559"/>
      <c r="M41" s="559"/>
      <c r="N41" s="559"/>
      <c r="O41" s="564">
        <v>6</v>
      </c>
      <c r="P41" s="101"/>
      <c r="Q41" s="122"/>
      <c r="R41" s="100"/>
      <c r="S41" s="100"/>
      <c r="T41" s="122"/>
      <c r="U41" s="100"/>
      <c r="V41" s="100"/>
      <c r="W41" s="122"/>
      <c r="X41" s="100"/>
      <c r="Y41" s="123"/>
    </row>
    <row r="42" spans="1:25" ht="14.25" customHeight="1">
      <c r="A42" s="1472"/>
      <c r="B42" s="568" t="s">
        <v>892</v>
      </c>
      <c r="C42" s="139"/>
      <c r="D42" s="139"/>
      <c r="E42" s="139"/>
      <c r="F42" s="139"/>
      <c r="G42" s="564">
        <v>3</v>
      </c>
      <c r="H42" s="571"/>
      <c r="I42" s="568" t="s">
        <v>112</v>
      </c>
      <c r="J42" s="559"/>
      <c r="K42" s="568"/>
      <c r="L42" s="559"/>
      <c r="M42" s="559"/>
      <c r="N42" s="559"/>
      <c r="O42" s="564">
        <v>7</v>
      </c>
      <c r="P42" s="101"/>
      <c r="Q42" s="122"/>
      <c r="R42" s="100"/>
      <c r="S42" s="100"/>
      <c r="T42" s="122"/>
      <c r="U42" s="100"/>
      <c r="V42" s="100"/>
      <c r="W42" s="122"/>
      <c r="X42" s="100"/>
      <c r="Y42" s="123"/>
    </row>
    <row r="43" spans="1:25" ht="14.25" customHeight="1">
      <c r="A43" s="1472"/>
      <c r="B43" s="569" t="s">
        <v>893</v>
      </c>
      <c r="C43" s="141"/>
      <c r="D43" s="141"/>
      <c r="E43" s="141"/>
      <c r="F43" s="141"/>
      <c r="G43" s="567">
        <v>4</v>
      </c>
      <c r="H43" s="571"/>
      <c r="I43" s="571"/>
      <c r="J43" s="100"/>
      <c r="K43" s="124"/>
      <c r="L43" s="1039"/>
      <c r="M43" s="1039"/>
      <c r="N43" s="1039"/>
      <c r="O43" s="117"/>
      <c r="P43" s="117"/>
      <c r="Q43" s="126"/>
      <c r="R43" s="124"/>
      <c r="S43" s="124"/>
      <c r="T43" s="126"/>
      <c r="U43" s="124"/>
      <c r="V43" s="124"/>
      <c r="W43" s="126"/>
      <c r="X43" s="124"/>
      <c r="Y43" s="127"/>
    </row>
    <row r="44" spans="1:25" ht="14.25" customHeight="1">
      <c r="A44" s="1344">
        <f>A39-0.01</f>
        <v>-8.139999999999997</v>
      </c>
      <c r="B44" s="119" t="s">
        <v>894</v>
      </c>
      <c r="C44" s="119"/>
      <c r="D44" s="119"/>
      <c r="E44" s="119"/>
      <c r="F44" s="119"/>
      <c r="G44" s="120"/>
      <c r="H44" s="119"/>
      <c r="I44" s="119"/>
      <c r="J44" s="119"/>
      <c r="K44" s="100"/>
      <c r="O44" s="101"/>
      <c r="P44" s="101"/>
      <c r="Q44" s="122"/>
      <c r="R44" s="100"/>
      <c r="S44" s="100"/>
      <c r="T44" s="122"/>
      <c r="U44" s="100"/>
      <c r="V44" s="100"/>
      <c r="W44" s="122"/>
      <c r="X44" s="100"/>
      <c r="Y44" s="123"/>
    </row>
    <row r="45" spans="1:25">
      <c r="A45" s="1467"/>
      <c r="B45" s="1476" t="s">
        <v>895</v>
      </c>
      <c r="C45" s="100"/>
      <c r="D45" s="100"/>
      <c r="E45" s="100"/>
      <c r="F45" s="100"/>
      <c r="G45" s="137"/>
      <c r="I45" s="100"/>
      <c r="J45" s="100"/>
      <c r="K45" s="100"/>
      <c r="O45" s="101"/>
      <c r="P45" s="101"/>
      <c r="Q45" s="142" t="s">
        <v>896</v>
      </c>
      <c r="R45" s="143"/>
      <c r="S45" s="143"/>
      <c r="T45" s="142" t="s">
        <v>896</v>
      </c>
      <c r="U45" s="143"/>
      <c r="V45" s="143"/>
      <c r="W45" s="142" t="s">
        <v>896</v>
      </c>
      <c r="X45" s="143"/>
      <c r="Y45" s="144"/>
    </row>
    <row r="46" spans="1:25" ht="14.25" customHeight="1">
      <c r="A46" s="1472"/>
      <c r="B46" s="568" t="s">
        <v>897</v>
      </c>
      <c r="C46" s="568"/>
      <c r="D46" s="568"/>
      <c r="E46" s="568"/>
      <c r="F46" s="568"/>
      <c r="G46" s="564">
        <v>1</v>
      </c>
      <c r="I46" s="568" t="s">
        <v>898</v>
      </c>
      <c r="J46" s="559"/>
      <c r="K46" s="568"/>
      <c r="L46" s="559"/>
      <c r="M46" s="559"/>
      <c r="N46" s="559"/>
      <c r="O46" s="564">
        <v>5</v>
      </c>
      <c r="P46" s="101"/>
      <c r="Q46" s="145"/>
      <c r="R46" s="100"/>
      <c r="S46" s="100"/>
      <c r="T46" s="145"/>
      <c r="U46" s="100"/>
      <c r="V46" s="100"/>
      <c r="W46" s="145"/>
      <c r="X46" s="100"/>
      <c r="Y46" s="123"/>
    </row>
    <row r="47" spans="1:25" ht="14.25" customHeight="1">
      <c r="A47" s="1472"/>
      <c r="B47" s="568" t="s">
        <v>899</v>
      </c>
      <c r="C47" s="568"/>
      <c r="D47" s="568"/>
      <c r="E47" s="568"/>
      <c r="F47" s="568"/>
      <c r="G47" s="564">
        <v>2</v>
      </c>
      <c r="I47" s="559" t="s">
        <v>900</v>
      </c>
      <c r="J47" s="559"/>
      <c r="K47" s="559"/>
      <c r="L47" s="559"/>
      <c r="M47" s="559"/>
      <c r="N47" s="559"/>
      <c r="O47" s="686">
        <v>6</v>
      </c>
      <c r="P47" s="1763"/>
      <c r="Q47" s="146" t="s">
        <v>901</v>
      </c>
      <c r="R47" s="143"/>
      <c r="S47" s="143"/>
      <c r="T47" s="146" t="s">
        <v>901</v>
      </c>
      <c r="U47" s="143"/>
      <c r="V47" s="143"/>
      <c r="W47" s="146" t="s">
        <v>901</v>
      </c>
      <c r="X47" s="143"/>
      <c r="Y47" s="144"/>
    </row>
    <row r="48" spans="1:25" ht="14.25" customHeight="1">
      <c r="A48" s="1472"/>
      <c r="B48" s="568" t="s">
        <v>902</v>
      </c>
      <c r="C48" s="568"/>
      <c r="D48" s="568"/>
      <c r="E48" s="568"/>
      <c r="F48" s="568"/>
      <c r="G48" s="564">
        <v>3</v>
      </c>
      <c r="I48" s="572" t="s">
        <v>903</v>
      </c>
      <c r="J48" s="568"/>
      <c r="K48" s="568"/>
      <c r="L48" s="559"/>
      <c r="M48" s="559"/>
      <c r="N48" s="559"/>
      <c r="O48" s="564">
        <v>7</v>
      </c>
      <c r="P48" s="101"/>
      <c r="Q48" s="145"/>
      <c r="R48" s="100"/>
      <c r="S48" s="100"/>
      <c r="T48" s="145"/>
      <c r="U48" s="100"/>
      <c r="V48" s="100"/>
      <c r="W48" s="145"/>
      <c r="X48" s="100"/>
      <c r="Y48" s="123"/>
    </row>
    <row r="49" spans="1:25" ht="14.25" customHeight="1">
      <c r="A49" s="1472"/>
      <c r="B49" s="568" t="s">
        <v>904</v>
      </c>
      <c r="C49" s="568"/>
      <c r="D49" s="568"/>
      <c r="E49" s="568"/>
      <c r="F49" s="568"/>
      <c r="G49" s="564">
        <v>4</v>
      </c>
      <c r="I49" s="568" t="s">
        <v>112</v>
      </c>
      <c r="J49" s="559"/>
      <c r="K49" s="568"/>
      <c r="L49" s="559"/>
      <c r="M49" s="559"/>
      <c r="N49" s="559"/>
      <c r="O49" s="564">
        <v>8</v>
      </c>
      <c r="P49" s="101"/>
      <c r="Q49" s="138" t="s">
        <v>905</v>
      </c>
      <c r="R49" s="100"/>
      <c r="S49" s="100"/>
      <c r="T49" s="138" t="s">
        <v>905</v>
      </c>
      <c r="U49" s="100"/>
      <c r="V49" s="100"/>
      <c r="W49" s="138" t="s">
        <v>905</v>
      </c>
      <c r="X49" s="100"/>
      <c r="Y49" s="123"/>
    </row>
    <row r="50" spans="1:25" ht="7.15" customHeight="1">
      <c r="A50" s="1470"/>
      <c r="B50" s="124"/>
      <c r="C50" s="124"/>
      <c r="D50" s="124"/>
      <c r="E50" s="124"/>
      <c r="F50" s="124"/>
      <c r="G50" s="125"/>
      <c r="H50" s="124"/>
      <c r="I50" s="124"/>
      <c r="J50" s="124"/>
      <c r="K50" s="124"/>
      <c r="L50" s="1039"/>
      <c r="M50" s="1039"/>
      <c r="N50" s="1039"/>
      <c r="O50" s="117"/>
      <c r="P50" s="117"/>
      <c r="Q50" s="126"/>
      <c r="R50" s="124"/>
      <c r="S50" s="124"/>
      <c r="T50" s="126"/>
      <c r="U50" s="124"/>
      <c r="V50" s="124"/>
      <c r="W50" s="126"/>
      <c r="X50" s="124"/>
      <c r="Y50" s="127"/>
    </row>
    <row r="51" spans="1:25" ht="14.25" customHeight="1">
      <c r="A51" s="1467">
        <f>A44-0.01</f>
        <v>-8.1499999999999968</v>
      </c>
      <c r="B51" s="148" t="s">
        <v>906</v>
      </c>
      <c r="C51" s="100"/>
      <c r="D51" s="100"/>
      <c r="E51" s="100"/>
      <c r="F51" s="100"/>
      <c r="G51" s="137"/>
      <c r="H51" s="100"/>
      <c r="I51" s="100"/>
      <c r="J51" s="100"/>
      <c r="K51" s="100"/>
      <c r="O51" s="101"/>
      <c r="P51" s="101"/>
      <c r="Q51" s="122"/>
      <c r="R51" s="100"/>
      <c r="S51" s="100"/>
      <c r="T51" s="122"/>
      <c r="U51" s="100"/>
      <c r="V51" s="100"/>
      <c r="W51" s="122"/>
      <c r="X51" s="100"/>
      <c r="Y51" s="123"/>
    </row>
    <row r="52" spans="1:25" ht="14.25" customHeight="1">
      <c r="A52" s="1473">
        <f>A51-0.01</f>
        <v>-8.1599999999999966</v>
      </c>
      <c r="B52" s="186" t="s">
        <v>907</v>
      </c>
      <c r="C52" s="187"/>
      <c r="D52" s="187"/>
      <c r="E52" s="187"/>
      <c r="F52" s="187"/>
      <c r="G52" s="188"/>
      <c r="H52" s="187"/>
      <c r="I52" s="187"/>
      <c r="J52" s="187"/>
      <c r="K52" s="187"/>
      <c r="L52" s="1040"/>
      <c r="M52" s="1040"/>
      <c r="N52" s="1040"/>
      <c r="O52" s="1047"/>
      <c r="P52" s="1047"/>
      <c r="Q52" s="189"/>
      <c r="R52" s="187"/>
      <c r="S52" s="105"/>
      <c r="T52" s="189"/>
      <c r="U52" s="187"/>
      <c r="V52" s="105"/>
      <c r="W52" s="189"/>
      <c r="X52" s="187"/>
      <c r="Y52" s="105"/>
    </row>
    <row r="53" spans="1:25">
      <c r="O53" s="102"/>
      <c r="P53" s="102"/>
    </row>
    <row r="54" spans="1:25">
      <c r="O54" s="102"/>
      <c r="P54" s="102"/>
    </row>
    <row r="55" spans="1:25">
      <c r="O55" s="102"/>
      <c r="P55" s="102"/>
    </row>
    <row r="56" spans="1:25">
      <c r="O56" s="102"/>
      <c r="P56" s="102"/>
    </row>
    <row r="57" spans="1:25">
      <c r="O57" s="102"/>
      <c r="P57" s="102"/>
    </row>
  </sheetData>
  <mergeCells count="7">
    <mergeCell ref="N5:Y6"/>
    <mergeCell ref="N14:Y15"/>
    <mergeCell ref="B14:J17"/>
    <mergeCell ref="B21:K21"/>
    <mergeCell ref="Q21:S21"/>
    <mergeCell ref="T21:V21"/>
    <mergeCell ref="W21:Y21"/>
  </mergeCells>
  <pageMargins left="0.45" right="0.45" top="0.75" bottom="0.75" header="0.3" footer="0.3"/>
  <pageSetup paperSize="9" scale="75" orientation="landscape" r:id="rId1"/>
  <headerFooter alignWithMargins="0">
    <oddFooter>&amp;C&amp;P</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6EF07-6215-154F-88BF-2BED20F477CA}">
  <sheetPr>
    <tabColor rgb="FFFF0000"/>
  </sheetPr>
  <dimension ref="A1:AO374"/>
  <sheetViews>
    <sheetView tabSelected="1" view="pageBreakPreview" topLeftCell="A166" zoomScaleNormal="100" zoomScaleSheetLayoutView="100" workbookViewId="0">
      <selection activeCell="AQ190" sqref="AQ190"/>
    </sheetView>
  </sheetViews>
  <sheetFormatPr defaultColWidth="9.140625" defaultRowHeight="12.75"/>
  <cols>
    <col min="1" max="1" width="6.85546875" style="817" customWidth="1"/>
    <col min="2" max="7" width="7.85546875" style="516" customWidth="1"/>
    <col min="8" max="8" width="2.42578125" style="516" customWidth="1"/>
    <col min="9" max="18" width="4.140625" style="516" customWidth="1"/>
    <col min="19" max="19" width="4.140625" style="1489" customWidth="1"/>
    <col min="20" max="20" width="1.85546875" style="1489" customWidth="1"/>
    <col min="21" max="21" width="3.28515625" style="516" customWidth="1"/>
    <col min="22" max="22" width="6.85546875" style="1546" customWidth="1"/>
    <col min="23" max="23" width="1.42578125" style="516" customWidth="1"/>
    <col min="24" max="24" width="6.140625" style="516" hidden="1" customWidth="1"/>
    <col min="25" max="25" width="5.5703125" style="516" hidden="1" customWidth="1"/>
    <col min="26" max="26" width="3.5703125" style="516" customWidth="1"/>
    <col min="27" max="27" width="6.140625" style="516" customWidth="1"/>
    <col min="28" max="28" width="7.5703125" style="516" hidden="1" customWidth="1"/>
    <col min="29" max="29" width="5" style="516" hidden="1" customWidth="1"/>
    <col min="30" max="30" width="5.7109375" style="516" hidden="1" customWidth="1"/>
    <col min="31" max="31" width="9.42578125" style="516" hidden="1" customWidth="1"/>
    <col min="32" max="32" width="6.85546875" style="516" hidden="1" customWidth="1"/>
    <col min="33" max="33" width="7" style="516" hidden="1" customWidth="1"/>
    <col min="34" max="34" width="9.28515625" style="516" hidden="1" customWidth="1"/>
    <col min="35" max="35" width="5" style="516" hidden="1" customWidth="1"/>
    <col min="36" max="36" width="6.140625" style="516" hidden="1" customWidth="1"/>
    <col min="37" max="37" width="4.7109375" style="516" hidden="1" customWidth="1"/>
    <col min="38" max="38" width="3.5703125" style="516" hidden="1" customWidth="1"/>
    <col min="39" max="41" width="0" style="516" hidden="1" customWidth="1"/>
    <col min="42" max="16384" width="9.140625" style="516"/>
  </cols>
  <sheetData>
    <row r="1" spans="1:23" ht="15.75">
      <c r="A1" s="1564" t="s">
        <v>908</v>
      </c>
      <c r="W1" s="1547"/>
    </row>
    <row r="2" spans="1:23" ht="4.5" customHeight="1">
      <c r="A2" s="1564"/>
      <c r="W2" s="1547"/>
    </row>
    <row r="3" spans="1:23" s="341" customFormat="1" ht="15.75" customHeight="1">
      <c r="A3" s="1650" t="s">
        <v>859</v>
      </c>
      <c r="S3" s="605"/>
      <c r="T3" s="605"/>
      <c r="V3" s="578"/>
      <c r="W3" s="1592" t="s">
        <v>860</v>
      </c>
    </row>
    <row r="4" spans="1:23" s="1221" customFormat="1" ht="15.75">
      <c r="A4" s="1565" t="s">
        <v>909</v>
      </c>
      <c r="B4" s="2988" t="s">
        <v>910</v>
      </c>
      <c r="C4" s="2988"/>
      <c r="D4" s="2988"/>
      <c r="E4" s="2988"/>
      <c r="F4" s="2988"/>
      <c r="G4" s="2988"/>
      <c r="H4" s="2988" t="s">
        <v>911</v>
      </c>
      <c r="I4" s="2988"/>
      <c r="J4" s="2988"/>
      <c r="K4" s="2988"/>
      <c r="L4" s="2988"/>
      <c r="M4" s="2988"/>
      <c r="N4" s="2988"/>
      <c r="O4" s="2988"/>
      <c r="P4" s="2988"/>
      <c r="Q4" s="2988"/>
      <c r="R4" s="2988"/>
      <c r="S4" s="2989"/>
      <c r="T4" s="1563"/>
      <c r="U4" s="3029" t="s">
        <v>912</v>
      </c>
      <c r="V4" s="2988"/>
      <c r="W4" s="3030"/>
    </row>
    <row r="5" spans="1:23" s="1221" customFormat="1" ht="18" customHeight="1">
      <c r="A5" s="3031" t="s">
        <v>913</v>
      </c>
      <c r="B5" s="3032"/>
      <c r="C5" s="3032"/>
      <c r="D5" s="3032"/>
      <c r="E5" s="3032"/>
      <c r="F5" s="3032"/>
      <c r="G5" s="3032"/>
      <c r="H5" s="3032"/>
      <c r="I5" s="3032"/>
      <c r="J5" s="3032"/>
      <c r="K5" s="3032"/>
      <c r="L5" s="3032"/>
      <c r="M5" s="3032"/>
      <c r="N5" s="3032"/>
      <c r="O5" s="3032"/>
      <c r="P5" s="3032"/>
      <c r="Q5" s="3032"/>
      <c r="R5" s="3032"/>
      <c r="S5" s="3032"/>
      <c r="T5" s="3032"/>
      <c r="U5" s="3032"/>
      <c r="V5" s="3032"/>
      <c r="W5" s="3033"/>
    </row>
    <row r="6" spans="1:23">
      <c r="A6" s="3034">
        <v>-9.01</v>
      </c>
      <c r="B6" s="3037" t="s">
        <v>914</v>
      </c>
      <c r="C6" s="3038"/>
      <c r="D6" s="3038"/>
      <c r="E6" s="3038"/>
      <c r="F6" s="3038"/>
      <c r="G6" s="3039"/>
      <c r="H6" s="1477"/>
      <c r="I6" s="1478"/>
      <c r="J6" s="1478"/>
      <c r="K6" s="1478"/>
      <c r="L6" s="1478"/>
      <c r="M6" s="1478"/>
      <c r="N6" s="1478"/>
      <c r="O6" s="1478"/>
      <c r="P6" s="1478"/>
      <c r="Q6" s="1478"/>
      <c r="R6" s="1478"/>
      <c r="S6" s="1479"/>
      <c r="T6" s="1480"/>
      <c r="U6" s="1478"/>
      <c r="V6" s="1548"/>
      <c r="W6" s="1481"/>
    </row>
    <row r="7" spans="1:23">
      <c r="A7" s="3035"/>
      <c r="B7" s="3040"/>
      <c r="C7" s="2043"/>
      <c r="D7" s="2043"/>
      <c r="E7" s="2043"/>
      <c r="F7" s="2043"/>
      <c r="G7" s="3041"/>
      <c r="H7" s="1482"/>
      <c r="I7" s="100" t="s">
        <v>915</v>
      </c>
      <c r="J7" s="100"/>
      <c r="K7" s="100"/>
      <c r="L7" s="100"/>
      <c r="M7" s="100"/>
      <c r="N7" s="100"/>
      <c r="O7" s="100"/>
      <c r="P7" s="100"/>
      <c r="Q7" s="1675"/>
      <c r="R7" s="100"/>
      <c r="S7" s="1671">
        <v>1</v>
      </c>
      <c r="T7" s="1542"/>
      <c r="U7" s="1676"/>
      <c r="V7" s="1677"/>
      <c r="W7" s="1549"/>
    </row>
    <row r="8" spans="1:23">
      <c r="A8" s="3035"/>
      <c r="B8" s="3040"/>
      <c r="C8" s="2043"/>
      <c r="D8" s="2043"/>
      <c r="E8" s="2043"/>
      <c r="F8" s="2043"/>
      <c r="G8" s="3041"/>
      <c r="H8" s="1482"/>
      <c r="I8" s="100" t="s">
        <v>916</v>
      </c>
      <c r="J8" s="100"/>
      <c r="K8" s="100"/>
      <c r="L8" s="100"/>
      <c r="M8" s="100"/>
      <c r="N8" s="100"/>
      <c r="O8" s="100"/>
      <c r="P8" s="100"/>
      <c r="Q8" s="1675"/>
      <c r="R8" s="100"/>
      <c r="S8" s="1671">
        <v>2</v>
      </c>
      <c r="T8" s="1542"/>
      <c r="U8" s="100" t="s">
        <v>917</v>
      </c>
      <c r="V8" s="1673">
        <f>A13</f>
        <v>-9.0299999999999994</v>
      </c>
      <c r="W8" s="123"/>
    </row>
    <row r="9" spans="1:23">
      <c r="A9" s="3036"/>
      <c r="B9" s="3042"/>
      <c r="C9" s="2817"/>
      <c r="D9" s="2817"/>
      <c r="E9" s="2817"/>
      <c r="F9" s="2817"/>
      <c r="G9" s="3043"/>
      <c r="H9" s="1483"/>
      <c r="I9" s="124"/>
      <c r="J9" s="124"/>
      <c r="K9" s="124"/>
      <c r="L9" s="124"/>
      <c r="M9" s="124"/>
      <c r="N9" s="124"/>
      <c r="O9" s="124"/>
      <c r="P9" s="1550"/>
      <c r="Q9" s="124"/>
      <c r="R9" s="124"/>
      <c r="S9" s="1484"/>
      <c r="T9" s="1485"/>
      <c r="U9" s="124"/>
      <c r="V9" s="1551"/>
      <c r="W9" s="127"/>
    </row>
    <row r="10" spans="1:23">
      <c r="A10" s="3034">
        <f>+A6-0.01</f>
        <v>-9.02</v>
      </c>
      <c r="B10" s="3069" t="s">
        <v>918</v>
      </c>
      <c r="C10" s="3070"/>
      <c r="D10" s="3070"/>
      <c r="E10" s="3070"/>
      <c r="F10" s="3070"/>
      <c r="G10" s="3071"/>
      <c r="H10" s="538"/>
      <c r="I10" s="539"/>
      <c r="J10" s="539"/>
      <c r="K10" s="539"/>
      <c r="L10" s="539"/>
      <c r="M10" s="539"/>
      <c r="N10" s="539"/>
      <c r="O10" s="539"/>
      <c r="P10" s="539"/>
      <c r="Q10" s="539"/>
      <c r="R10" s="539"/>
      <c r="S10" s="517"/>
      <c r="T10" s="1486"/>
      <c r="U10" s="539"/>
      <c r="V10" s="1074"/>
      <c r="W10" s="1054"/>
    </row>
    <row r="11" spans="1:23">
      <c r="A11" s="3035"/>
      <c r="B11" s="3064"/>
      <c r="C11" s="2357"/>
      <c r="D11" s="2357"/>
      <c r="E11" s="2357"/>
      <c r="F11" s="2357"/>
      <c r="G11" s="3065"/>
      <c r="H11" s="540"/>
      <c r="Q11" s="1487" t="s">
        <v>815</v>
      </c>
      <c r="R11" s="1488"/>
      <c r="S11" s="919"/>
      <c r="T11" s="532"/>
      <c r="U11" s="541"/>
      <c r="V11" s="549"/>
      <c r="W11" s="1055"/>
    </row>
    <row r="12" spans="1:23">
      <c r="A12" s="3068"/>
      <c r="B12" s="3066"/>
      <c r="C12" s="3004"/>
      <c r="D12" s="3004"/>
      <c r="E12" s="3004"/>
      <c r="F12" s="3004"/>
      <c r="G12" s="3067"/>
      <c r="H12" s="542"/>
      <c r="I12" s="528"/>
      <c r="J12" s="528"/>
      <c r="K12" s="528"/>
      <c r="L12" s="528"/>
      <c r="M12" s="528"/>
      <c r="N12" s="528"/>
      <c r="O12" s="528"/>
      <c r="P12" s="1056"/>
      <c r="Q12" s="528"/>
      <c r="R12" s="528"/>
      <c r="S12" s="518"/>
      <c r="T12" s="519"/>
      <c r="U12" s="528"/>
      <c r="V12" s="550"/>
      <c r="W12" s="529"/>
    </row>
    <row r="13" spans="1:23">
      <c r="A13" s="3034">
        <f>+A10-0.01</f>
        <v>-9.0299999999999994</v>
      </c>
      <c r="B13" s="3069" t="s">
        <v>919</v>
      </c>
      <c r="C13" s="3070"/>
      <c r="D13" s="3070"/>
      <c r="E13" s="3070"/>
      <c r="F13" s="3070"/>
      <c r="G13" s="3071"/>
      <c r="H13" s="538"/>
      <c r="I13" s="539"/>
      <c r="J13" s="539"/>
      <c r="K13" s="539"/>
      <c r="L13" s="539"/>
      <c r="M13" s="539"/>
      <c r="N13" s="539"/>
      <c r="O13" s="539"/>
      <c r="P13" s="539"/>
      <c r="Q13" s="539"/>
      <c r="R13" s="539"/>
      <c r="S13" s="517"/>
      <c r="T13" s="1486"/>
      <c r="U13" s="539"/>
      <c r="V13" s="1074"/>
      <c r="W13" s="1054"/>
    </row>
    <row r="14" spans="1:23">
      <c r="A14" s="3035"/>
      <c r="B14" s="3064"/>
      <c r="C14" s="2357"/>
      <c r="D14" s="2357"/>
      <c r="E14" s="2357"/>
      <c r="F14" s="2357"/>
      <c r="G14" s="3065"/>
      <c r="H14" s="540"/>
      <c r="I14" s="516" t="s">
        <v>915</v>
      </c>
      <c r="Q14" s="1487"/>
      <c r="S14" s="1489">
        <v>1</v>
      </c>
      <c r="T14" s="532"/>
      <c r="U14" s="541"/>
      <c r="V14" s="549"/>
      <c r="W14" s="1055"/>
    </row>
    <row r="15" spans="1:23">
      <c r="A15" s="3035"/>
      <c r="B15" s="3064"/>
      <c r="C15" s="2357"/>
      <c r="D15" s="2357"/>
      <c r="E15" s="2357"/>
      <c r="F15" s="2357"/>
      <c r="G15" s="3065"/>
      <c r="H15" s="540"/>
      <c r="I15" s="516" t="s">
        <v>916</v>
      </c>
      <c r="Q15" s="1487"/>
      <c r="S15" s="1489">
        <v>2</v>
      </c>
      <c r="T15" s="532"/>
      <c r="W15" s="527"/>
    </row>
    <row r="16" spans="1:23">
      <c r="A16" s="3036"/>
      <c r="B16" s="3072"/>
      <c r="C16" s="3073"/>
      <c r="D16" s="3073"/>
      <c r="E16" s="3073"/>
      <c r="F16" s="3073"/>
      <c r="G16" s="3074"/>
      <c r="H16" s="542"/>
      <c r="I16" s="528"/>
      <c r="J16" s="528"/>
      <c r="K16" s="528"/>
      <c r="L16" s="528"/>
      <c r="M16" s="528"/>
      <c r="N16" s="528"/>
      <c r="O16" s="528"/>
      <c r="P16" s="1056"/>
      <c r="Q16" s="528"/>
      <c r="R16" s="528"/>
      <c r="S16" s="518"/>
      <c r="T16" s="519"/>
      <c r="U16" s="528"/>
      <c r="V16" s="550"/>
      <c r="W16" s="529"/>
    </row>
    <row r="17" spans="1:23">
      <c r="A17" s="3075">
        <f>A13-0.01</f>
        <v>-9.0399999999999991</v>
      </c>
      <c r="B17" s="3078" t="s">
        <v>920</v>
      </c>
      <c r="C17" s="3079"/>
      <c r="D17" s="3079"/>
      <c r="E17" s="3079"/>
      <c r="F17" s="3079"/>
      <c r="G17" s="3080"/>
      <c r="H17" s="1882"/>
      <c r="I17" s="1883"/>
      <c r="J17" s="1883"/>
      <c r="K17" s="1883"/>
      <c r="L17" s="1883"/>
      <c r="M17" s="1883"/>
      <c r="N17" s="1883"/>
      <c r="O17" s="1883"/>
      <c r="P17" s="1883"/>
      <c r="Q17" s="1883"/>
      <c r="R17" s="1883"/>
      <c r="S17" s="1884"/>
      <c r="T17" s="1885"/>
      <c r="U17" s="1883"/>
      <c r="V17" s="1886"/>
      <c r="W17" s="1887"/>
    </row>
    <row r="18" spans="1:23">
      <c r="A18" s="3076"/>
      <c r="B18" s="3081"/>
      <c r="C18" s="3082"/>
      <c r="D18" s="3082"/>
      <c r="E18" s="3082"/>
      <c r="F18" s="3082"/>
      <c r="G18" s="3083"/>
      <c r="H18" s="1888"/>
      <c r="I18" s="1889" t="s">
        <v>921</v>
      </c>
      <c r="J18" s="1889"/>
      <c r="K18" s="1889"/>
      <c r="L18" s="1889"/>
      <c r="M18" s="1889"/>
      <c r="N18" s="1889"/>
      <c r="O18" s="1889"/>
      <c r="P18" s="1889"/>
      <c r="Q18" s="1890"/>
      <c r="R18" s="1889"/>
      <c r="S18" s="1891">
        <v>1</v>
      </c>
      <c r="T18" s="1892"/>
      <c r="U18" s="1893" t="s">
        <v>917</v>
      </c>
      <c r="V18" s="1894">
        <f>A77</f>
        <v>-9.1099999999999977</v>
      </c>
      <c r="W18" s="1895"/>
    </row>
    <row r="19" spans="1:23">
      <c r="A19" s="3076"/>
      <c r="B19" s="3081"/>
      <c r="C19" s="3082"/>
      <c r="D19" s="3082"/>
      <c r="E19" s="3082"/>
      <c r="F19" s="3082"/>
      <c r="G19" s="3083"/>
      <c r="H19" s="1888"/>
      <c r="I19" s="1889" t="s">
        <v>922</v>
      </c>
      <c r="J19" s="1889"/>
      <c r="K19" s="1889"/>
      <c r="L19" s="1889"/>
      <c r="M19" s="1889"/>
      <c r="N19" s="1889"/>
      <c r="O19" s="1889"/>
      <c r="P19" s="1889"/>
      <c r="Q19" s="1890"/>
      <c r="R19" s="1889"/>
      <c r="S19" s="1891"/>
      <c r="T19" s="1892"/>
      <c r="U19" s="1889"/>
      <c r="V19" s="1896"/>
      <c r="W19" s="1897"/>
    </row>
    <row r="20" spans="1:23">
      <c r="A20" s="3076"/>
      <c r="B20" s="3081"/>
      <c r="C20" s="3082"/>
      <c r="D20" s="3082"/>
      <c r="E20" s="3082"/>
      <c r="F20" s="3082"/>
      <c r="G20" s="3083"/>
      <c r="H20" s="1888"/>
      <c r="I20" s="1898" t="s">
        <v>923</v>
      </c>
      <c r="J20" s="1889"/>
      <c r="K20" s="1889"/>
      <c r="L20" s="1889"/>
      <c r="M20" s="1889"/>
      <c r="N20" s="1889"/>
      <c r="O20" s="1889"/>
      <c r="P20" s="1890"/>
      <c r="Q20" s="1890"/>
      <c r="R20" s="1889"/>
      <c r="S20" s="1891">
        <v>2</v>
      </c>
      <c r="T20" s="1892"/>
      <c r="U20" s="1889"/>
      <c r="V20" s="1896"/>
      <c r="W20" s="1897"/>
    </row>
    <row r="21" spans="1:23">
      <c r="A21" s="3076"/>
      <c r="B21" s="3081"/>
      <c r="C21" s="3082"/>
      <c r="D21" s="3082"/>
      <c r="E21" s="3082"/>
      <c r="F21" s="3082"/>
      <c r="G21" s="3083"/>
      <c r="H21" s="1888"/>
      <c r="I21" s="1898" t="s">
        <v>924</v>
      </c>
      <c r="J21" s="1889"/>
      <c r="K21" s="1889"/>
      <c r="L21" s="1889"/>
      <c r="M21" s="1889"/>
      <c r="N21" s="1889"/>
      <c r="O21" s="1889"/>
      <c r="P21" s="1890"/>
      <c r="Q21" s="1890"/>
      <c r="R21" s="1889"/>
      <c r="S21" s="1891">
        <v>3</v>
      </c>
      <c r="T21" s="1892"/>
      <c r="U21" s="1889"/>
      <c r="V21" s="1896"/>
      <c r="W21" s="1897"/>
    </row>
    <row r="22" spans="1:23">
      <c r="A22" s="3076"/>
      <c r="B22" s="3081"/>
      <c r="C22" s="3082"/>
      <c r="D22" s="3082"/>
      <c r="E22" s="3082"/>
      <c r="F22" s="3082"/>
      <c r="G22" s="3083"/>
      <c r="H22" s="1888"/>
      <c r="I22" s="1898" t="s">
        <v>925</v>
      </c>
      <c r="J22" s="1889"/>
      <c r="K22" s="1889"/>
      <c r="L22" s="1889"/>
      <c r="M22" s="1889"/>
      <c r="N22" s="1889"/>
      <c r="O22" s="1889"/>
      <c r="P22" s="1890"/>
      <c r="Q22" s="1890"/>
      <c r="R22" s="1889"/>
      <c r="S22" s="1891">
        <v>4</v>
      </c>
      <c r="T22" s="1892"/>
      <c r="U22" s="1889"/>
      <c r="V22" s="3059"/>
      <c r="W22" s="3060"/>
    </row>
    <row r="23" spans="1:23">
      <c r="A23" s="3076"/>
      <c r="B23" s="3081"/>
      <c r="C23" s="3082"/>
      <c r="D23" s="3082"/>
      <c r="E23" s="3082"/>
      <c r="F23" s="3082"/>
      <c r="G23" s="3083"/>
      <c r="H23" s="1888"/>
      <c r="I23" s="1898" t="s">
        <v>926</v>
      </c>
      <c r="J23" s="1889"/>
      <c r="K23" s="1889"/>
      <c r="L23" s="1889"/>
      <c r="M23" s="1889"/>
      <c r="N23" s="1889"/>
      <c r="O23" s="1889"/>
      <c r="P23" s="1890"/>
      <c r="Q23" s="1890"/>
      <c r="R23" s="1889"/>
      <c r="S23" s="1891">
        <v>5</v>
      </c>
      <c r="T23" s="1892"/>
      <c r="U23" s="1889"/>
      <c r="V23" s="1899"/>
      <c r="W23" s="1895"/>
    </row>
    <row r="24" spans="1:23">
      <c r="A24" s="3076"/>
      <c r="B24" s="3081"/>
      <c r="C24" s="3082"/>
      <c r="D24" s="3082"/>
      <c r="E24" s="3082"/>
      <c r="F24" s="3082"/>
      <c r="G24" s="3083"/>
      <c r="H24" s="1888"/>
      <c r="I24" s="1900" t="s">
        <v>927</v>
      </c>
      <c r="J24" s="1889"/>
      <c r="K24" s="1889"/>
      <c r="L24" s="1889"/>
      <c r="M24" s="1889"/>
      <c r="N24" s="1889"/>
      <c r="O24" s="1889"/>
      <c r="P24" s="1889"/>
      <c r="Q24" s="1889"/>
      <c r="R24" s="1889"/>
      <c r="S24" s="1891">
        <v>6</v>
      </c>
      <c r="T24" s="1892"/>
      <c r="U24" s="1893" t="s">
        <v>917</v>
      </c>
      <c r="V24" s="3359">
        <f>+A116</f>
        <v>-9.1799999999999962</v>
      </c>
      <c r="W24" s="1897"/>
    </row>
    <row r="25" spans="1:23">
      <c r="A25" s="3076"/>
      <c r="B25" s="3081"/>
      <c r="C25" s="3082"/>
      <c r="D25" s="3082"/>
      <c r="E25" s="3082"/>
      <c r="F25" s="3082"/>
      <c r="G25" s="3083"/>
      <c r="H25" s="1888"/>
      <c r="I25" s="1889" t="s">
        <v>928</v>
      </c>
      <c r="J25" s="1889"/>
      <c r="K25" s="1889"/>
      <c r="L25" s="1889"/>
      <c r="M25" s="1889"/>
      <c r="N25" s="1889"/>
      <c r="O25" s="1889"/>
      <c r="P25" s="1890"/>
      <c r="Q25" s="1890"/>
      <c r="R25" s="1889"/>
      <c r="S25" s="1891">
        <v>7</v>
      </c>
      <c r="T25" s="1892"/>
      <c r="U25" s="1893"/>
      <c r="V25" s="1894"/>
      <c r="W25" s="1897"/>
    </row>
    <row r="26" spans="1:23">
      <c r="A26" s="3077"/>
      <c r="B26" s="3084"/>
      <c r="C26" s="3085"/>
      <c r="D26" s="3085"/>
      <c r="E26" s="3085"/>
      <c r="F26" s="3085"/>
      <c r="G26" s="3086"/>
      <c r="H26" s="1901"/>
      <c r="I26" s="1902"/>
      <c r="J26" s="1902"/>
      <c r="K26" s="1902"/>
      <c r="L26" s="1902"/>
      <c r="M26" s="1902"/>
      <c r="N26" s="1902"/>
      <c r="O26" s="1902"/>
      <c r="P26" s="1903"/>
      <c r="Q26" s="1902"/>
      <c r="R26" s="1902"/>
      <c r="S26" s="1904"/>
      <c r="T26" s="1905"/>
      <c r="U26" s="1902"/>
      <c r="V26" s="1906"/>
      <c r="W26" s="1907"/>
    </row>
    <row r="27" spans="1:23">
      <c r="A27" s="3061">
        <f>+A17-0.01</f>
        <v>-9.0499999999999989</v>
      </c>
      <c r="B27" s="3062" t="s">
        <v>1704</v>
      </c>
      <c r="C27" s="3002"/>
      <c r="D27" s="3002"/>
      <c r="E27" s="3002"/>
      <c r="F27" s="3002"/>
      <c r="G27" s="3063"/>
      <c r="H27" s="543"/>
      <c r="I27" s="531"/>
      <c r="J27" s="531"/>
      <c r="K27" s="531"/>
      <c r="L27" s="531"/>
      <c r="M27" s="531"/>
      <c r="N27" s="531"/>
      <c r="O27" s="531"/>
      <c r="P27" s="1491"/>
      <c r="Q27" s="531"/>
      <c r="R27" s="531"/>
      <c r="S27" s="520"/>
      <c r="T27" s="520"/>
      <c r="U27" s="1492"/>
      <c r="V27" s="551"/>
      <c r="W27" s="526"/>
    </row>
    <row r="28" spans="1:23">
      <c r="A28" s="3035"/>
      <c r="B28" s="3064"/>
      <c r="C28" s="2357"/>
      <c r="D28" s="2357"/>
      <c r="E28" s="2357"/>
      <c r="F28" s="2357"/>
      <c r="G28" s="3065"/>
      <c r="H28" s="540"/>
      <c r="Q28" s="1487" t="s">
        <v>929</v>
      </c>
      <c r="R28" s="1488"/>
      <c r="S28" s="521"/>
      <c r="U28" s="1493"/>
      <c r="W28" s="527"/>
    </row>
    <row r="29" spans="1:23" ht="4.5" customHeight="1">
      <c r="A29" s="1566"/>
      <c r="B29" s="3066"/>
      <c r="C29" s="3004"/>
      <c r="D29" s="3004"/>
      <c r="E29" s="3004"/>
      <c r="F29" s="3004"/>
      <c r="G29" s="3067"/>
      <c r="H29" s="540"/>
      <c r="P29" s="1487"/>
      <c r="T29" s="519"/>
      <c r="W29" s="527"/>
    </row>
    <row r="30" spans="1:23">
      <c r="A30" s="3061">
        <f>A27-0.01</f>
        <v>-9.0599999999999987</v>
      </c>
      <c r="B30" s="3062" t="s">
        <v>1705</v>
      </c>
      <c r="C30" s="3002"/>
      <c r="D30" s="3002"/>
      <c r="E30" s="3002"/>
      <c r="F30" s="3002"/>
      <c r="G30" s="3063"/>
      <c r="H30" s="543"/>
      <c r="I30" s="531"/>
      <c r="J30" s="531"/>
      <c r="K30" s="531"/>
      <c r="L30" s="531"/>
      <c r="M30" s="531"/>
      <c r="N30" s="531"/>
      <c r="O30" s="531"/>
      <c r="P30" s="1491"/>
      <c r="Q30" s="531"/>
      <c r="R30" s="531"/>
      <c r="S30" s="520"/>
      <c r="T30" s="530"/>
      <c r="U30" s="531"/>
      <c r="V30" s="551"/>
      <c r="W30" s="526"/>
    </row>
    <row r="31" spans="1:23">
      <c r="A31" s="3035"/>
      <c r="B31" s="3064"/>
      <c r="C31" s="2357"/>
      <c r="D31" s="2357"/>
      <c r="E31" s="2357"/>
      <c r="F31" s="2357"/>
      <c r="G31" s="3065"/>
      <c r="H31" s="540"/>
      <c r="I31" s="516" t="s">
        <v>930</v>
      </c>
      <c r="P31" s="1487"/>
      <c r="S31" s="1489">
        <v>1</v>
      </c>
      <c r="T31" s="532"/>
      <c r="W31" s="527"/>
    </row>
    <row r="32" spans="1:23">
      <c r="A32" s="3035"/>
      <c r="B32" s="3064"/>
      <c r="C32" s="2357"/>
      <c r="D32" s="2357"/>
      <c r="E32" s="2357"/>
      <c r="F32" s="2357"/>
      <c r="G32" s="3065"/>
      <c r="H32" s="540"/>
      <c r="I32" s="516" t="s">
        <v>931</v>
      </c>
      <c r="P32" s="1487"/>
      <c r="S32" s="1489">
        <v>2</v>
      </c>
      <c r="T32" s="532"/>
      <c r="W32" s="527"/>
    </row>
    <row r="33" spans="1:23">
      <c r="A33" s="3035"/>
      <c r="B33" s="3064"/>
      <c r="C33" s="2357"/>
      <c r="D33" s="2357"/>
      <c r="E33" s="2357"/>
      <c r="F33" s="2357"/>
      <c r="G33" s="3065"/>
      <c r="H33" s="540"/>
      <c r="I33" s="1490" t="s">
        <v>932</v>
      </c>
      <c r="P33" s="1487"/>
      <c r="S33" s="1489">
        <v>3</v>
      </c>
      <c r="T33" s="532"/>
      <c r="W33" s="527"/>
    </row>
    <row r="34" spans="1:23">
      <c r="A34" s="3035"/>
      <c r="B34" s="3064"/>
      <c r="C34" s="2357"/>
      <c r="D34" s="2357"/>
      <c r="E34" s="2357"/>
      <c r="F34" s="2357"/>
      <c r="G34" s="3065"/>
      <c r="H34" s="540"/>
      <c r="I34" s="1490" t="s">
        <v>933</v>
      </c>
      <c r="P34" s="1487"/>
      <c r="S34" s="1489">
        <v>4</v>
      </c>
      <c r="T34" s="532"/>
      <c r="W34" s="527"/>
    </row>
    <row r="35" spans="1:23">
      <c r="A35" s="3035"/>
      <c r="B35" s="3064"/>
      <c r="C35" s="2357"/>
      <c r="D35" s="2357"/>
      <c r="E35" s="2357"/>
      <c r="F35" s="2357"/>
      <c r="G35" s="3065"/>
      <c r="H35" s="540"/>
      <c r="I35" s="1490" t="s">
        <v>934</v>
      </c>
      <c r="P35" s="1487"/>
      <c r="S35" s="1489">
        <v>5</v>
      </c>
      <c r="T35" s="532"/>
      <c r="W35" s="527"/>
    </row>
    <row r="36" spans="1:23">
      <c r="A36" s="3035"/>
      <c r="B36" s="3064"/>
      <c r="C36" s="2357"/>
      <c r="D36" s="2357"/>
      <c r="E36" s="2357"/>
      <c r="F36" s="2357"/>
      <c r="G36" s="3065"/>
      <c r="H36" s="540"/>
      <c r="I36" s="516" t="s">
        <v>935</v>
      </c>
      <c r="J36" s="541"/>
      <c r="K36" s="541"/>
      <c r="L36" s="541"/>
      <c r="M36" s="541"/>
      <c r="N36" s="541"/>
      <c r="O36" s="541"/>
      <c r="P36" s="1678"/>
      <c r="Q36" s="541"/>
      <c r="R36" s="541"/>
      <c r="S36" s="1489">
        <v>6</v>
      </c>
      <c r="T36" s="532"/>
      <c r="W36" s="527"/>
    </row>
    <row r="37" spans="1:23">
      <c r="A37" s="3035"/>
      <c r="B37" s="3064"/>
      <c r="C37" s="2357"/>
      <c r="D37" s="2357"/>
      <c r="E37" s="2357"/>
      <c r="F37" s="2357"/>
      <c r="G37" s="3065"/>
      <c r="H37" s="540"/>
      <c r="I37" s="1490"/>
      <c r="P37" s="1487"/>
      <c r="T37" s="532"/>
      <c r="W37" s="527"/>
    </row>
    <row r="38" spans="1:23">
      <c r="A38" s="3061">
        <f>A30-0.01</f>
        <v>-9.0699999999999985</v>
      </c>
      <c r="B38" s="3062" t="s">
        <v>1706</v>
      </c>
      <c r="C38" s="3002"/>
      <c r="D38" s="3002"/>
      <c r="E38" s="3002"/>
      <c r="F38" s="3002"/>
      <c r="G38" s="3063"/>
      <c r="H38" s="543"/>
      <c r="I38" s="531"/>
      <c r="J38" s="531"/>
      <c r="K38" s="531"/>
      <c r="L38" s="531"/>
      <c r="M38" s="531"/>
      <c r="N38" s="531"/>
      <c r="O38" s="531"/>
      <c r="P38" s="531"/>
      <c r="Q38" s="531"/>
      <c r="R38" s="531"/>
      <c r="S38" s="520"/>
      <c r="T38" s="544"/>
      <c r="U38" s="531"/>
      <c r="V38" s="551"/>
      <c r="W38" s="526"/>
    </row>
    <row r="39" spans="1:23">
      <c r="A39" s="3035"/>
      <c r="B39" s="3064"/>
      <c r="C39" s="2357"/>
      <c r="D39" s="2357"/>
      <c r="E39" s="2357"/>
      <c r="F39" s="2357"/>
      <c r="G39" s="3065"/>
      <c r="H39" s="540"/>
      <c r="I39" s="516" t="s">
        <v>936</v>
      </c>
      <c r="S39" s="1489">
        <v>1</v>
      </c>
      <c r="T39" s="545"/>
      <c r="W39" s="527"/>
    </row>
    <row r="40" spans="1:23">
      <c r="A40" s="3035"/>
      <c r="B40" s="3064"/>
      <c r="C40" s="2357"/>
      <c r="D40" s="2357"/>
      <c r="E40" s="2357"/>
      <c r="F40" s="2357"/>
      <c r="G40" s="3065"/>
      <c r="H40" s="540"/>
      <c r="I40" s="516" t="s">
        <v>937</v>
      </c>
      <c r="S40" s="1489">
        <v>2</v>
      </c>
      <c r="T40" s="545"/>
      <c r="W40" s="527"/>
    </row>
    <row r="41" spans="1:23">
      <c r="A41" s="3035"/>
      <c r="B41" s="3064"/>
      <c r="C41" s="2357"/>
      <c r="D41" s="2357"/>
      <c r="E41" s="2357"/>
      <c r="F41" s="2357"/>
      <c r="G41" s="3065"/>
      <c r="H41" s="540"/>
      <c r="I41" s="516" t="s">
        <v>938</v>
      </c>
      <c r="J41" s="541"/>
      <c r="K41" s="541"/>
      <c r="L41" s="541"/>
      <c r="M41" s="541"/>
      <c r="N41" s="541"/>
      <c r="O41" s="541"/>
      <c r="P41" s="541"/>
      <c r="Q41" s="541"/>
      <c r="R41" s="541"/>
      <c r="S41" s="1489">
        <v>3</v>
      </c>
      <c r="T41" s="545"/>
      <c r="W41" s="527"/>
    </row>
    <row r="42" spans="1:23">
      <c r="A42" s="3035"/>
      <c r="B42" s="3064"/>
      <c r="C42" s="2357"/>
      <c r="D42" s="2357"/>
      <c r="E42" s="2357"/>
      <c r="F42" s="2357"/>
      <c r="G42" s="3065"/>
      <c r="H42" s="540"/>
      <c r="I42" s="516" t="s">
        <v>939</v>
      </c>
      <c r="J42" s="541"/>
      <c r="K42" s="541"/>
      <c r="L42" s="541"/>
      <c r="M42" s="541"/>
      <c r="N42" s="541"/>
      <c r="O42" s="541"/>
      <c r="P42" s="541"/>
      <c r="Q42" s="541"/>
      <c r="R42" s="541"/>
      <c r="S42" s="1489">
        <v>4</v>
      </c>
      <c r="T42" s="545"/>
      <c r="W42" s="527"/>
    </row>
    <row r="43" spans="1:23">
      <c r="A43" s="3035"/>
      <c r="B43" s="3064"/>
      <c r="C43" s="2357"/>
      <c r="D43" s="2357"/>
      <c r="E43" s="2357"/>
      <c r="F43" s="2357"/>
      <c r="G43" s="3065"/>
      <c r="H43" s="540"/>
      <c r="I43" s="516" t="s">
        <v>940</v>
      </c>
      <c r="J43" s="541"/>
      <c r="K43" s="541"/>
      <c r="L43" s="541"/>
      <c r="M43" s="541"/>
      <c r="N43" s="541"/>
      <c r="O43" s="541"/>
      <c r="P43" s="541"/>
      <c r="Q43" s="541"/>
      <c r="R43" s="541"/>
      <c r="S43" s="1489">
        <v>5</v>
      </c>
      <c r="T43" s="545"/>
      <c r="W43" s="527"/>
    </row>
    <row r="44" spans="1:23">
      <c r="A44" s="3035"/>
      <c r="B44" s="3064"/>
      <c r="C44" s="2357"/>
      <c r="D44" s="2357"/>
      <c r="E44" s="2357"/>
      <c r="F44" s="2357"/>
      <c r="G44" s="3065"/>
      <c r="H44" s="540"/>
      <c r="I44" s="516" t="s">
        <v>941</v>
      </c>
      <c r="J44" s="541"/>
      <c r="K44" s="541"/>
      <c r="L44" s="541"/>
      <c r="M44" s="541"/>
      <c r="N44" s="541"/>
      <c r="O44" s="541"/>
      <c r="P44" s="541"/>
      <c r="Q44" s="541"/>
      <c r="R44" s="541"/>
      <c r="S44" s="1679"/>
      <c r="T44" s="545"/>
      <c r="W44" s="527"/>
    </row>
    <row r="45" spans="1:23">
      <c r="A45" s="3035"/>
      <c r="B45" s="3064"/>
      <c r="C45" s="2357"/>
      <c r="D45" s="2357"/>
      <c r="E45" s="2357"/>
      <c r="F45" s="2357"/>
      <c r="G45" s="3065"/>
      <c r="H45" s="540"/>
      <c r="I45" s="1658" t="s">
        <v>942</v>
      </c>
      <c r="S45" s="1489">
        <v>6</v>
      </c>
      <c r="T45" s="545"/>
      <c r="W45" s="527"/>
    </row>
    <row r="46" spans="1:23">
      <c r="A46" s="3035"/>
      <c r="B46" s="3064"/>
      <c r="C46" s="2357"/>
      <c r="D46" s="2357"/>
      <c r="E46" s="2357"/>
      <c r="F46" s="2357"/>
      <c r="G46" s="3065"/>
      <c r="H46" s="540"/>
      <c r="I46" s="1658" t="s">
        <v>943</v>
      </c>
      <c r="S46" s="1489">
        <v>7</v>
      </c>
      <c r="T46" s="545"/>
      <c r="W46" s="527"/>
    </row>
    <row r="47" spans="1:23">
      <c r="A47" s="3035"/>
      <c r="B47" s="3064"/>
      <c r="C47" s="2357"/>
      <c r="D47" s="2357"/>
      <c r="E47" s="2357"/>
      <c r="F47" s="2357"/>
      <c r="G47" s="3065"/>
      <c r="H47" s="540"/>
      <c r="I47" s="516" t="s">
        <v>944</v>
      </c>
      <c r="S47" s="1489">
        <v>8</v>
      </c>
      <c r="T47" s="545"/>
      <c r="W47" s="527"/>
    </row>
    <row r="48" spans="1:23">
      <c r="A48" s="3035"/>
      <c r="B48" s="3064"/>
      <c r="C48" s="2357"/>
      <c r="D48" s="2357"/>
      <c r="E48" s="2357"/>
      <c r="F48" s="2357"/>
      <c r="G48" s="3065"/>
      <c r="H48" s="540"/>
      <c r="I48" s="516" t="s">
        <v>945</v>
      </c>
      <c r="J48" s="541"/>
      <c r="K48" s="541"/>
      <c r="L48" s="541"/>
      <c r="M48" s="541"/>
      <c r="N48" s="541"/>
      <c r="O48" s="541"/>
      <c r="P48" s="541"/>
      <c r="Q48" s="541"/>
      <c r="R48" s="541"/>
      <c r="S48" s="1489">
        <v>9</v>
      </c>
      <c r="T48" s="545"/>
      <c r="W48" s="527"/>
    </row>
    <row r="49" spans="1:23">
      <c r="A49" s="3035"/>
      <c r="B49" s="3064"/>
      <c r="C49" s="2357"/>
      <c r="D49" s="2357"/>
      <c r="E49" s="2357"/>
      <c r="F49" s="2357"/>
      <c r="G49" s="3065"/>
      <c r="H49" s="540"/>
      <c r="I49" s="516" t="s">
        <v>935</v>
      </c>
      <c r="S49" s="1489">
        <v>10</v>
      </c>
      <c r="T49" s="545"/>
      <c r="W49" s="527"/>
    </row>
    <row r="50" spans="1:23">
      <c r="A50" s="3035"/>
      <c r="B50" s="3066"/>
      <c r="C50" s="3004"/>
      <c r="D50" s="3004"/>
      <c r="E50" s="3004"/>
      <c r="F50" s="3004"/>
      <c r="G50" s="3067"/>
      <c r="T50" s="527"/>
      <c r="W50" s="527"/>
    </row>
    <row r="51" spans="1:23">
      <c r="A51" s="3061">
        <f>A38-0.01</f>
        <v>-9.0799999999999983</v>
      </c>
      <c r="B51" s="3062" t="s">
        <v>946</v>
      </c>
      <c r="C51" s="3002"/>
      <c r="D51" s="3002"/>
      <c r="E51" s="3002"/>
      <c r="F51" s="3002"/>
      <c r="G51" s="3063"/>
      <c r="H51" s="543"/>
      <c r="I51" s="531"/>
      <c r="J51" s="531"/>
      <c r="K51" s="531"/>
      <c r="L51" s="531"/>
      <c r="M51" s="531"/>
      <c r="N51" s="531"/>
      <c r="O51" s="531"/>
      <c r="P51" s="531"/>
      <c r="Q51" s="531"/>
      <c r="R51" s="531"/>
      <c r="S51" s="520"/>
      <c r="T51" s="544"/>
      <c r="U51" s="543"/>
      <c r="V51" s="551"/>
      <c r="W51" s="526"/>
    </row>
    <row r="52" spans="1:23">
      <c r="A52" s="3035"/>
      <c r="B52" s="3064"/>
      <c r="C52" s="2357"/>
      <c r="D52" s="2357"/>
      <c r="E52" s="2357"/>
      <c r="F52" s="2357"/>
      <c r="G52" s="3065"/>
      <c r="H52" s="540"/>
      <c r="I52" s="1490" t="s">
        <v>947</v>
      </c>
      <c r="S52" s="1489">
        <v>1</v>
      </c>
      <c r="T52" s="545"/>
      <c r="U52" s="540"/>
      <c r="W52" s="527"/>
    </row>
    <row r="53" spans="1:23">
      <c r="A53" s="3035"/>
      <c r="B53" s="3064"/>
      <c r="C53" s="2357"/>
      <c r="D53" s="2357"/>
      <c r="E53" s="2357"/>
      <c r="F53" s="2357"/>
      <c r="G53" s="3065"/>
      <c r="H53" s="540"/>
      <c r="I53" s="1490" t="s">
        <v>948</v>
      </c>
      <c r="S53" s="1489">
        <v>2</v>
      </c>
      <c r="T53" s="545"/>
      <c r="W53" s="527"/>
    </row>
    <row r="54" spans="1:23">
      <c r="A54" s="3035"/>
      <c r="B54" s="3064"/>
      <c r="C54" s="2357"/>
      <c r="D54" s="2357"/>
      <c r="E54" s="2357"/>
      <c r="F54" s="2357"/>
      <c r="G54" s="3065"/>
      <c r="H54" s="540"/>
      <c r="I54" s="1490" t="s">
        <v>949</v>
      </c>
      <c r="S54" s="1489">
        <v>3</v>
      </c>
      <c r="T54" s="545"/>
      <c r="W54" s="527"/>
    </row>
    <row r="55" spans="1:23">
      <c r="A55" s="3035"/>
      <c r="B55" s="3064"/>
      <c r="C55" s="2357"/>
      <c r="D55" s="2357"/>
      <c r="E55" s="2357"/>
      <c r="F55" s="2357"/>
      <c r="G55" s="3065"/>
      <c r="H55" s="540"/>
      <c r="I55" s="2986" t="s">
        <v>950</v>
      </c>
      <c r="J55" s="2986"/>
      <c r="K55" s="2986"/>
      <c r="L55" s="2986"/>
      <c r="M55" s="2986"/>
      <c r="N55" s="2986"/>
      <c r="O55" s="2986"/>
      <c r="P55" s="2986"/>
      <c r="Q55" s="2986"/>
      <c r="R55" s="2986"/>
      <c r="S55" s="1489">
        <v>4</v>
      </c>
      <c r="T55" s="545"/>
      <c r="W55" s="527"/>
    </row>
    <row r="56" spans="1:23">
      <c r="A56" s="3035"/>
      <c r="B56" s="3064"/>
      <c r="C56" s="2357"/>
      <c r="D56" s="2357"/>
      <c r="E56" s="2357"/>
      <c r="F56" s="2357"/>
      <c r="G56" s="3065"/>
      <c r="H56" s="540"/>
      <c r="I56" s="2986"/>
      <c r="J56" s="2986"/>
      <c r="K56" s="2986"/>
      <c r="L56" s="2986"/>
      <c r="M56" s="2986"/>
      <c r="N56" s="2986"/>
      <c r="O56" s="2986"/>
      <c r="P56" s="2986"/>
      <c r="Q56" s="2986"/>
      <c r="R56" s="2986"/>
      <c r="T56" s="545"/>
      <c r="W56" s="527"/>
    </row>
    <row r="57" spans="1:23">
      <c r="A57" s="3035"/>
      <c r="B57" s="3064"/>
      <c r="C57" s="2357"/>
      <c r="D57" s="2357"/>
      <c r="E57" s="2357"/>
      <c r="F57" s="2357"/>
      <c r="G57" s="3065"/>
      <c r="H57" s="540"/>
      <c r="I57" s="516" t="s">
        <v>951</v>
      </c>
      <c r="S57" s="1489">
        <v>5</v>
      </c>
      <c r="T57" s="545"/>
      <c r="W57" s="527"/>
    </row>
    <row r="58" spans="1:23">
      <c r="A58" s="3035"/>
      <c r="B58" s="3064"/>
      <c r="C58" s="2357"/>
      <c r="D58" s="2357"/>
      <c r="E58" s="2357"/>
      <c r="F58" s="2357"/>
      <c r="G58" s="3065"/>
      <c r="H58" s="540"/>
      <c r="I58" s="516" t="s">
        <v>935</v>
      </c>
      <c r="S58" s="1489">
        <v>6</v>
      </c>
      <c r="T58" s="545"/>
      <c r="W58" s="527"/>
    </row>
    <row r="59" spans="1:23">
      <c r="A59" s="3068"/>
      <c r="B59" s="3066"/>
      <c r="C59" s="3004"/>
      <c r="D59" s="3004"/>
      <c r="E59" s="3004"/>
      <c r="F59" s="3004"/>
      <c r="G59" s="3067"/>
      <c r="H59" s="542"/>
      <c r="I59" s="528"/>
      <c r="J59" s="528"/>
      <c r="K59" s="528"/>
      <c r="L59" s="528"/>
      <c r="M59" s="528"/>
      <c r="N59" s="528"/>
      <c r="O59" s="528"/>
      <c r="P59" s="528"/>
      <c r="Q59" s="528"/>
      <c r="R59" s="528"/>
      <c r="S59" s="518"/>
      <c r="T59" s="546"/>
      <c r="U59" s="542"/>
      <c r="V59" s="550"/>
      <c r="W59" s="529"/>
    </row>
    <row r="60" spans="1:23">
      <c r="A60" s="3035">
        <f>A51-0.01</f>
        <v>-9.0899999999999981</v>
      </c>
      <c r="B60" s="3064" t="s">
        <v>952</v>
      </c>
      <c r="C60" s="2357"/>
      <c r="D60" s="2357"/>
      <c r="E60" s="2357"/>
      <c r="F60" s="2357"/>
      <c r="G60" s="3065"/>
      <c r="H60" s="540"/>
      <c r="T60" s="545"/>
      <c r="W60" s="527"/>
    </row>
    <row r="61" spans="1:23">
      <c r="A61" s="3035"/>
      <c r="B61" s="3064"/>
      <c r="C61" s="2357"/>
      <c r="D61" s="2357"/>
      <c r="E61" s="2357"/>
      <c r="F61" s="2357"/>
      <c r="G61" s="3065"/>
      <c r="H61" s="540"/>
      <c r="I61" s="516" t="s">
        <v>953</v>
      </c>
      <c r="T61" s="545"/>
      <c r="W61" s="527"/>
    </row>
    <row r="62" spans="1:23">
      <c r="A62" s="3035"/>
      <c r="B62" s="3064"/>
      <c r="C62" s="2357"/>
      <c r="D62" s="2357"/>
      <c r="E62" s="2357"/>
      <c r="F62" s="2357"/>
      <c r="G62" s="3065"/>
      <c r="H62" s="540"/>
      <c r="I62" s="1658" t="s">
        <v>954</v>
      </c>
      <c r="S62" s="1489">
        <v>1</v>
      </c>
      <c r="T62" s="545"/>
      <c r="U62" s="100" t="s">
        <v>917</v>
      </c>
      <c r="V62" s="555">
        <f>A116</f>
        <v>-9.1799999999999962</v>
      </c>
      <c r="W62" s="527"/>
    </row>
    <row r="63" spans="1:23">
      <c r="A63" s="3035"/>
      <c r="B63" s="3064"/>
      <c r="C63" s="2357"/>
      <c r="D63" s="2357"/>
      <c r="E63" s="2357"/>
      <c r="F63" s="2357"/>
      <c r="G63" s="3065"/>
      <c r="H63" s="540"/>
      <c r="I63" s="1658" t="s">
        <v>955</v>
      </c>
      <c r="S63" s="1489">
        <v>2</v>
      </c>
      <c r="T63" s="545"/>
      <c r="U63" s="100" t="s">
        <v>917</v>
      </c>
      <c r="V63" s="555">
        <f>A116</f>
        <v>-9.1799999999999962</v>
      </c>
      <c r="W63" s="527"/>
    </row>
    <row r="64" spans="1:23">
      <c r="A64" s="3035"/>
      <c r="B64" s="3064"/>
      <c r="C64" s="2357"/>
      <c r="D64" s="2357"/>
      <c r="E64" s="2357"/>
      <c r="F64" s="2357"/>
      <c r="G64" s="3065"/>
      <c r="H64" s="540"/>
      <c r="I64" s="516" t="s">
        <v>951</v>
      </c>
      <c r="S64" s="1489">
        <v>3</v>
      </c>
      <c r="T64" s="545"/>
      <c r="W64" s="527"/>
    </row>
    <row r="65" spans="1:25">
      <c r="A65" s="3035"/>
      <c r="B65" s="3064"/>
      <c r="C65" s="2357"/>
      <c r="D65" s="2357"/>
      <c r="E65" s="2357"/>
      <c r="F65" s="2357"/>
      <c r="G65" s="3065"/>
      <c r="H65" s="540"/>
      <c r="I65" s="516" t="s">
        <v>930</v>
      </c>
      <c r="S65" s="1489">
        <v>4</v>
      </c>
      <c r="T65" s="545"/>
      <c r="W65" s="527"/>
    </row>
    <row r="66" spans="1:25">
      <c r="A66" s="3035"/>
      <c r="B66" s="3064"/>
      <c r="C66" s="2357"/>
      <c r="D66" s="2357"/>
      <c r="E66" s="2357"/>
      <c r="F66" s="2357"/>
      <c r="G66" s="3065"/>
      <c r="H66" s="540"/>
      <c r="I66" s="516" t="s">
        <v>935</v>
      </c>
      <c r="S66" s="1489">
        <v>5</v>
      </c>
      <c r="T66" s="545"/>
      <c r="W66" s="527"/>
    </row>
    <row r="67" spans="1:25">
      <c r="A67" s="3035"/>
      <c r="B67" s="3064"/>
      <c r="C67" s="2357"/>
      <c r="D67" s="2357"/>
      <c r="E67" s="2357"/>
      <c r="F67" s="2357"/>
      <c r="G67" s="3065"/>
      <c r="H67" s="540"/>
      <c r="I67" s="516" t="s">
        <v>956</v>
      </c>
      <c r="S67" s="1489">
        <v>6</v>
      </c>
      <c r="T67" s="545"/>
      <c r="W67" s="527"/>
    </row>
    <row r="68" spans="1:25">
      <c r="A68" s="3036"/>
      <c r="B68" s="3072"/>
      <c r="C68" s="3073"/>
      <c r="D68" s="3073"/>
      <c r="E68" s="3073"/>
      <c r="F68" s="3073"/>
      <c r="G68" s="3074"/>
      <c r="H68" s="542"/>
      <c r="I68" s="528"/>
      <c r="J68" s="528"/>
      <c r="K68" s="528"/>
      <c r="L68" s="528"/>
      <c r="M68" s="528"/>
      <c r="N68" s="528"/>
      <c r="O68" s="528"/>
      <c r="P68" s="528"/>
      <c r="Q68" s="528"/>
      <c r="R68" s="528"/>
      <c r="S68" s="518"/>
      <c r="T68" s="546"/>
      <c r="U68" s="528"/>
      <c r="V68" s="550"/>
      <c r="W68" s="529"/>
    </row>
    <row r="69" spans="1:25">
      <c r="A69" s="3035">
        <f>A60-0.01</f>
        <v>-9.0999999999999979</v>
      </c>
      <c r="B69" s="3064" t="s">
        <v>957</v>
      </c>
      <c r="C69" s="2357"/>
      <c r="D69" s="2357"/>
      <c r="E69" s="2357"/>
      <c r="F69" s="2357"/>
      <c r="G69" s="3065"/>
      <c r="H69" s="540"/>
      <c r="T69" s="545"/>
      <c r="W69" s="527"/>
    </row>
    <row r="70" spans="1:25">
      <c r="A70" s="3035"/>
      <c r="B70" s="3064"/>
      <c r="C70" s="2357"/>
      <c r="D70" s="2357"/>
      <c r="E70" s="2357"/>
      <c r="F70" s="2357"/>
      <c r="G70" s="3065"/>
      <c r="H70" s="540"/>
      <c r="I70" s="516" t="s">
        <v>951</v>
      </c>
      <c r="S70" s="1489">
        <v>1</v>
      </c>
      <c r="T70" s="545"/>
      <c r="U70" s="100" t="s">
        <v>917</v>
      </c>
      <c r="V70" s="555">
        <f>A116</f>
        <v>-9.1799999999999962</v>
      </c>
      <c r="W70" s="527"/>
    </row>
    <row r="71" spans="1:25">
      <c r="A71" s="3035"/>
      <c r="B71" s="3064"/>
      <c r="C71" s="2357"/>
      <c r="D71" s="2357"/>
      <c r="E71" s="2357"/>
      <c r="F71" s="2357"/>
      <c r="G71" s="3065"/>
      <c r="H71" s="540"/>
      <c r="I71" s="516" t="s">
        <v>958</v>
      </c>
      <c r="S71" s="1489">
        <v>2</v>
      </c>
      <c r="T71" s="545"/>
      <c r="U71" s="100" t="s">
        <v>917</v>
      </c>
      <c r="V71" s="555">
        <f>A116</f>
        <v>-9.1799999999999962</v>
      </c>
      <c r="W71" s="527"/>
    </row>
    <row r="72" spans="1:25">
      <c r="A72" s="3035"/>
      <c r="B72" s="3064"/>
      <c r="C72" s="2357"/>
      <c r="D72" s="2357"/>
      <c r="E72" s="2357"/>
      <c r="F72" s="2357"/>
      <c r="G72" s="3065"/>
      <c r="H72" s="540"/>
      <c r="I72" s="516" t="s">
        <v>959</v>
      </c>
      <c r="S72" s="1489">
        <v>3</v>
      </c>
      <c r="T72" s="545"/>
      <c r="U72" s="100" t="s">
        <v>917</v>
      </c>
      <c r="V72" s="555">
        <f>A116</f>
        <v>-9.1799999999999962</v>
      </c>
      <c r="W72" s="527"/>
    </row>
    <row r="73" spans="1:25">
      <c r="A73" s="3035"/>
      <c r="B73" s="3064"/>
      <c r="C73" s="2357"/>
      <c r="D73" s="2357"/>
      <c r="E73" s="2357"/>
      <c r="F73" s="2357"/>
      <c r="G73" s="3065"/>
      <c r="H73" s="540"/>
      <c r="I73" s="516" t="s">
        <v>945</v>
      </c>
      <c r="S73" s="1489">
        <v>4</v>
      </c>
      <c r="T73" s="545"/>
      <c r="U73" s="100" t="s">
        <v>917</v>
      </c>
      <c r="V73" s="555">
        <f>A116</f>
        <v>-9.1799999999999962</v>
      </c>
      <c r="W73" s="527"/>
    </row>
    <row r="74" spans="1:25">
      <c r="A74" s="3035"/>
      <c r="B74" s="3064"/>
      <c r="C74" s="2357"/>
      <c r="D74" s="2357"/>
      <c r="E74" s="2357"/>
      <c r="F74" s="2357"/>
      <c r="G74" s="3065"/>
      <c r="H74" s="540"/>
      <c r="I74" s="516" t="s">
        <v>935</v>
      </c>
      <c r="J74" s="1680"/>
      <c r="S74" s="1489">
        <v>5</v>
      </c>
      <c r="T74" s="545"/>
      <c r="U74" s="100" t="s">
        <v>917</v>
      </c>
      <c r="V74" s="555">
        <f>A116</f>
        <v>-9.1799999999999962</v>
      </c>
      <c r="W74" s="527"/>
    </row>
    <row r="75" spans="1:25" ht="13.5" thickBot="1">
      <c r="A75" s="3036"/>
      <c r="B75" s="3072"/>
      <c r="C75" s="3073"/>
      <c r="D75" s="3073"/>
      <c r="E75" s="3073"/>
      <c r="F75" s="3073"/>
      <c r="G75" s="3074"/>
      <c r="H75" s="1494"/>
      <c r="I75" s="1495"/>
      <c r="J75" s="1495"/>
      <c r="K75" s="1495"/>
      <c r="L75" s="1495"/>
      <c r="M75" s="1495"/>
      <c r="N75" s="1495"/>
      <c r="O75" s="1495"/>
      <c r="P75" s="1495"/>
      <c r="Q75" s="1495"/>
      <c r="R75" s="1495"/>
      <c r="S75" s="1496"/>
      <c r="T75" s="1497"/>
      <c r="U75" s="542"/>
      <c r="V75" s="550"/>
      <c r="W75" s="529"/>
    </row>
    <row r="76" spans="1:25" ht="16.5" thickTop="1">
      <c r="A76" s="3044" t="s">
        <v>960</v>
      </c>
      <c r="B76" s="3045"/>
      <c r="C76" s="3045"/>
      <c r="D76" s="3045"/>
      <c r="E76" s="3045"/>
      <c r="F76" s="3045"/>
      <c r="G76" s="3045"/>
      <c r="H76" s="3045"/>
      <c r="I76" s="3045"/>
      <c r="J76" s="3045"/>
      <c r="K76" s="3045"/>
      <c r="L76" s="3045"/>
      <c r="M76" s="3045"/>
      <c r="N76" s="3045"/>
      <c r="O76" s="3045"/>
      <c r="P76" s="3045"/>
      <c r="Q76" s="3045"/>
      <c r="R76" s="3045"/>
      <c r="S76" s="3045"/>
      <c r="T76" s="3045"/>
      <c r="U76" s="3045"/>
      <c r="V76" s="3045"/>
      <c r="W76" s="3046"/>
    </row>
    <row r="77" spans="1:25">
      <c r="A77" s="3034">
        <f>A69-0.01</f>
        <v>-9.1099999999999977</v>
      </c>
      <c r="B77" s="3069" t="s">
        <v>961</v>
      </c>
      <c r="C77" s="3070"/>
      <c r="D77" s="3070"/>
      <c r="E77" s="3070"/>
      <c r="F77" s="3070"/>
      <c r="G77" s="3071"/>
      <c r="H77" s="538"/>
      <c r="I77" s="531"/>
      <c r="J77" s="539"/>
      <c r="K77" s="539"/>
      <c r="L77" s="539"/>
      <c r="M77" s="539"/>
      <c r="N77" s="539"/>
      <c r="O77" s="539"/>
      <c r="P77" s="539"/>
      <c r="Q77" s="539"/>
      <c r="R77" s="539"/>
      <c r="S77" s="517"/>
      <c r="T77" s="547"/>
      <c r="U77" s="1223"/>
      <c r="V77" s="1552"/>
      <c r="W77" s="1227"/>
      <c r="X77" s="102"/>
      <c r="Y77" s="102"/>
    </row>
    <row r="78" spans="1:25">
      <c r="A78" s="3035"/>
      <c r="B78" s="3064"/>
      <c r="C78" s="2357"/>
      <c r="D78" s="2357"/>
      <c r="E78" s="2357"/>
      <c r="F78" s="2357"/>
      <c r="G78" s="3065"/>
      <c r="H78" s="540"/>
      <c r="Q78" s="1487" t="s">
        <v>962</v>
      </c>
      <c r="R78" s="1488"/>
      <c r="S78" s="521"/>
      <c r="T78" s="545"/>
      <c r="U78" s="1681"/>
      <c r="V78" s="3087"/>
      <c r="W78" s="3088"/>
      <c r="X78" s="102"/>
      <c r="Y78" s="102"/>
    </row>
    <row r="79" spans="1:25">
      <c r="A79" s="3036"/>
      <c r="B79" s="3072"/>
      <c r="C79" s="3073"/>
      <c r="D79" s="3073"/>
      <c r="E79" s="3073"/>
      <c r="F79" s="3073"/>
      <c r="G79" s="3074"/>
      <c r="H79" s="1494"/>
      <c r="I79" s="1495"/>
      <c r="J79" s="1495"/>
      <c r="K79" s="1495"/>
      <c r="L79" s="1495"/>
      <c r="M79" s="1495"/>
      <c r="N79" s="1495"/>
      <c r="O79" s="1495"/>
      <c r="P79" s="1495"/>
      <c r="Q79" s="1495"/>
      <c r="R79" s="1495"/>
      <c r="S79" s="1496"/>
      <c r="T79" s="1497"/>
      <c r="U79" s="1257"/>
      <c r="V79" s="1553"/>
      <c r="W79" s="1258"/>
      <c r="X79" s="102"/>
      <c r="Y79" s="102"/>
    </row>
    <row r="80" spans="1:25">
      <c r="A80" s="3034">
        <f>+A77-0.01</f>
        <v>-9.1199999999999974</v>
      </c>
      <c r="B80" s="3069" t="s">
        <v>963</v>
      </c>
      <c r="C80" s="3070"/>
      <c r="D80" s="3070"/>
      <c r="E80" s="3070"/>
      <c r="F80" s="3070"/>
      <c r="G80" s="3071"/>
      <c r="H80" s="538"/>
      <c r="J80" s="539"/>
      <c r="K80" s="539"/>
      <c r="L80" s="539"/>
      <c r="M80" s="539"/>
      <c r="N80" s="539"/>
      <c r="O80" s="539"/>
      <c r="P80" s="539"/>
      <c r="Q80" s="539"/>
      <c r="R80" s="539"/>
      <c r="S80" s="517"/>
      <c r="T80" s="547"/>
      <c r="U80" s="1223"/>
      <c r="V80" s="1552"/>
      <c r="W80" s="1227"/>
      <c r="X80" s="102"/>
      <c r="Y80" s="102"/>
    </row>
    <row r="81" spans="1:25">
      <c r="A81" s="3035"/>
      <c r="B81" s="3064"/>
      <c r="C81" s="2357"/>
      <c r="D81" s="2357"/>
      <c r="E81" s="2357"/>
      <c r="F81" s="2357"/>
      <c r="G81" s="3065"/>
      <c r="H81" s="540"/>
      <c r="I81" s="516" t="s">
        <v>964</v>
      </c>
      <c r="S81" s="1489">
        <v>1</v>
      </c>
      <c r="T81" s="545"/>
      <c r="U81" s="1681"/>
      <c r="V81" s="3087"/>
      <c r="W81" s="3088"/>
      <c r="X81" s="102"/>
      <c r="Y81" s="102"/>
    </row>
    <row r="82" spans="1:25">
      <c r="A82" s="3035"/>
      <c r="B82" s="3064"/>
      <c r="C82" s="2357"/>
      <c r="D82" s="2357"/>
      <c r="E82" s="2357"/>
      <c r="F82" s="2357"/>
      <c r="G82" s="3065"/>
      <c r="H82" s="540"/>
      <c r="I82" s="516" t="s">
        <v>965</v>
      </c>
      <c r="S82" s="1489">
        <v>2</v>
      </c>
      <c r="T82" s="545"/>
      <c r="U82" s="1681"/>
      <c r="V82" s="1682"/>
      <c r="W82" s="1256"/>
      <c r="X82" s="102"/>
      <c r="Y82" s="102"/>
    </row>
    <row r="83" spans="1:25">
      <c r="A83" s="3036"/>
      <c r="B83" s="3072"/>
      <c r="C83" s="3073"/>
      <c r="D83" s="3073"/>
      <c r="E83" s="3073"/>
      <c r="F83" s="3073"/>
      <c r="G83" s="3074"/>
      <c r="H83" s="1494"/>
      <c r="I83" s="1495"/>
      <c r="J83" s="1495"/>
      <c r="K83" s="1495"/>
      <c r="L83" s="1495"/>
      <c r="M83" s="1495"/>
      <c r="N83" s="1495"/>
      <c r="O83" s="1495"/>
      <c r="P83" s="1495"/>
      <c r="Q83" s="1495"/>
      <c r="R83" s="1495"/>
      <c r="S83" s="1496"/>
      <c r="T83" s="1497"/>
      <c r="U83" s="1257"/>
      <c r="V83" s="1553"/>
      <c r="W83" s="1258"/>
      <c r="X83" s="102"/>
      <c r="Y83" s="102"/>
    </row>
    <row r="84" spans="1:25">
      <c r="A84" s="3034">
        <f>+A80-0.01</f>
        <v>-9.1299999999999972</v>
      </c>
      <c r="B84" s="3069" t="s">
        <v>966</v>
      </c>
      <c r="C84" s="3070"/>
      <c r="D84" s="3070"/>
      <c r="E84" s="3070"/>
      <c r="F84" s="3070"/>
      <c r="G84" s="3071"/>
      <c r="H84" s="538"/>
      <c r="J84" s="539"/>
      <c r="K84" s="539"/>
      <c r="L84" s="539"/>
      <c r="M84" s="539"/>
      <c r="N84" s="539"/>
      <c r="O84" s="539"/>
      <c r="P84" s="539"/>
      <c r="Q84" s="539"/>
      <c r="R84" s="539"/>
      <c r="S84" s="517"/>
      <c r="T84" s="547"/>
      <c r="U84" s="538"/>
      <c r="V84" s="1074"/>
      <c r="W84" s="1054"/>
      <c r="X84" s="102"/>
      <c r="Y84" s="102"/>
    </row>
    <row r="85" spans="1:25">
      <c r="A85" s="3035"/>
      <c r="B85" s="3064"/>
      <c r="C85" s="2357"/>
      <c r="D85" s="2357"/>
      <c r="E85" s="2357"/>
      <c r="F85" s="2357"/>
      <c r="G85" s="3065"/>
      <c r="H85" s="540"/>
      <c r="I85" s="516" t="s">
        <v>964</v>
      </c>
      <c r="S85" s="1489">
        <v>1</v>
      </c>
      <c r="T85" s="545"/>
      <c r="U85" s="541"/>
      <c r="V85" s="3091"/>
      <c r="W85" s="3092"/>
      <c r="X85" s="102"/>
      <c r="Y85" s="102"/>
    </row>
    <row r="86" spans="1:25">
      <c r="A86" s="3035"/>
      <c r="B86" s="3064"/>
      <c r="C86" s="2357"/>
      <c r="D86" s="2357"/>
      <c r="E86" s="2357"/>
      <c r="F86" s="2357"/>
      <c r="G86" s="3065"/>
      <c r="H86" s="540"/>
      <c r="I86" s="516" t="s">
        <v>965</v>
      </c>
      <c r="S86" s="1489">
        <v>2</v>
      </c>
      <c r="T86" s="545"/>
      <c r="U86" s="541"/>
      <c r="V86" s="549"/>
      <c r="W86" s="1222"/>
      <c r="X86" s="102"/>
      <c r="Y86" s="102"/>
    </row>
    <row r="87" spans="1:25">
      <c r="A87" s="3036"/>
      <c r="B87" s="3072"/>
      <c r="C87" s="3073"/>
      <c r="D87" s="3073"/>
      <c r="E87" s="3073"/>
      <c r="F87" s="3073"/>
      <c r="G87" s="3074"/>
      <c r="H87" s="1494"/>
      <c r="I87" s="1495"/>
      <c r="J87" s="1495"/>
      <c r="K87" s="1495"/>
      <c r="L87" s="1495"/>
      <c r="M87" s="1495"/>
      <c r="N87" s="1495"/>
      <c r="O87" s="1495"/>
      <c r="P87" s="1495"/>
      <c r="Q87" s="1495"/>
      <c r="R87" s="1495"/>
      <c r="S87" s="1496"/>
      <c r="T87" s="1497"/>
      <c r="U87" s="1494"/>
      <c r="V87" s="1554"/>
      <c r="W87" s="1498"/>
      <c r="X87" s="102"/>
      <c r="Y87" s="102"/>
    </row>
    <row r="88" spans="1:25">
      <c r="A88" s="3034">
        <f>+A84-0.01</f>
        <v>-9.139999999999997</v>
      </c>
      <c r="B88" s="3069" t="s">
        <v>967</v>
      </c>
      <c r="C88" s="3070"/>
      <c r="D88" s="3070"/>
      <c r="E88" s="3070"/>
      <c r="F88" s="3070"/>
      <c r="G88" s="3071"/>
      <c r="H88" s="538"/>
      <c r="J88" s="539"/>
      <c r="K88" s="539"/>
      <c r="L88" s="539"/>
      <c r="M88" s="539"/>
      <c r="N88" s="539"/>
      <c r="O88" s="539"/>
      <c r="P88" s="539"/>
      <c r="Q88" s="539"/>
      <c r="R88" s="539"/>
      <c r="S88" s="517"/>
      <c r="T88" s="547"/>
      <c r="U88" s="538"/>
      <c r="V88" s="1074"/>
      <c r="W88" s="1054"/>
      <c r="X88" s="102"/>
      <c r="Y88" s="102"/>
    </row>
    <row r="89" spans="1:25">
      <c r="A89" s="3035"/>
      <c r="B89" s="3064"/>
      <c r="C89" s="2357"/>
      <c r="D89" s="2357"/>
      <c r="E89" s="2357"/>
      <c r="F89" s="2357"/>
      <c r="G89" s="3065"/>
      <c r="H89" s="540"/>
      <c r="I89" s="516" t="s">
        <v>964</v>
      </c>
      <c r="S89" s="1489">
        <v>1</v>
      </c>
      <c r="T89" s="545"/>
      <c r="U89" s="541"/>
      <c r="V89" s="3091"/>
      <c r="W89" s="3092"/>
      <c r="X89" s="102"/>
      <c r="Y89" s="102"/>
    </row>
    <row r="90" spans="1:25">
      <c r="A90" s="3035"/>
      <c r="B90" s="3064"/>
      <c r="C90" s="2357"/>
      <c r="D90" s="2357"/>
      <c r="E90" s="2357"/>
      <c r="F90" s="2357"/>
      <c r="G90" s="3065"/>
      <c r="H90" s="540"/>
      <c r="I90" s="516" t="s">
        <v>965</v>
      </c>
      <c r="S90" s="1489">
        <v>2</v>
      </c>
      <c r="T90" s="545"/>
      <c r="U90" s="541"/>
      <c r="V90" s="549"/>
      <c r="W90" s="1222"/>
      <c r="X90" s="102"/>
      <c r="Y90" s="102"/>
    </row>
    <row r="91" spans="1:25">
      <c r="A91" s="3036"/>
      <c r="B91" s="3072"/>
      <c r="C91" s="3073"/>
      <c r="D91" s="3073"/>
      <c r="E91" s="3073"/>
      <c r="F91" s="3073"/>
      <c r="G91" s="3074"/>
      <c r="H91" s="1494"/>
      <c r="I91" s="1495"/>
      <c r="J91" s="1495"/>
      <c r="K91" s="1495"/>
      <c r="L91" s="1495"/>
      <c r="M91" s="1495"/>
      <c r="N91" s="1495"/>
      <c r="O91" s="1495"/>
      <c r="P91" s="1495"/>
      <c r="Q91" s="1495"/>
      <c r="R91" s="1495"/>
      <c r="S91" s="1496"/>
      <c r="T91" s="1497"/>
      <c r="U91" s="1494"/>
      <c r="V91" s="1554"/>
      <c r="W91" s="1498"/>
      <c r="X91" s="102"/>
      <c r="Y91" s="102"/>
    </row>
    <row r="92" spans="1:25">
      <c r="A92" s="3034">
        <f>+A88-0.01</f>
        <v>-9.1499999999999968</v>
      </c>
      <c r="B92" s="3069" t="s">
        <v>968</v>
      </c>
      <c r="C92" s="3070"/>
      <c r="D92" s="3070"/>
      <c r="E92" s="3070"/>
      <c r="F92" s="3070"/>
      <c r="G92" s="3071"/>
      <c r="H92" s="538"/>
      <c r="J92" s="539"/>
      <c r="K92" s="539"/>
      <c r="L92" s="539"/>
      <c r="M92" s="539"/>
      <c r="N92" s="539"/>
      <c r="O92" s="539"/>
      <c r="P92" s="539"/>
      <c r="Q92" s="539"/>
      <c r="R92" s="539"/>
      <c r="S92" s="517"/>
      <c r="T92" s="547"/>
      <c r="U92" s="538"/>
      <c r="V92" s="1074"/>
      <c r="W92" s="1054"/>
      <c r="X92" s="102"/>
      <c r="Y92" s="102"/>
    </row>
    <row r="93" spans="1:25">
      <c r="A93" s="3035"/>
      <c r="B93" s="3064"/>
      <c r="C93" s="2357"/>
      <c r="D93" s="2357"/>
      <c r="E93" s="2357"/>
      <c r="F93" s="2357"/>
      <c r="G93" s="3065"/>
      <c r="H93" s="540"/>
      <c r="I93" s="516" t="s">
        <v>964</v>
      </c>
      <c r="S93" s="1489">
        <v>1</v>
      </c>
      <c r="T93" s="545"/>
      <c r="U93" s="541"/>
      <c r="V93" s="3089"/>
      <c r="W93" s="3090"/>
      <c r="X93" s="102"/>
      <c r="Y93" s="102"/>
    </row>
    <row r="94" spans="1:25">
      <c r="A94" s="3035"/>
      <c r="B94" s="3064"/>
      <c r="C94" s="2357"/>
      <c r="D94" s="2357"/>
      <c r="E94" s="2357"/>
      <c r="F94" s="2357"/>
      <c r="G94" s="3065"/>
      <c r="H94" s="540"/>
      <c r="I94" s="516" t="s">
        <v>965</v>
      </c>
      <c r="S94" s="1489">
        <v>2</v>
      </c>
      <c r="T94" s="545"/>
      <c r="U94" s="541"/>
      <c r="V94" s="3089"/>
      <c r="W94" s="3090"/>
      <c r="X94" s="102"/>
      <c r="Y94" s="102"/>
    </row>
    <row r="95" spans="1:25">
      <c r="A95" s="3035"/>
      <c r="B95" s="3064"/>
      <c r="C95" s="2357"/>
      <c r="D95" s="2357"/>
      <c r="E95" s="2357"/>
      <c r="F95" s="2357"/>
      <c r="G95" s="3065"/>
      <c r="H95" s="540"/>
      <c r="T95" s="545"/>
      <c r="U95" s="540"/>
      <c r="W95" s="527"/>
      <c r="X95" s="102"/>
      <c r="Y95" s="102"/>
    </row>
    <row r="96" spans="1:25">
      <c r="A96" s="3061">
        <f>+A92-0.01</f>
        <v>-9.1599999999999966</v>
      </c>
      <c r="B96" s="3062" t="s">
        <v>969</v>
      </c>
      <c r="C96" s="3002"/>
      <c r="D96" s="3002"/>
      <c r="E96" s="3002"/>
      <c r="F96" s="3002"/>
      <c r="G96" s="3063"/>
      <c r="H96" s="543"/>
      <c r="I96" s="531"/>
      <c r="J96" s="531"/>
      <c r="K96" s="531"/>
      <c r="L96" s="531"/>
      <c r="M96" s="531"/>
      <c r="N96" s="531"/>
      <c r="O96" s="531"/>
      <c r="P96" s="531"/>
      <c r="Q96" s="531"/>
      <c r="R96" s="531"/>
      <c r="S96" s="520"/>
      <c r="T96" s="544"/>
      <c r="U96" s="543"/>
      <c r="V96" s="551"/>
      <c r="W96" s="526"/>
      <c r="X96" s="102"/>
      <c r="Y96" s="102"/>
    </row>
    <row r="97" spans="1:25">
      <c r="A97" s="3035"/>
      <c r="B97" s="3064"/>
      <c r="C97" s="2357"/>
      <c r="D97" s="2357"/>
      <c r="E97" s="2357"/>
      <c r="F97" s="2357"/>
      <c r="G97" s="3065"/>
      <c r="H97" s="540"/>
      <c r="I97" s="516" t="s">
        <v>953</v>
      </c>
      <c r="T97" s="545"/>
      <c r="U97" s="540"/>
      <c r="W97" s="527"/>
      <c r="X97" s="102"/>
      <c r="Y97" s="102"/>
    </row>
    <row r="98" spans="1:25">
      <c r="A98" s="3035"/>
      <c r="B98" s="3064"/>
      <c r="C98" s="2357"/>
      <c r="D98" s="2357"/>
      <c r="E98" s="2357"/>
      <c r="F98" s="2357"/>
      <c r="G98" s="3065"/>
      <c r="H98" s="540"/>
      <c r="I98" s="1658" t="s">
        <v>970</v>
      </c>
      <c r="S98" s="1489">
        <v>1</v>
      </c>
      <c r="T98" s="545"/>
      <c r="U98" s="540"/>
      <c r="W98" s="527"/>
      <c r="X98" s="102"/>
      <c r="Y98" s="102"/>
    </row>
    <row r="99" spans="1:25">
      <c r="A99" s="3035"/>
      <c r="B99" s="3064"/>
      <c r="C99" s="2357"/>
      <c r="D99" s="2357"/>
      <c r="E99" s="2357"/>
      <c r="F99" s="2357"/>
      <c r="G99" s="3065"/>
      <c r="H99" s="540"/>
      <c r="I99" s="1658" t="s">
        <v>971</v>
      </c>
      <c r="S99" s="1489">
        <v>2</v>
      </c>
      <c r="T99" s="545"/>
      <c r="U99" s="540"/>
      <c r="W99" s="527"/>
      <c r="X99" s="102"/>
      <c r="Y99" s="102"/>
    </row>
    <row r="100" spans="1:25">
      <c r="A100" s="3035"/>
      <c r="B100" s="3064"/>
      <c r="C100" s="2357"/>
      <c r="D100" s="2357"/>
      <c r="E100" s="2357"/>
      <c r="F100" s="2357"/>
      <c r="G100" s="3065"/>
      <c r="H100" s="540"/>
      <c r="I100" s="516" t="s">
        <v>972</v>
      </c>
      <c r="T100" s="545"/>
      <c r="U100" s="540"/>
      <c r="V100" s="3091"/>
      <c r="W100" s="3092"/>
      <c r="X100" s="102"/>
      <c r="Y100" s="102"/>
    </row>
    <row r="101" spans="1:25">
      <c r="A101" s="3035"/>
      <c r="B101" s="3064"/>
      <c r="C101" s="2357"/>
      <c r="D101" s="2357"/>
      <c r="E101" s="2357"/>
      <c r="F101" s="2357"/>
      <c r="G101" s="3065"/>
      <c r="H101" s="540"/>
      <c r="I101" s="1658" t="s">
        <v>973</v>
      </c>
      <c r="S101" s="1489">
        <v>3</v>
      </c>
      <c r="T101" s="545"/>
      <c r="U101" s="540"/>
      <c r="W101" s="527"/>
      <c r="X101" s="102"/>
      <c r="Y101" s="102"/>
    </row>
    <row r="102" spans="1:25">
      <c r="A102" s="3035"/>
      <c r="B102" s="3064"/>
      <c r="C102" s="2357"/>
      <c r="D102" s="2357"/>
      <c r="E102" s="2357"/>
      <c r="F102" s="2357"/>
      <c r="G102" s="3065"/>
      <c r="H102" s="540"/>
      <c r="I102" s="516" t="s">
        <v>974</v>
      </c>
      <c r="T102" s="545"/>
      <c r="U102" s="540"/>
      <c r="W102" s="527"/>
      <c r="X102" s="102"/>
      <c r="Y102" s="102"/>
    </row>
    <row r="103" spans="1:25">
      <c r="A103" s="3035"/>
      <c r="B103" s="3064"/>
      <c r="C103" s="2357"/>
      <c r="D103" s="2357"/>
      <c r="E103" s="2357"/>
      <c r="F103" s="2357"/>
      <c r="G103" s="3065"/>
      <c r="H103" s="540"/>
      <c r="I103" s="1658" t="s">
        <v>975</v>
      </c>
      <c r="S103" s="1489">
        <v>4</v>
      </c>
      <c r="T103" s="545"/>
      <c r="U103" s="540"/>
      <c r="W103" s="527"/>
      <c r="X103" s="102"/>
      <c r="Y103" s="102"/>
    </row>
    <row r="104" spans="1:25">
      <c r="A104" s="3035"/>
      <c r="B104" s="3064"/>
      <c r="C104" s="2357"/>
      <c r="D104" s="2357"/>
      <c r="E104" s="2357"/>
      <c r="F104" s="2357"/>
      <c r="G104" s="3065"/>
      <c r="H104" s="540"/>
      <c r="I104" s="516" t="s">
        <v>928</v>
      </c>
      <c r="P104" s="1487"/>
      <c r="Q104" s="1487"/>
      <c r="S104" s="1489">
        <v>5</v>
      </c>
      <c r="T104" s="545"/>
      <c r="U104" s="540"/>
      <c r="W104" s="527"/>
      <c r="X104" s="102"/>
      <c r="Y104" s="102"/>
    </row>
    <row r="105" spans="1:25">
      <c r="A105" s="3068"/>
      <c r="B105" s="3066"/>
      <c r="C105" s="3004"/>
      <c r="D105" s="3004"/>
      <c r="E105" s="3004"/>
      <c r="F105" s="3004"/>
      <c r="G105" s="3067"/>
      <c r="H105" s="542"/>
      <c r="I105" s="528"/>
      <c r="J105" s="528"/>
      <c r="K105" s="528"/>
      <c r="L105" s="528"/>
      <c r="M105" s="528"/>
      <c r="N105" s="528"/>
      <c r="O105" s="528"/>
      <c r="P105" s="528"/>
      <c r="Q105" s="528"/>
      <c r="R105" s="528"/>
      <c r="S105" s="518"/>
      <c r="T105" s="546"/>
      <c r="U105" s="542"/>
      <c r="V105" s="550"/>
      <c r="W105" s="529"/>
      <c r="X105" s="102"/>
      <c r="Y105" s="102"/>
    </row>
    <row r="106" spans="1:25">
      <c r="A106" s="3061">
        <f>+A96-0.01</f>
        <v>-9.1699999999999964</v>
      </c>
      <c r="B106" s="3062" t="s">
        <v>976</v>
      </c>
      <c r="C106" s="3002"/>
      <c r="D106" s="3002"/>
      <c r="E106" s="3002"/>
      <c r="F106" s="3002"/>
      <c r="G106" s="3063"/>
      <c r="H106" s="543"/>
      <c r="I106" s="531"/>
      <c r="J106" s="531"/>
      <c r="K106" s="531"/>
      <c r="L106" s="531"/>
      <c r="M106" s="531"/>
      <c r="N106" s="531"/>
      <c r="O106" s="531"/>
      <c r="P106" s="531"/>
      <c r="Q106" s="531"/>
      <c r="R106" s="531"/>
      <c r="S106" s="520"/>
      <c r="T106" s="544"/>
      <c r="U106" s="543"/>
      <c r="V106" s="551"/>
      <c r="W106" s="526"/>
      <c r="X106" s="102"/>
      <c r="Y106" s="102"/>
    </row>
    <row r="107" spans="1:25">
      <c r="A107" s="3035"/>
      <c r="B107" s="3064"/>
      <c r="C107" s="2357"/>
      <c r="D107" s="2357"/>
      <c r="E107" s="2357"/>
      <c r="F107" s="2357"/>
      <c r="G107" s="3065"/>
      <c r="H107" s="540"/>
      <c r="I107" s="516" t="s">
        <v>953</v>
      </c>
      <c r="T107" s="545"/>
      <c r="U107" s="540"/>
      <c r="W107" s="527"/>
      <c r="X107" s="102"/>
      <c r="Y107" s="102"/>
    </row>
    <row r="108" spans="1:25">
      <c r="A108" s="3035"/>
      <c r="B108" s="3064"/>
      <c r="C108" s="2357"/>
      <c r="D108" s="2357"/>
      <c r="E108" s="2357"/>
      <c r="F108" s="2357"/>
      <c r="G108" s="3065"/>
      <c r="H108" s="540"/>
      <c r="I108" s="1658" t="s">
        <v>970</v>
      </c>
      <c r="S108" s="1489">
        <v>1</v>
      </c>
      <c r="T108" s="545"/>
      <c r="U108" s="540"/>
      <c r="W108" s="527"/>
      <c r="X108" s="102"/>
      <c r="Y108" s="102"/>
    </row>
    <row r="109" spans="1:25">
      <c r="A109" s="3035"/>
      <c r="B109" s="3064"/>
      <c r="C109" s="2357"/>
      <c r="D109" s="2357"/>
      <c r="E109" s="2357"/>
      <c r="F109" s="2357"/>
      <c r="G109" s="3065"/>
      <c r="H109" s="540"/>
      <c r="I109" s="1658" t="s">
        <v>971</v>
      </c>
      <c r="S109" s="1489">
        <v>2</v>
      </c>
      <c r="T109" s="545"/>
      <c r="U109" s="540"/>
      <c r="W109" s="527"/>
      <c r="X109" s="102"/>
      <c r="Y109" s="102"/>
    </row>
    <row r="110" spans="1:25">
      <c r="A110" s="3035"/>
      <c r="B110" s="3064"/>
      <c r="C110" s="2357"/>
      <c r="D110" s="2357"/>
      <c r="E110" s="2357"/>
      <c r="F110" s="2357"/>
      <c r="G110" s="3065"/>
      <c r="H110" s="540"/>
      <c r="I110" s="516" t="s">
        <v>972</v>
      </c>
      <c r="T110" s="545"/>
      <c r="U110" s="540"/>
      <c r="V110" s="3091"/>
      <c r="W110" s="3092"/>
      <c r="X110" s="102"/>
      <c r="Y110" s="102"/>
    </row>
    <row r="111" spans="1:25">
      <c r="A111" s="3035"/>
      <c r="B111" s="3064"/>
      <c r="C111" s="2357"/>
      <c r="D111" s="2357"/>
      <c r="E111" s="2357"/>
      <c r="F111" s="2357"/>
      <c r="G111" s="3065"/>
      <c r="H111" s="540"/>
      <c r="I111" s="1658" t="s">
        <v>973</v>
      </c>
      <c r="S111" s="1489">
        <v>3</v>
      </c>
      <c r="T111" s="545"/>
      <c r="U111" s="540"/>
      <c r="W111" s="527"/>
      <c r="X111" s="102"/>
      <c r="Y111" s="102"/>
    </row>
    <row r="112" spans="1:25">
      <c r="A112" s="3035"/>
      <c r="B112" s="3064"/>
      <c r="C112" s="2357"/>
      <c r="D112" s="2357"/>
      <c r="E112" s="2357"/>
      <c r="F112" s="2357"/>
      <c r="G112" s="3065"/>
      <c r="H112" s="540"/>
      <c r="I112" s="516" t="s">
        <v>974</v>
      </c>
      <c r="T112" s="545"/>
      <c r="U112" s="540"/>
      <c r="W112" s="527"/>
      <c r="X112" s="102"/>
      <c r="Y112" s="102"/>
    </row>
    <row r="113" spans="1:25">
      <c r="A113" s="3035"/>
      <c r="B113" s="3064"/>
      <c r="C113" s="2357"/>
      <c r="D113" s="2357"/>
      <c r="E113" s="2357"/>
      <c r="F113" s="2357"/>
      <c r="G113" s="3065"/>
      <c r="H113" s="540"/>
      <c r="I113" s="1658" t="s">
        <v>975</v>
      </c>
      <c r="S113" s="1489">
        <v>4</v>
      </c>
      <c r="T113" s="545"/>
      <c r="U113" s="540"/>
      <c r="W113" s="527"/>
      <c r="X113" s="102"/>
      <c r="Y113" s="102"/>
    </row>
    <row r="114" spans="1:25">
      <c r="A114" s="3035"/>
      <c r="B114" s="3064"/>
      <c r="C114" s="2357"/>
      <c r="D114" s="2357"/>
      <c r="E114" s="2357"/>
      <c r="F114" s="2357"/>
      <c r="G114" s="3065"/>
      <c r="H114" s="540"/>
      <c r="I114" s="516" t="s">
        <v>928</v>
      </c>
      <c r="P114" s="1487"/>
      <c r="Q114" s="1487"/>
      <c r="S114" s="1489">
        <v>5</v>
      </c>
      <c r="T114" s="545"/>
      <c r="U114" s="540"/>
      <c r="W114" s="527"/>
      <c r="X114" s="102"/>
      <c r="Y114" s="102"/>
    </row>
    <row r="115" spans="1:25" ht="13.5" thickBot="1">
      <c r="A115" s="3093"/>
      <c r="B115" s="3094"/>
      <c r="C115" s="3095"/>
      <c r="D115" s="3095"/>
      <c r="E115" s="3095"/>
      <c r="F115" s="3095"/>
      <c r="G115" s="3096"/>
      <c r="H115" s="1499"/>
      <c r="I115" s="1500"/>
      <c r="J115" s="1500"/>
      <c r="K115" s="1500"/>
      <c r="L115" s="1500"/>
      <c r="M115" s="1500"/>
      <c r="N115" s="1500"/>
      <c r="O115" s="1500"/>
      <c r="P115" s="1500"/>
      <c r="Q115" s="1500"/>
      <c r="R115" s="1500"/>
      <c r="S115" s="1501"/>
      <c r="T115" s="1502"/>
      <c r="U115" s="1499"/>
      <c r="V115" s="1555"/>
      <c r="W115" s="1503"/>
      <c r="X115" s="102"/>
      <c r="Y115" s="102"/>
    </row>
    <row r="116" spans="1:25" ht="13.5" thickTop="1">
      <c r="A116" s="3035">
        <f>+A106-0.01</f>
        <v>-9.1799999999999962</v>
      </c>
      <c r="B116" s="3064" t="s">
        <v>1707</v>
      </c>
      <c r="C116" s="2357"/>
      <c r="D116" s="2357"/>
      <c r="E116" s="2357"/>
      <c r="F116" s="2357"/>
      <c r="G116" s="3065"/>
      <c r="H116" s="540"/>
      <c r="T116" s="545"/>
      <c r="U116" s="540"/>
      <c r="W116" s="527"/>
      <c r="X116" s="102"/>
      <c r="Y116" s="102"/>
    </row>
    <row r="117" spans="1:25">
      <c r="A117" s="3035"/>
      <c r="B117" s="3064"/>
      <c r="C117" s="2357"/>
      <c r="D117" s="2357"/>
      <c r="E117" s="2357"/>
      <c r="F117" s="2357"/>
      <c r="G117" s="3065"/>
      <c r="H117" s="540"/>
      <c r="Q117" s="1487" t="s">
        <v>291</v>
      </c>
      <c r="R117" s="1488"/>
      <c r="S117" s="521"/>
      <c r="T117" s="545"/>
      <c r="U117" s="541"/>
      <c r="V117" s="3091"/>
      <c r="W117" s="3092"/>
      <c r="X117" s="102"/>
      <c r="Y117" s="102"/>
    </row>
    <row r="118" spans="1:25">
      <c r="A118" s="3035"/>
      <c r="B118" s="3064"/>
      <c r="C118" s="2357"/>
      <c r="D118" s="2357"/>
      <c r="E118" s="2357"/>
      <c r="F118" s="2357"/>
      <c r="G118" s="3065"/>
      <c r="H118" s="540"/>
      <c r="Q118" s="1487"/>
      <c r="T118" s="545"/>
      <c r="U118" s="541"/>
      <c r="V118" s="549"/>
      <c r="W118" s="1222"/>
      <c r="X118" s="102"/>
      <c r="Y118" s="102"/>
    </row>
    <row r="119" spans="1:25">
      <c r="A119" s="3036"/>
      <c r="B119" s="3072"/>
      <c r="C119" s="3073"/>
      <c r="D119" s="3073"/>
      <c r="E119" s="3073"/>
      <c r="F119" s="3073"/>
      <c r="G119" s="3074"/>
      <c r="H119" s="1494"/>
      <c r="I119" s="1495"/>
      <c r="J119" s="1495"/>
      <c r="K119" s="1495"/>
      <c r="L119" s="1495"/>
      <c r="M119" s="1495"/>
      <c r="N119" s="1495"/>
      <c r="O119" s="1495"/>
      <c r="P119" s="1495"/>
      <c r="Q119" s="1495"/>
      <c r="R119" s="1495"/>
      <c r="S119" s="1496"/>
      <c r="T119" s="1497"/>
      <c r="U119" s="1494"/>
      <c r="V119" s="1554"/>
      <c r="W119" s="1498"/>
      <c r="X119" s="102"/>
      <c r="Y119" s="102"/>
    </row>
    <row r="120" spans="1:25">
      <c r="A120" s="3034">
        <f>+A116-0.01</f>
        <v>-9.1899999999999959</v>
      </c>
      <c r="B120" s="3069" t="s">
        <v>977</v>
      </c>
      <c r="C120" s="3070"/>
      <c r="D120" s="3070"/>
      <c r="E120" s="3070"/>
      <c r="F120" s="3070"/>
      <c r="G120" s="3071"/>
      <c r="H120" s="538"/>
      <c r="I120" s="531"/>
      <c r="J120" s="539"/>
      <c r="K120" s="539"/>
      <c r="L120" s="539"/>
      <c r="M120" s="539"/>
      <c r="N120" s="539"/>
      <c r="O120" s="539"/>
      <c r="P120" s="539"/>
      <c r="Q120" s="539"/>
      <c r="R120" s="539"/>
      <c r="S120" s="517"/>
      <c r="T120" s="547"/>
      <c r="U120" s="538"/>
      <c r="V120" s="1074"/>
      <c r="W120" s="1054"/>
      <c r="X120" s="102"/>
      <c r="Y120" s="102"/>
    </row>
    <row r="121" spans="1:25">
      <c r="A121" s="3035"/>
      <c r="B121" s="3064"/>
      <c r="C121" s="2357"/>
      <c r="D121" s="2357"/>
      <c r="E121" s="2357"/>
      <c r="F121" s="2357"/>
      <c r="G121" s="3065"/>
      <c r="H121" s="540"/>
      <c r="Q121" s="1487" t="s">
        <v>291</v>
      </c>
      <c r="R121" s="1488"/>
      <c r="S121" s="521"/>
      <c r="T121" s="545"/>
      <c r="U121" s="541"/>
      <c r="V121" s="3091"/>
      <c r="W121" s="3092"/>
      <c r="X121" s="102"/>
      <c r="Y121" s="102"/>
    </row>
    <row r="122" spans="1:25">
      <c r="A122" s="3036"/>
      <c r="B122" s="3072"/>
      <c r="C122" s="3073"/>
      <c r="D122" s="3073"/>
      <c r="E122" s="3073"/>
      <c r="F122" s="3073"/>
      <c r="G122" s="3074"/>
      <c r="H122" s="1494"/>
      <c r="I122" s="1495"/>
      <c r="J122" s="1495"/>
      <c r="K122" s="1495"/>
      <c r="L122" s="1495"/>
      <c r="M122" s="1495"/>
      <c r="N122" s="1495"/>
      <c r="O122" s="1495"/>
      <c r="P122" s="1495"/>
      <c r="Q122" s="1495"/>
      <c r="R122" s="1495"/>
      <c r="S122" s="1496"/>
      <c r="T122" s="1497"/>
      <c r="U122" s="1494"/>
      <c r="V122" s="1554"/>
      <c r="W122" s="1498"/>
      <c r="X122" s="102"/>
      <c r="Y122" s="102"/>
    </row>
    <row r="123" spans="1:25">
      <c r="A123" s="3034">
        <f>+A120-0.01</f>
        <v>-9.1999999999999957</v>
      </c>
      <c r="B123" s="3069" t="s">
        <v>978</v>
      </c>
      <c r="C123" s="3070"/>
      <c r="D123" s="3070"/>
      <c r="E123" s="3070"/>
      <c r="F123" s="3070"/>
      <c r="G123" s="3071"/>
      <c r="H123" s="540"/>
      <c r="T123" s="545"/>
      <c r="U123" s="540"/>
      <c r="W123" s="527"/>
      <c r="X123" s="102"/>
      <c r="Y123" s="102"/>
    </row>
    <row r="124" spans="1:25">
      <c r="A124" s="3035"/>
      <c r="B124" s="3064"/>
      <c r="C124" s="2357"/>
      <c r="D124" s="2357"/>
      <c r="E124" s="2357"/>
      <c r="F124" s="2357"/>
      <c r="G124" s="3065"/>
      <c r="H124" s="540"/>
      <c r="I124" s="516" t="s">
        <v>179</v>
      </c>
      <c r="T124" s="545"/>
      <c r="W124" s="527"/>
      <c r="X124" s="102"/>
      <c r="Y124" s="102"/>
    </row>
    <row r="125" spans="1:25">
      <c r="A125" s="3035"/>
      <c r="B125" s="3064"/>
      <c r="C125" s="2357"/>
      <c r="D125" s="2357"/>
      <c r="E125" s="2357"/>
      <c r="F125" s="2357"/>
      <c r="G125" s="3065"/>
      <c r="H125" s="540"/>
      <c r="I125" s="1683" t="s">
        <v>979</v>
      </c>
      <c r="S125" s="1489">
        <v>1</v>
      </c>
      <c r="T125" s="545"/>
      <c r="W125" s="527"/>
      <c r="X125" s="102"/>
      <c r="Y125" s="102"/>
    </row>
    <row r="126" spans="1:25">
      <c r="A126" s="3035"/>
      <c r="B126" s="3064"/>
      <c r="C126" s="2357"/>
      <c r="D126" s="2357"/>
      <c r="E126" s="2357"/>
      <c r="F126" s="2357"/>
      <c r="G126" s="3065"/>
      <c r="H126" s="540"/>
      <c r="I126" s="1658" t="s">
        <v>980</v>
      </c>
      <c r="S126" s="1489">
        <v>2</v>
      </c>
      <c r="T126" s="545"/>
      <c r="U126" s="100"/>
      <c r="W126" s="527"/>
      <c r="X126" s="102"/>
      <c r="Y126" s="102"/>
    </row>
    <row r="127" spans="1:25">
      <c r="A127" s="3035"/>
      <c r="B127" s="3064"/>
      <c r="C127" s="2357"/>
      <c r="D127" s="2357"/>
      <c r="E127" s="2357"/>
      <c r="F127" s="2357"/>
      <c r="G127" s="3065"/>
      <c r="H127" s="540"/>
      <c r="I127" s="1490" t="s">
        <v>981</v>
      </c>
      <c r="S127" s="1489">
        <v>3</v>
      </c>
      <c r="T127" s="545"/>
      <c r="U127" s="100"/>
      <c r="V127" s="555"/>
      <c r="W127" s="527"/>
      <c r="X127" s="102"/>
      <c r="Y127" s="102"/>
    </row>
    <row r="128" spans="1:25">
      <c r="A128" s="3035"/>
      <c r="B128" s="3064"/>
      <c r="C128" s="2357"/>
      <c r="D128" s="2357"/>
      <c r="E128" s="2357"/>
      <c r="F128" s="2357"/>
      <c r="G128" s="3065"/>
      <c r="H128" s="540"/>
      <c r="I128" s="1490" t="s">
        <v>982</v>
      </c>
      <c r="S128" s="1489">
        <v>4</v>
      </c>
      <c r="T128" s="545"/>
      <c r="U128" s="100"/>
      <c r="W128" s="527"/>
      <c r="X128" s="102"/>
      <c r="Y128" s="102"/>
    </row>
    <row r="129" spans="1:39">
      <c r="A129" s="3068"/>
      <c r="B129" s="3066"/>
      <c r="C129" s="3004"/>
      <c r="D129" s="3004"/>
      <c r="E129" s="3004"/>
      <c r="F129" s="3004"/>
      <c r="G129" s="3067"/>
      <c r="H129" s="542"/>
      <c r="I129" s="528"/>
      <c r="J129" s="528"/>
      <c r="K129" s="528"/>
      <c r="L129" s="528"/>
      <c r="M129" s="528"/>
      <c r="N129" s="528"/>
      <c r="O129" s="528"/>
      <c r="P129" s="528"/>
      <c r="Q129" s="528"/>
      <c r="R129" s="528"/>
      <c r="S129" s="518"/>
      <c r="T129" s="546"/>
      <c r="U129" s="542"/>
      <c r="V129" s="550"/>
      <c r="W129" s="529"/>
      <c r="X129" s="102"/>
      <c r="Y129" s="102"/>
    </row>
    <row r="130" spans="1:39">
      <c r="A130" s="3061">
        <f>+A123-0.01</f>
        <v>-9.2099999999999955</v>
      </c>
      <c r="B130" s="3062" t="s">
        <v>983</v>
      </c>
      <c r="C130" s="3002"/>
      <c r="D130" s="3002"/>
      <c r="E130" s="3002"/>
      <c r="F130" s="3002"/>
      <c r="G130" s="3063"/>
      <c r="H130" s="540"/>
      <c r="T130" s="545"/>
      <c r="U130" s="540"/>
      <c r="W130" s="527"/>
      <c r="X130" s="102"/>
      <c r="Y130" s="102"/>
    </row>
    <row r="131" spans="1:39">
      <c r="A131" s="3035"/>
      <c r="B131" s="3064"/>
      <c r="C131" s="2357"/>
      <c r="D131" s="2357"/>
      <c r="E131" s="2357"/>
      <c r="F131" s="2357"/>
      <c r="G131" s="3065"/>
      <c r="H131" s="540"/>
      <c r="I131" s="516" t="s">
        <v>984</v>
      </c>
      <c r="S131" s="1489">
        <v>1</v>
      </c>
      <c r="T131" s="545"/>
      <c r="U131" s="100"/>
      <c r="V131" s="1684"/>
      <c r="W131" s="527"/>
      <c r="X131" s="102"/>
      <c r="Y131" s="102"/>
    </row>
    <row r="132" spans="1:39">
      <c r="A132" s="3035"/>
      <c r="B132" s="3064"/>
      <c r="C132" s="2357"/>
      <c r="D132" s="2357"/>
      <c r="E132" s="2357"/>
      <c r="F132" s="2357"/>
      <c r="G132" s="3065"/>
      <c r="H132" s="540"/>
      <c r="I132" s="516" t="s">
        <v>985</v>
      </c>
      <c r="S132" s="1489">
        <v>2</v>
      </c>
      <c r="T132" s="545"/>
      <c r="U132" s="100"/>
      <c r="V132" s="1684"/>
      <c r="W132" s="527"/>
      <c r="X132" s="102"/>
      <c r="Y132" s="102"/>
    </row>
    <row r="133" spans="1:39">
      <c r="A133" s="3035"/>
      <c r="B133" s="3064"/>
      <c r="C133" s="2357"/>
      <c r="D133" s="2357"/>
      <c r="E133" s="2357"/>
      <c r="F133" s="2357"/>
      <c r="G133" s="3065"/>
      <c r="H133" s="540"/>
      <c r="I133" s="516" t="s">
        <v>986</v>
      </c>
      <c r="S133" s="1489">
        <v>3</v>
      </c>
      <c r="T133" s="545"/>
      <c r="V133" s="552"/>
      <c r="W133" s="527"/>
      <c r="X133" s="102"/>
      <c r="Y133" s="102"/>
    </row>
    <row r="134" spans="1:39">
      <c r="A134" s="3035"/>
      <c r="B134" s="3064"/>
      <c r="C134" s="2357"/>
      <c r="D134" s="2357"/>
      <c r="E134" s="2357"/>
      <c r="F134" s="2357"/>
      <c r="G134" s="3065"/>
      <c r="H134" s="540"/>
      <c r="I134" s="516" t="s">
        <v>987</v>
      </c>
      <c r="S134" s="1489">
        <v>4</v>
      </c>
      <c r="T134" s="545"/>
      <c r="U134" s="100" t="s">
        <v>917</v>
      </c>
      <c r="V134" s="555">
        <f>A144</f>
        <v>-9.2299999999999951</v>
      </c>
      <c r="W134" s="527"/>
      <c r="X134" s="102"/>
      <c r="Y134" s="102"/>
    </row>
    <row r="135" spans="1:39">
      <c r="A135" s="3035"/>
      <c r="B135" s="3064"/>
      <c r="C135" s="2357"/>
      <c r="D135" s="2357"/>
      <c r="E135" s="2357"/>
      <c r="F135" s="2357"/>
      <c r="G135" s="3065"/>
      <c r="H135" s="540"/>
      <c r="I135" s="516" t="s">
        <v>988</v>
      </c>
      <c r="S135" s="1489">
        <v>5</v>
      </c>
      <c r="T135" s="545"/>
      <c r="V135" s="552"/>
      <c r="W135" s="527"/>
      <c r="X135" s="102"/>
      <c r="Y135" s="102"/>
    </row>
    <row r="136" spans="1:39">
      <c r="A136" s="3035"/>
      <c r="B136" s="3064"/>
      <c r="C136" s="2357"/>
      <c r="D136" s="2357"/>
      <c r="E136" s="2357"/>
      <c r="F136" s="2357"/>
      <c r="G136" s="3065"/>
      <c r="H136" s="540"/>
      <c r="I136" s="516" t="s">
        <v>989</v>
      </c>
      <c r="S136" s="1489">
        <v>6</v>
      </c>
      <c r="T136" s="545"/>
      <c r="U136" s="100" t="s">
        <v>917</v>
      </c>
      <c r="V136" s="555">
        <f>A152</f>
        <v>-9.2499999999999947</v>
      </c>
      <c r="W136" s="527"/>
      <c r="X136" s="102" t="s">
        <v>990</v>
      </c>
      <c r="Y136" s="102"/>
    </row>
    <row r="137" spans="1:39">
      <c r="A137" s="3035"/>
      <c r="B137" s="3064"/>
      <c r="C137" s="2357"/>
      <c r="D137" s="2357"/>
      <c r="E137" s="2357"/>
      <c r="F137" s="2357"/>
      <c r="G137" s="3065"/>
      <c r="H137" s="540"/>
      <c r="I137" s="516" t="s">
        <v>991</v>
      </c>
      <c r="S137" s="1489">
        <v>7</v>
      </c>
      <c r="T137" s="545"/>
      <c r="U137" s="100"/>
      <c r="V137" s="1684"/>
      <c r="W137" s="527"/>
      <c r="X137" s="102"/>
      <c r="Y137" s="102"/>
    </row>
    <row r="138" spans="1:39">
      <c r="A138" s="3035"/>
      <c r="B138" s="3064"/>
      <c r="C138" s="2357"/>
      <c r="D138" s="2357"/>
      <c r="E138" s="2357"/>
      <c r="F138" s="2357"/>
      <c r="G138" s="3065"/>
      <c r="H138" s="540"/>
      <c r="I138" s="516" t="s">
        <v>928</v>
      </c>
      <c r="P138" s="1487"/>
      <c r="Q138" s="1487"/>
      <c r="S138" s="1489">
        <v>8</v>
      </c>
      <c r="T138" s="545"/>
      <c r="V138" s="552"/>
      <c r="W138" s="527"/>
      <c r="X138" s="102"/>
      <c r="Y138" s="102"/>
    </row>
    <row r="139" spans="1:39">
      <c r="A139" s="3036"/>
      <c r="B139" s="3072"/>
      <c r="C139" s="3073"/>
      <c r="D139" s="3073"/>
      <c r="E139" s="3073"/>
      <c r="F139" s="3073"/>
      <c r="G139" s="3074"/>
      <c r="H139" s="542"/>
      <c r="I139" s="528"/>
      <c r="J139" s="528"/>
      <c r="K139" s="528"/>
      <c r="L139" s="528"/>
      <c r="M139" s="528"/>
      <c r="N139" s="528"/>
      <c r="O139" s="528"/>
      <c r="P139" s="528"/>
      <c r="Q139" s="528"/>
      <c r="R139" s="528"/>
      <c r="S139" s="518"/>
      <c r="T139" s="546"/>
      <c r="U139" s="542"/>
      <c r="V139" s="550"/>
      <c r="W139" s="529"/>
      <c r="X139" s="102"/>
      <c r="Y139" s="102"/>
    </row>
    <row r="140" spans="1:39">
      <c r="A140" s="3006">
        <f>A130-0.01</f>
        <v>-9.2199999999999953</v>
      </c>
      <c r="B140" s="3020" t="s">
        <v>1709</v>
      </c>
      <c r="C140" s="3021"/>
      <c r="D140" s="3021"/>
      <c r="E140" s="3021"/>
      <c r="F140" s="3021"/>
      <c r="G140" s="3022"/>
      <c r="H140" s="1223"/>
      <c r="I140" s="1224"/>
      <c r="J140" s="1224"/>
      <c r="K140" s="1224"/>
      <c r="L140" s="1224"/>
      <c r="M140" s="1224"/>
      <c r="N140" s="1224"/>
      <c r="O140" s="1224"/>
      <c r="P140" s="1224"/>
      <c r="Q140" s="1224"/>
      <c r="R140" s="1224"/>
      <c r="S140" s="1225"/>
      <c r="T140" s="1226"/>
      <c r="U140" s="1224"/>
      <c r="V140" s="1552"/>
      <c r="W140" s="1227"/>
      <c r="Y140" s="102"/>
      <c r="AM140" s="516" t="s">
        <v>992</v>
      </c>
    </row>
    <row r="141" spans="1:39">
      <c r="A141" s="3007"/>
      <c r="B141" s="3023"/>
      <c r="C141" s="3024"/>
      <c r="D141" s="3024"/>
      <c r="E141" s="3024"/>
      <c r="F141" s="3024"/>
      <c r="G141" s="3025"/>
      <c r="H141" s="1228"/>
      <c r="I141" s="522"/>
      <c r="J141" s="522"/>
      <c r="K141" s="522"/>
      <c r="L141" s="3102" t="s">
        <v>993</v>
      </c>
      <c r="M141" s="3102"/>
      <c r="N141" s="3103"/>
      <c r="O141" s="1492"/>
      <c r="P141" s="531"/>
      <c r="Q141" s="531"/>
      <c r="R141" s="531"/>
      <c r="S141" s="530"/>
      <c r="T141" s="1229"/>
      <c r="U141" s="516" t="s">
        <v>91</v>
      </c>
      <c r="V141" s="1684">
        <f>+A148</f>
        <v>-9.2399999999999949</v>
      </c>
      <c r="W141" s="1230"/>
      <c r="X141" s="1231" t="s">
        <v>994</v>
      </c>
      <c r="Y141" s="102"/>
      <c r="AC141" s="516" t="s">
        <v>995</v>
      </c>
    </row>
    <row r="142" spans="1:39" ht="14.25">
      <c r="A142" s="3007"/>
      <c r="B142" s="3023"/>
      <c r="C142" s="3024"/>
      <c r="D142" s="3024"/>
      <c r="E142" s="3024"/>
      <c r="F142" s="3024"/>
      <c r="G142" s="3025"/>
      <c r="H142" s="1228"/>
      <c r="I142" s="522"/>
      <c r="J142" s="522"/>
      <c r="K142" s="522"/>
      <c r="L142" s="3102"/>
      <c r="M142" s="3102"/>
      <c r="N142" s="3103"/>
      <c r="O142" s="1504"/>
      <c r="P142" s="528"/>
      <c r="Q142" s="528"/>
      <c r="R142" s="528"/>
      <c r="S142" s="519"/>
      <c r="T142" s="1229"/>
      <c r="U142" s="522"/>
      <c r="V142" s="552"/>
      <c r="W142" s="523"/>
      <c r="X142" s="1582" t="s">
        <v>996</v>
      </c>
      <c r="Y142" s="102"/>
    </row>
    <row r="143" spans="1:39">
      <c r="A143" s="3110"/>
      <c r="B143" s="3111"/>
      <c r="C143" s="3112"/>
      <c r="D143" s="3112"/>
      <c r="E143" s="3112"/>
      <c r="F143" s="3112"/>
      <c r="G143" s="3113"/>
      <c r="H143" s="524"/>
      <c r="I143" s="1232"/>
      <c r="J143" s="1232"/>
      <c r="K143" s="1232"/>
      <c r="L143" s="1232"/>
      <c r="M143" s="1232"/>
      <c r="N143" s="1232"/>
      <c r="O143" s="1232"/>
      <c r="P143" s="1233"/>
      <c r="Q143" s="1232"/>
      <c r="R143" s="1232"/>
      <c r="S143" s="1234"/>
      <c r="T143" s="1235"/>
      <c r="U143" s="1232"/>
      <c r="V143" s="553"/>
      <c r="W143" s="525"/>
      <c r="X143" s="1231"/>
      <c r="Y143" s="102"/>
    </row>
    <row r="144" spans="1:39">
      <c r="A144" s="3114">
        <f>+A140-0.01</f>
        <v>-9.2299999999999951</v>
      </c>
      <c r="B144" s="3020" t="s">
        <v>1708</v>
      </c>
      <c r="C144" s="3021"/>
      <c r="D144" s="3021"/>
      <c r="E144" s="3021"/>
      <c r="F144" s="3021"/>
      <c r="G144" s="3022"/>
      <c r="H144" s="1223"/>
      <c r="I144" s="1224"/>
      <c r="J144" s="1224"/>
      <c r="K144" s="1224"/>
      <c r="L144" s="1224"/>
      <c r="M144" s="1224"/>
      <c r="N144" s="1224"/>
      <c r="O144" s="1224"/>
      <c r="P144" s="1224"/>
      <c r="Q144" s="1224"/>
      <c r="R144" s="1224"/>
      <c r="S144" s="1225"/>
      <c r="T144" s="1226"/>
      <c r="U144" s="1224"/>
      <c r="V144" s="1552"/>
      <c r="W144" s="1227"/>
      <c r="X144" s="1231"/>
      <c r="Y144" s="102"/>
    </row>
    <row r="145" spans="1:25">
      <c r="A145" s="3115"/>
      <c r="B145" s="3023"/>
      <c r="C145" s="3024"/>
      <c r="D145" s="3024"/>
      <c r="E145" s="3024"/>
      <c r="F145" s="3024"/>
      <c r="G145" s="3025"/>
      <c r="H145" s="1228"/>
      <c r="I145" s="522"/>
      <c r="J145" s="522"/>
      <c r="K145" s="522"/>
      <c r="L145" s="3102" t="s">
        <v>993</v>
      </c>
      <c r="M145" s="3102"/>
      <c r="N145" s="3103"/>
      <c r="O145" s="1492"/>
      <c r="P145" s="531"/>
      <c r="Q145" s="531"/>
      <c r="R145" s="531"/>
      <c r="S145" s="530"/>
      <c r="T145" s="1229"/>
      <c r="W145" s="1230"/>
      <c r="X145" s="1231" t="s">
        <v>997</v>
      </c>
      <c r="Y145" s="102"/>
    </row>
    <row r="146" spans="1:25">
      <c r="A146" s="3115"/>
      <c r="B146" s="3023"/>
      <c r="C146" s="3024"/>
      <c r="D146" s="3024"/>
      <c r="E146" s="3024"/>
      <c r="F146" s="3024"/>
      <c r="G146" s="3025"/>
      <c r="H146" s="1228"/>
      <c r="I146" s="522"/>
      <c r="J146" s="522"/>
      <c r="K146" s="522"/>
      <c r="L146" s="3102"/>
      <c r="M146" s="3102"/>
      <c r="N146" s="3103"/>
      <c r="O146" s="1504"/>
      <c r="P146" s="528"/>
      <c r="Q146" s="528"/>
      <c r="R146" s="528"/>
      <c r="S146" s="519"/>
      <c r="T146" s="1229"/>
      <c r="U146" s="522"/>
      <c r="V146" s="552"/>
      <c r="W146" s="523"/>
      <c r="X146" s="1231" t="s">
        <v>998</v>
      </c>
      <c r="Y146" s="102"/>
    </row>
    <row r="147" spans="1:25">
      <c r="A147" s="3116"/>
      <c r="B147" s="3111"/>
      <c r="C147" s="3112"/>
      <c r="D147" s="3112"/>
      <c r="E147" s="3112"/>
      <c r="F147" s="3112"/>
      <c r="G147" s="3113"/>
      <c r="H147" s="524"/>
      <c r="I147" s="1232"/>
      <c r="J147" s="1232"/>
      <c r="K147" s="1232"/>
      <c r="L147" s="1232"/>
      <c r="M147" s="1232"/>
      <c r="N147" s="1232"/>
      <c r="O147" s="1232"/>
      <c r="P147" s="1233"/>
      <c r="Q147" s="1232"/>
      <c r="R147" s="1232"/>
      <c r="S147" s="1234"/>
      <c r="T147" s="1235"/>
      <c r="U147" s="1232"/>
      <c r="V147" s="553"/>
      <c r="W147" s="525"/>
      <c r="X147" s="1231"/>
      <c r="Y147" s="102"/>
    </row>
    <row r="148" spans="1:25">
      <c r="A148" s="3034">
        <f>+A144-0.01</f>
        <v>-9.2399999999999949</v>
      </c>
      <c r="B148" s="3097" t="s">
        <v>1710</v>
      </c>
      <c r="C148" s="3098"/>
      <c r="D148" s="3098"/>
      <c r="E148" s="3098"/>
      <c r="F148" s="3098"/>
      <c r="G148" s="3099"/>
      <c r="H148" s="538"/>
      <c r="I148" s="531"/>
      <c r="J148" s="539"/>
      <c r="K148" s="539"/>
      <c r="L148" s="539"/>
      <c r="M148" s="539"/>
      <c r="N148" s="539"/>
      <c r="O148" s="539"/>
      <c r="P148" s="539"/>
      <c r="Q148" s="539"/>
      <c r="R148" s="539"/>
      <c r="S148" s="517"/>
      <c r="T148" s="547"/>
      <c r="U148" s="538"/>
      <c r="V148" s="1074"/>
      <c r="W148" s="1054"/>
      <c r="X148" s="102"/>
      <c r="Y148" s="102"/>
    </row>
    <row r="149" spans="1:25">
      <c r="A149" s="3035"/>
      <c r="B149" s="3100"/>
      <c r="C149" s="2467"/>
      <c r="D149" s="2467"/>
      <c r="E149" s="2467"/>
      <c r="F149" s="2467"/>
      <c r="G149" s="3101"/>
      <c r="H149" s="540"/>
      <c r="K149" s="742"/>
      <c r="L149" s="3102" t="s">
        <v>293</v>
      </c>
      <c r="M149" s="3102"/>
      <c r="N149" s="3103"/>
      <c r="O149" s="1492"/>
      <c r="P149" s="531"/>
      <c r="Q149" s="531"/>
      <c r="R149" s="531"/>
      <c r="S149" s="530"/>
      <c r="T149" s="545"/>
      <c r="U149" s="516" t="s">
        <v>91</v>
      </c>
      <c r="V149" s="555">
        <f>A156</f>
        <v>-9.2599999999999945</v>
      </c>
      <c r="W149" s="1055"/>
      <c r="X149" s="102"/>
      <c r="Y149" s="102"/>
    </row>
    <row r="150" spans="1:25">
      <c r="A150" s="3035"/>
      <c r="B150" s="3100"/>
      <c r="C150" s="2467"/>
      <c r="D150" s="2467"/>
      <c r="E150" s="2467"/>
      <c r="F150" s="2467"/>
      <c r="G150" s="3101"/>
      <c r="H150" s="540"/>
      <c r="K150" s="742"/>
      <c r="L150" s="3102"/>
      <c r="M150" s="3102"/>
      <c r="N150" s="3103"/>
      <c r="O150" s="1504"/>
      <c r="P150" s="528"/>
      <c r="Q150" s="528"/>
      <c r="R150" s="528"/>
      <c r="S150" s="519"/>
      <c r="T150" s="545"/>
      <c r="U150" s="541"/>
      <c r="V150" s="549"/>
      <c r="W150" s="1222"/>
      <c r="X150" s="102"/>
      <c r="Y150" s="102"/>
    </row>
    <row r="151" spans="1:25">
      <c r="A151" s="3035"/>
      <c r="B151" s="3100"/>
      <c r="C151" s="2467"/>
      <c r="D151" s="2467"/>
      <c r="E151" s="2467"/>
      <c r="F151" s="2467"/>
      <c r="G151" s="3101"/>
      <c r="H151" s="540"/>
      <c r="T151" s="545"/>
      <c r="U151" s="540"/>
      <c r="W151" s="527"/>
      <c r="X151" s="102"/>
      <c r="Y151" s="102"/>
    </row>
    <row r="152" spans="1:25">
      <c r="A152" s="3061">
        <f>+A148-0.01</f>
        <v>-9.2499999999999947</v>
      </c>
      <c r="B152" s="3104" t="s">
        <v>1711</v>
      </c>
      <c r="C152" s="3105"/>
      <c r="D152" s="3105"/>
      <c r="E152" s="3105"/>
      <c r="F152" s="3105"/>
      <c r="G152" s="3106"/>
      <c r="H152" s="543"/>
      <c r="I152" s="531"/>
      <c r="J152" s="531"/>
      <c r="K152" s="531"/>
      <c r="L152" s="531"/>
      <c r="M152" s="531"/>
      <c r="N152" s="531"/>
      <c r="O152" s="531"/>
      <c r="P152" s="531"/>
      <c r="Q152" s="531"/>
      <c r="R152" s="531"/>
      <c r="S152" s="520"/>
      <c r="T152" s="544"/>
      <c r="U152" s="543"/>
      <c r="V152" s="551"/>
      <c r="W152" s="526"/>
      <c r="X152" s="102"/>
      <c r="Y152" s="102"/>
    </row>
    <row r="153" spans="1:25">
      <c r="A153" s="3035"/>
      <c r="B153" s="3100"/>
      <c r="C153" s="2467"/>
      <c r="D153" s="2467"/>
      <c r="E153" s="2467"/>
      <c r="F153" s="2467"/>
      <c r="G153" s="3101"/>
      <c r="H153" s="540"/>
      <c r="K153" s="3102" t="s">
        <v>293</v>
      </c>
      <c r="L153" s="3102"/>
      <c r="M153" s="3102"/>
      <c r="N153" s="3103"/>
      <c r="O153" s="3122"/>
      <c r="P153" s="3123"/>
      <c r="Q153" s="3123"/>
      <c r="R153" s="3123"/>
      <c r="S153" s="3124"/>
      <c r="T153" s="545"/>
      <c r="V153" s="549"/>
      <c r="W153" s="1055"/>
      <c r="X153" s="102"/>
      <c r="Y153" s="102"/>
    </row>
    <row r="154" spans="1:25">
      <c r="A154" s="3035"/>
      <c r="B154" s="3100"/>
      <c r="C154" s="2467"/>
      <c r="D154" s="2467"/>
      <c r="E154" s="2467"/>
      <c r="F154" s="2467"/>
      <c r="G154" s="3101"/>
      <c r="H154" s="540"/>
      <c r="K154" s="3102"/>
      <c r="L154" s="3102"/>
      <c r="M154" s="3102"/>
      <c r="N154" s="3103"/>
      <c r="O154" s="3125"/>
      <c r="P154" s="3126"/>
      <c r="Q154" s="3126"/>
      <c r="R154" s="3126"/>
      <c r="S154" s="3127"/>
      <c r="T154" s="545"/>
      <c r="U154" s="541"/>
      <c r="V154" s="549"/>
      <c r="W154" s="1222"/>
      <c r="X154" s="1577" t="s">
        <v>999</v>
      </c>
      <c r="Y154" s="102"/>
    </row>
    <row r="155" spans="1:25" ht="6.75" customHeight="1">
      <c r="A155" s="3068"/>
      <c r="B155" s="3107"/>
      <c r="C155" s="3108"/>
      <c r="D155" s="3108"/>
      <c r="E155" s="3108"/>
      <c r="F155" s="3108"/>
      <c r="G155" s="3109"/>
      <c r="H155" s="542"/>
      <c r="I155" s="528"/>
      <c r="J155" s="528"/>
      <c r="K155" s="528"/>
      <c r="L155" s="528"/>
      <c r="M155" s="528"/>
      <c r="N155" s="528"/>
      <c r="O155" s="528"/>
      <c r="P155" s="528"/>
      <c r="Q155" s="528"/>
      <c r="R155" s="528"/>
      <c r="S155" s="518"/>
      <c r="T155" s="546"/>
      <c r="U155" s="542"/>
      <c r="V155" s="550"/>
      <c r="W155" s="529"/>
      <c r="X155" s="102"/>
      <c r="Y155" s="102"/>
    </row>
    <row r="156" spans="1:25">
      <c r="A156" s="3047">
        <f>A152-0.01</f>
        <v>-9.2599999999999945</v>
      </c>
      <c r="B156" s="3050" t="s">
        <v>1000</v>
      </c>
      <c r="C156" s="3051"/>
      <c r="D156" s="3051"/>
      <c r="E156" s="3051"/>
      <c r="F156" s="3051"/>
      <c r="G156" s="3052"/>
      <c r="H156" s="1505"/>
      <c r="I156" s="1506"/>
      <c r="J156" s="1506"/>
      <c r="K156" s="1506"/>
      <c r="L156" s="1506"/>
      <c r="M156" s="1506"/>
      <c r="N156" s="1506"/>
      <c r="O156" s="1506"/>
      <c r="P156" s="1506"/>
      <c r="Q156" s="1506"/>
      <c r="R156" s="1506"/>
      <c r="S156" s="1507"/>
      <c r="T156" s="1508"/>
      <c r="U156" s="1506"/>
      <c r="V156" s="1556"/>
      <c r="W156" s="1509"/>
      <c r="X156" s="102"/>
      <c r="Y156" s="102"/>
    </row>
    <row r="157" spans="1:25">
      <c r="A157" s="3048"/>
      <c r="B157" s="3053"/>
      <c r="C157" s="3054"/>
      <c r="D157" s="3054"/>
      <c r="E157" s="3054"/>
      <c r="F157" s="3054"/>
      <c r="G157" s="3055"/>
      <c r="H157" s="1510"/>
      <c r="I157" s="1668" t="s">
        <v>915</v>
      </c>
      <c r="J157" s="1668"/>
      <c r="K157" s="1668"/>
      <c r="L157" s="1668"/>
      <c r="M157" s="1668"/>
      <c r="N157" s="1668"/>
      <c r="O157" s="1668"/>
      <c r="P157" s="1668"/>
      <c r="Q157" s="1669"/>
      <c r="R157" s="1668"/>
      <c r="S157" s="1685">
        <v>1</v>
      </c>
      <c r="T157" s="1511"/>
      <c r="U157" s="1668" t="s">
        <v>91</v>
      </c>
      <c r="V157" s="1686">
        <f>+A164</f>
        <v>-9.279999999999994</v>
      </c>
      <c r="W157" s="1255"/>
      <c r="X157" s="102"/>
      <c r="Y157" s="102"/>
    </row>
    <row r="158" spans="1:25">
      <c r="A158" s="3048"/>
      <c r="B158" s="3053"/>
      <c r="C158" s="3054"/>
      <c r="D158" s="3054"/>
      <c r="E158" s="3054"/>
      <c r="F158" s="3054"/>
      <c r="G158" s="3055"/>
      <c r="H158" s="1510"/>
      <c r="I158" s="1668" t="s">
        <v>916</v>
      </c>
      <c r="J158" s="1668"/>
      <c r="K158" s="1668"/>
      <c r="L158" s="1668"/>
      <c r="M158" s="1668"/>
      <c r="N158" s="1668"/>
      <c r="O158" s="1668"/>
      <c r="P158" s="1668"/>
      <c r="Q158" s="1669"/>
      <c r="R158" s="1668"/>
      <c r="S158" s="1685">
        <v>2</v>
      </c>
      <c r="T158" s="1511"/>
      <c r="U158" s="1668"/>
      <c r="V158" s="1686"/>
      <c r="W158" s="1512"/>
      <c r="X158" s="102"/>
      <c r="Y158" s="102"/>
    </row>
    <row r="159" spans="1:25">
      <c r="A159" s="3049"/>
      <c r="B159" s="3056"/>
      <c r="C159" s="3057"/>
      <c r="D159" s="3057"/>
      <c r="E159" s="3057"/>
      <c r="F159" s="3057"/>
      <c r="G159" s="3058"/>
      <c r="H159" s="1513"/>
      <c r="I159" s="1514"/>
      <c r="J159" s="1514"/>
      <c r="K159" s="1514"/>
      <c r="L159" s="1514"/>
      <c r="M159" s="1514"/>
      <c r="N159" s="1514"/>
      <c r="O159" s="1514"/>
      <c r="P159" s="1515"/>
      <c r="Q159" s="1514"/>
      <c r="R159" s="1514"/>
      <c r="S159" s="1516"/>
      <c r="T159" s="1517"/>
      <c r="U159" s="1514"/>
      <c r="V159" s="1557"/>
      <c r="W159" s="1518"/>
      <c r="X159" s="102"/>
      <c r="Y159" s="102"/>
    </row>
    <row r="160" spans="1:25">
      <c r="A160" s="3034">
        <f>A156-0.01</f>
        <v>-9.2699999999999942</v>
      </c>
      <c r="B160" s="3069" t="s">
        <v>1001</v>
      </c>
      <c r="C160" s="3070"/>
      <c r="D160" s="3070"/>
      <c r="E160" s="3070"/>
      <c r="F160" s="3070"/>
      <c r="G160" s="3071"/>
      <c r="H160" s="538"/>
      <c r="I160" s="539"/>
      <c r="J160" s="539"/>
      <c r="K160" s="539"/>
      <c r="L160" s="539"/>
      <c r="M160" s="539"/>
      <c r="N160" s="539"/>
      <c r="O160" s="539"/>
      <c r="P160" s="539"/>
      <c r="Q160" s="539"/>
      <c r="R160" s="539"/>
      <c r="S160" s="517"/>
      <c r="T160" s="1486"/>
      <c r="U160" s="539"/>
      <c r="V160" s="1074"/>
      <c r="W160" s="1054"/>
      <c r="X160" s="102"/>
      <c r="Y160" s="102"/>
    </row>
    <row r="161" spans="1:41">
      <c r="A161" s="3035"/>
      <c r="B161" s="3064"/>
      <c r="C161" s="2357"/>
      <c r="D161" s="2357"/>
      <c r="E161" s="2357"/>
      <c r="F161" s="2357"/>
      <c r="G161" s="3065"/>
      <c r="H161" s="540"/>
      <c r="I161" s="516" t="s">
        <v>915</v>
      </c>
      <c r="Q161" s="1487"/>
      <c r="S161" s="1489">
        <v>1</v>
      </c>
      <c r="T161" s="532"/>
      <c r="U161" s="541"/>
      <c r="V161" s="549"/>
      <c r="W161" s="1055"/>
      <c r="X161" s="102"/>
      <c r="Y161" s="102"/>
    </row>
    <row r="162" spans="1:41">
      <c r="A162" s="3035"/>
      <c r="B162" s="3064"/>
      <c r="C162" s="2357"/>
      <c r="D162" s="2357"/>
      <c r="E162" s="2357"/>
      <c r="F162" s="2357"/>
      <c r="G162" s="3065"/>
      <c r="H162" s="540"/>
      <c r="I162" s="516" t="s">
        <v>916</v>
      </c>
      <c r="Q162" s="1487"/>
      <c r="S162" s="1489">
        <v>2</v>
      </c>
      <c r="T162" s="532"/>
      <c r="W162" s="527"/>
      <c r="X162" s="102"/>
      <c r="Y162" s="102"/>
    </row>
    <row r="163" spans="1:41">
      <c r="A163" s="3036"/>
      <c r="B163" s="3072"/>
      <c r="C163" s="3073"/>
      <c r="D163" s="3073"/>
      <c r="E163" s="3073"/>
      <c r="F163" s="3073"/>
      <c r="G163" s="3074"/>
      <c r="H163" s="542"/>
      <c r="I163" s="528"/>
      <c r="J163" s="528"/>
      <c r="K163" s="528"/>
      <c r="L163" s="528"/>
      <c r="M163" s="528"/>
      <c r="N163" s="528"/>
      <c r="O163" s="528"/>
      <c r="P163" s="1056"/>
      <c r="Q163" s="528"/>
      <c r="R163" s="528"/>
      <c r="S163" s="518"/>
      <c r="T163" s="519"/>
      <c r="U163" s="528"/>
      <c r="V163" s="550"/>
      <c r="W163" s="529"/>
      <c r="X163" s="102"/>
      <c r="Y163" s="102"/>
      <c r="AO163" s="516" t="s">
        <v>1002</v>
      </c>
    </row>
    <row r="164" spans="1:41">
      <c r="A164" s="3047">
        <f>A160-0.01</f>
        <v>-9.279999999999994</v>
      </c>
      <c r="B164" s="3050" t="s">
        <v>1716</v>
      </c>
      <c r="C164" s="3051"/>
      <c r="D164" s="3051"/>
      <c r="E164" s="3051"/>
      <c r="F164" s="3051"/>
      <c r="G164" s="3052"/>
      <c r="H164" s="1505"/>
      <c r="I164" s="1506"/>
      <c r="J164" s="1506"/>
      <c r="K164" s="1506"/>
      <c r="L164" s="1506"/>
      <c r="M164" s="1506"/>
      <c r="N164" s="1506"/>
      <c r="O164" s="1506"/>
      <c r="P164" s="1506"/>
      <c r="Q164" s="1506"/>
      <c r="R164" s="1506"/>
      <c r="S164" s="1507"/>
      <c r="T164" s="1508"/>
      <c r="U164" s="1506"/>
      <c r="V164" s="1556"/>
      <c r="W164" s="1509"/>
      <c r="X164" s="102"/>
      <c r="Y164" s="102"/>
    </row>
    <row r="165" spans="1:41">
      <c r="A165" s="3048"/>
      <c r="B165" s="3053"/>
      <c r="C165" s="3054"/>
      <c r="D165" s="3054"/>
      <c r="E165" s="3054"/>
      <c r="F165" s="3054"/>
      <c r="G165" s="3055"/>
      <c r="H165" s="1510"/>
      <c r="I165" s="1668" t="s">
        <v>915</v>
      </c>
      <c r="J165" s="1668"/>
      <c r="K165" s="1668"/>
      <c r="L165" s="1668"/>
      <c r="M165" s="1668"/>
      <c r="N165" s="1668"/>
      <c r="O165" s="1668"/>
      <c r="P165" s="1668"/>
      <c r="Q165" s="1669"/>
      <c r="R165" s="1668"/>
      <c r="S165" s="1685">
        <v>1</v>
      </c>
      <c r="T165" s="1511"/>
      <c r="U165" s="1668" t="s">
        <v>91</v>
      </c>
      <c r="V165" s="1686">
        <f>A184</f>
        <v>-9.3199999999999932</v>
      </c>
      <c r="W165" s="1255"/>
      <c r="X165" s="102"/>
      <c r="Y165" s="102"/>
    </row>
    <row r="166" spans="1:41">
      <c r="A166" s="3048"/>
      <c r="B166" s="3053"/>
      <c r="C166" s="3054"/>
      <c r="D166" s="3054"/>
      <c r="E166" s="3054"/>
      <c r="F166" s="3054"/>
      <c r="G166" s="3055"/>
      <c r="H166" s="1510"/>
      <c r="I166" s="1668" t="s">
        <v>916</v>
      </c>
      <c r="J166" s="1668"/>
      <c r="K166" s="1668"/>
      <c r="L166" s="1668"/>
      <c r="M166" s="1668"/>
      <c r="N166" s="1668"/>
      <c r="O166" s="1668"/>
      <c r="P166" s="1668"/>
      <c r="Q166" s="1669"/>
      <c r="R166" s="1668"/>
      <c r="S166" s="1685">
        <v>2</v>
      </c>
      <c r="T166" s="1511"/>
      <c r="U166" s="1668"/>
      <c r="V166" s="1686"/>
      <c r="W166" s="1512"/>
      <c r="X166" s="102"/>
      <c r="Y166" s="102"/>
    </row>
    <row r="167" spans="1:41">
      <c r="A167" s="3049"/>
      <c r="B167" s="3056"/>
      <c r="C167" s="3057"/>
      <c r="D167" s="3057"/>
      <c r="E167" s="3057"/>
      <c r="F167" s="3057"/>
      <c r="G167" s="3058"/>
      <c r="H167" s="1513"/>
      <c r="I167" s="1514"/>
      <c r="J167" s="1514"/>
      <c r="K167" s="1514"/>
      <c r="L167" s="1514"/>
      <c r="M167" s="1514"/>
      <c r="N167" s="1514"/>
      <c r="O167" s="1514"/>
      <c r="P167" s="1515"/>
      <c r="Q167" s="1514"/>
      <c r="R167" s="1514"/>
      <c r="S167" s="1516"/>
      <c r="T167" s="1517"/>
      <c r="U167" s="1514"/>
      <c r="V167" s="1557"/>
      <c r="W167" s="1518"/>
      <c r="X167" s="102"/>
      <c r="Y167" s="102"/>
    </row>
    <row r="168" spans="1:41">
      <c r="A168" s="3134">
        <f>+A164-0.01</f>
        <v>-9.2899999999999938</v>
      </c>
      <c r="B168" s="3135" t="s">
        <v>1003</v>
      </c>
      <c r="C168" s="3136"/>
      <c r="D168" s="3136"/>
      <c r="E168" s="3136"/>
      <c r="F168" s="3136"/>
      <c r="G168" s="3137"/>
      <c r="H168" s="1228"/>
      <c r="I168" s="522"/>
      <c r="J168" s="522"/>
      <c r="K168" s="522"/>
      <c r="L168" s="522"/>
      <c r="M168" s="522"/>
      <c r="N168" s="522"/>
      <c r="O168" s="522"/>
      <c r="P168" s="522"/>
      <c r="Q168" s="522"/>
      <c r="R168" s="522"/>
      <c r="S168" s="1654"/>
      <c r="T168" s="1254"/>
      <c r="U168" s="1228"/>
      <c r="V168" s="552"/>
      <c r="W168" s="523"/>
      <c r="X168" s="102"/>
      <c r="Y168" s="102"/>
      <c r="AN168" s="1611" t="s">
        <v>1004</v>
      </c>
      <c r="AO168" s="1612" t="s">
        <v>1005</v>
      </c>
    </row>
    <row r="169" spans="1:41">
      <c r="A169" s="3129"/>
      <c r="B169" s="3023"/>
      <c r="C169" s="3024"/>
      <c r="D169" s="3024"/>
      <c r="E169" s="3024"/>
      <c r="F169" s="3024"/>
      <c r="G169" s="3025"/>
      <c r="H169" s="1228"/>
      <c r="I169" s="522" t="s">
        <v>1006</v>
      </c>
      <c r="J169" s="522"/>
      <c r="K169" s="522"/>
      <c r="L169" s="522"/>
      <c r="M169" s="522"/>
      <c r="N169" s="522"/>
      <c r="O169" s="522"/>
      <c r="P169" s="522"/>
      <c r="Q169" s="522"/>
      <c r="R169" s="522"/>
      <c r="S169" s="1654">
        <v>1</v>
      </c>
      <c r="T169" s="1254"/>
      <c r="U169" s="1651"/>
      <c r="V169" s="1684"/>
      <c r="W169" s="523"/>
      <c r="X169" s="102"/>
      <c r="Y169" s="102"/>
      <c r="AN169" s="1611" t="s">
        <v>1007</v>
      </c>
      <c r="AO169" s="1612" t="s">
        <v>1008</v>
      </c>
    </row>
    <row r="170" spans="1:41">
      <c r="A170" s="3129"/>
      <c r="B170" s="3023"/>
      <c r="C170" s="3024"/>
      <c r="D170" s="3024"/>
      <c r="E170" s="3024"/>
      <c r="F170" s="3024"/>
      <c r="G170" s="3025"/>
      <c r="H170" s="1228"/>
      <c r="I170" s="522" t="s">
        <v>1009</v>
      </c>
      <c r="J170" s="522"/>
      <c r="K170" s="522"/>
      <c r="L170" s="522"/>
      <c r="M170" s="522"/>
      <c r="N170" s="522"/>
      <c r="O170" s="522"/>
      <c r="P170" s="522"/>
      <c r="Q170" s="522"/>
      <c r="R170" s="522"/>
      <c r="S170" s="1654">
        <v>2</v>
      </c>
      <c r="T170" s="1254"/>
      <c r="U170" s="1651"/>
      <c r="V170" s="1684"/>
      <c r="W170" s="523"/>
      <c r="X170" s="102"/>
      <c r="Y170" s="102"/>
      <c r="AN170" s="1611" t="s">
        <v>1010</v>
      </c>
      <c r="AO170" s="1612" t="s">
        <v>1011</v>
      </c>
    </row>
    <row r="171" spans="1:41">
      <c r="A171" s="3129"/>
      <c r="B171" s="3023"/>
      <c r="C171" s="3024"/>
      <c r="D171" s="3024"/>
      <c r="E171" s="3024"/>
      <c r="F171" s="3024"/>
      <c r="G171" s="3025"/>
      <c r="H171" s="1228"/>
      <c r="I171" s="522" t="s">
        <v>984</v>
      </c>
      <c r="J171" s="522"/>
      <c r="K171" s="522"/>
      <c r="L171" s="522"/>
      <c r="M171" s="522"/>
      <c r="N171" s="522"/>
      <c r="O171" s="522"/>
      <c r="P171" s="522"/>
      <c r="Q171" s="522"/>
      <c r="R171" s="522"/>
      <c r="S171" s="1654">
        <v>3</v>
      </c>
      <c r="T171" s="1254"/>
      <c r="U171" s="522"/>
      <c r="V171" s="552"/>
      <c r="W171" s="523"/>
      <c r="X171" s="102"/>
      <c r="Y171" s="102"/>
      <c r="AN171" s="1611" t="s">
        <v>1012</v>
      </c>
      <c r="AO171" s="1612" t="s">
        <v>1013</v>
      </c>
    </row>
    <row r="172" spans="1:41">
      <c r="A172" s="3129"/>
      <c r="B172" s="3023"/>
      <c r="C172" s="3024"/>
      <c r="D172" s="3024"/>
      <c r="E172" s="3024"/>
      <c r="F172" s="3024"/>
      <c r="G172" s="3025"/>
      <c r="H172" s="1228"/>
      <c r="I172" s="522" t="s">
        <v>1014</v>
      </c>
      <c r="J172" s="522"/>
      <c r="K172" s="522"/>
      <c r="L172" s="522"/>
      <c r="M172" s="522"/>
      <c r="N172" s="522"/>
      <c r="O172" s="522"/>
      <c r="P172" s="522"/>
      <c r="Q172" s="522"/>
      <c r="R172" s="522"/>
      <c r="S172" s="1654">
        <v>4</v>
      </c>
      <c r="T172" s="1254"/>
      <c r="U172" s="1651"/>
      <c r="V172" s="1684"/>
      <c r="W172" s="523"/>
      <c r="X172" s="102"/>
      <c r="Y172" s="102"/>
      <c r="AN172" s="1611" t="s">
        <v>1015</v>
      </c>
      <c r="AO172" s="1612" t="s">
        <v>1016</v>
      </c>
    </row>
    <row r="173" spans="1:41">
      <c r="A173" s="3129"/>
      <c r="B173" s="3023"/>
      <c r="C173" s="3024"/>
      <c r="D173" s="3024"/>
      <c r="E173" s="3024"/>
      <c r="F173" s="3024"/>
      <c r="G173" s="3025"/>
      <c r="H173" s="1228"/>
      <c r="I173" s="522" t="s">
        <v>987</v>
      </c>
      <c r="J173" s="522"/>
      <c r="K173" s="522"/>
      <c r="L173" s="522"/>
      <c r="M173" s="522"/>
      <c r="N173" s="522"/>
      <c r="O173" s="522"/>
      <c r="P173" s="522"/>
      <c r="Q173" s="522"/>
      <c r="R173" s="522"/>
      <c r="S173" s="1654">
        <v>5</v>
      </c>
      <c r="T173" s="1254"/>
      <c r="U173" s="1651" t="s">
        <v>917</v>
      </c>
      <c r="V173" s="1684">
        <f>+A180</f>
        <v>-9.3099999999999934</v>
      </c>
      <c r="W173" s="523"/>
      <c r="X173" s="102"/>
      <c r="Y173" s="102"/>
      <c r="AN173" s="1611" t="s">
        <v>1017</v>
      </c>
      <c r="AO173" s="1612" t="s">
        <v>1018</v>
      </c>
    </row>
    <row r="174" spans="1:41">
      <c r="A174" s="3129"/>
      <c r="B174" s="3023"/>
      <c r="C174" s="3024"/>
      <c r="D174" s="3024"/>
      <c r="E174" s="3024"/>
      <c r="F174" s="3024"/>
      <c r="G174" s="3025"/>
      <c r="H174" s="1228"/>
      <c r="I174" s="522" t="s">
        <v>928</v>
      </c>
      <c r="J174" s="522"/>
      <c r="K174" s="522"/>
      <c r="L174" s="522"/>
      <c r="M174" s="522"/>
      <c r="N174" s="522"/>
      <c r="O174" s="522"/>
      <c r="P174" s="522"/>
      <c r="Q174" s="522"/>
      <c r="R174" s="522"/>
      <c r="S174" s="1654">
        <v>6</v>
      </c>
      <c r="T174" s="1254"/>
      <c r="W174" s="523"/>
      <c r="X174" s="102" t="s">
        <v>990</v>
      </c>
      <c r="Y174" s="102"/>
      <c r="AO174" s="1611"/>
    </row>
    <row r="175" spans="1:41">
      <c r="A175" s="3130"/>
      <c r="B175" s="3111"/>
      <c r="C175" s="3112"/>
      <c r="D175" s="3112"/>
      <c r="E175" s="3112"/>
      <c r="F175" s="3112"/>
      <c r="G175" s="3113"/>
      <c r="H175" s="524"/>
      <c r="I175" s="1232"/>
      <c r="J175" s="1232"/>
      <c r="K175" s="1232"/>
      <c r="L175" s="1232"/>
      <c r="M175" s="1232"/>
      <c r="N175" s="1232"/>
      <c r="O175" s="1232"/>
      <c r="P175" s="1232"/>
      <c r="Q175" s="1232"/>
      <c r="R175" s="1232"/>
      <c r="S175" s="1234"/>
      <c r="T175" s="1758"/>
      <c r="U175" s="524"/>
      <c r="V175" s="553"/>
      <c r="W175" s="525"/>
      <c r="X175" s="102"/>
      <c r="Y175" s="102"/>
    </row>
    <row r="176" spans="1:41">
      <c r="A176" s="3128">
        <f>A168-0.01</f>
        <v>-9.2999999999999936</v>
      </c>
      <c r="B176" s="3020" t="s">
        <v>1712</v>
      </c>
      <c r="C176" s="3021"/>
      <c r="D176" s="3021"/>
      <c r="E176" s="3021"/>
      <c r="F176" s="3021"/>
      <c r="G176" s="3022"/>
      <c r="H176" s="1236"/>
      <c r="I176" s="1237"/>
      <c r="J176" s="1237"/>
      <c r="K176" s="1237"/>
      <c r="L176" s="1237"/>
      <c r="M176" s="1237"/>
      <c r="N176" s="1237"/>
      <c r="O176" s="1237"/>
      <c r="P176" s="1237"/>
      <c r="Q176" s="1237"/>
      <c r="R176" s="1237"/>
      <c r="S176" s="1238"/>
      <c r="T176" s="1759"/>
      <c r="U176" s="1236"/>
      <c r="V176" s="1558"/>
      <c r="W176" s="1239"/>
      <c r="X176" s="102"/>
      <c r="Y176" s="102"/>
    </row>
    <row r="177" spans="1:25">
      <c r="A177" s="3129"/>
      <c r="B177" s="3023"/>
      <c r="C177" s="3024"/>
      <c r="D177" s="3024"/>
      <c r="E177" s="3024"/>
      <c r="F177" s="3024"/>
      <c r="G177" s="3025"/>
      <c r="H177" s="540"/>
      <c r="I177" s="1683"/>
      <c r="L177" s="3102" t="s">
        <v>993</v>
      </c>
      <c r="M177" s="3102"/>
      <c r="N177" s="3103"/>
      <c r="O177" s="1492"/>
      <c r="P177" s="531"/>
      <c r="Q177" s="531"/>
      <c r="R177" s="531"/>
      <c r="S177" s="530"/>
      <c r="T177" s="545"/>
      <c r="W177" s="527"/>
      <c r="X177" s="102"/>
      <c r="Y177" s="102"/>
    </row>
    <row r="178" spans="1:25">
      <c r="A178" s="3129"/>
      <c r="B178" s="3023"/>
      <c r="C178" s="3024"/>
      <c r="D178" s="3024"/>
      <c r="E178" s="3024"/>
      <c r="F178" s="3024"/>
      <c r="G178" s="3025"/>
      <c r="H178" s="540"/>
      <c r="I178" s="1658"/>
      <c r="L178" s="3102"/>
      <c r="M178" s="3102"/>
      <c r="N178" s="3103"/>
      <c r="O178" s="1504"/>
      <c r="P178" s="528"/>
      <c r="Q178" s="528"/>
      <c r="R178" s="528"/>
      <c r="S178" s="519"/>
      <c r="T178" s="545"/>
      <c r="U178" s="100"/>
      <c r="W178" s="527"/>
      <c r="X178" s="102"/>
      <c r="Y178" s="102"/>
    </row>
    <row r="179" spans="1:25">
      <c r="A179" s="3130"/>
      <c r="B179" s="3111"/>
      <c r="C179" s="3112"/>
      <c r="D179" s="3112"/>
      <c r="E179" s="3112"/>
      <c r="F179" s="3112"/>
      <c r="G179" s="3113"/>
      <c r="H179" s="524"/>
      <c r="I179" s="1232"/>
      <c r="J179" s="1232"/>
      <c r="K179" s="1232"/>
      <c r="L179" s="1232"/>
      <c r="M179" s="1232"/>
      <c r="N179" s="1232"/>
      <c r="O179" s="1232"/>
      <c r="P179" s="1232"/>
      <c r="Q179" s="1232"/>
      <c r="R179" s="1232"/>
      <c r="S179" s="1234"/>
      <c r="T179" s="1758"/>
      <c r="U179" s="524"/>
      <c r="V179" s="553"/>
      <c r="W179" s="525"/>
      <c r="X179" s="102"/>
      <c r="Y179" s="102"/>
    </row>
    <row r="180" spans="1:25">
      <c r="A180" s="3128">
        <f>A176-0.01</f>
        <v>-9.3099999999999934</v>
      </c>
      <c r="B180" s="3020" t="s">
        <v>1713</v>
      </c>
      <c r="C180" s="3021"/>
      <c r="D180" s="3021"/>
      <c r="E180" s="3021"/>
      <c r="F180" s="3021"/>
      <c r="G180" s="3022"/>
      <c r="H180" s="1236"/>
      <c r="I180" s="1237"/>
      <c r="J180" s="1237"/>
      <c r="K180" s="1237"/>
      <c r="L180" s="1237"/>
      <c r="M180" s="1237"/>
      <c r="N180" s="1237"/>
      <c r="O180" s="1237"/>
      <c r="P180" s="1237"/>
      <c r="Q180" s="1237"/>
      <c r="R180" s="1237"/>
      <c r="S180" s="1238"/>
      <c r="T180" s="1759"/>
      <c r="U180" s="1236"/>
      <c r="V180" s="1558"/>
      <c r="W180" s="1239"/>
      <c r="X180" s="100"/>
      <c r="Y180" s="100"/>
    </row>
    <row r="181" spans="1:25">
      <c r="A181" s="3129"/>
      <c r="B181" s="3023"/>
      <c r="C181" s="3024"/>
      <c r="D181" s="3024"/>
      <c r="E181" s="3024"/>
      <c r="F181" s="3024"/>
      <c r="G181" s="3025"/>
      <c r="H181" s="540"/>
      <c r="I181" s="1683"/>
      <c r="L181" s="3102" t="s">
        <v>993</v>
      </c>
      <c r="M181" s="3102"/>
      <c r="N181" s="3103"/>
      <c r="O181" s="1492"/>
      <c r="P181" s="531"/>
      <c r="Q181" s="531"/>
      <c r="R181" s="531"/>
      <c r="S181" s="530"/>
      <c r="T181" s="545"/>
      <c r="W181" s="527"/>
      <c r="X181" s="100"/>
      <c r="Y181" s="100"/>
    </row>
    <row r="182" spans="1:25">
      <c r="A182" s="3129"/>
      <c r="B182" s="3023"/>
      <c r="C182" s="3024"/>
      <c r="D182" s="3024"/>
      <c r="E182" s="3024"/>
      <c r="F182" s="3024"/>
      <c r="G182" s="3025"/>
      <c r="H182" s="540"/>
      <c r="I182" s="1658"/>
      <c r="L182" s="3102"/>
      <c r="M182" s="3102"/>
      <c r="N182" s="3103"/>
      <c r="O182" s="1504"/>
      <c r="P182" s="528"/>
      <c r="Q182" s="528"/>
      <c r="R182" s="528"/>
      <c r="S182" s="519"/>
      <c r="T182" s="545"/>
      <c r="U182" s="100"/>
      <c r="W182" s="527"/>
      <c r="X182" s="100"/>
      <c r="Y182" s="100"/>
    </row>
    <row r="183" spans="1:25" ht="6.75" customHeight="1">
      <c r="A183" s="3130"/>
      <c r="B183" s="3111"/>
      <c r="C183" s="3112"/>
      <c r="D183" s="3112"/>
      <c r="E183" s="3112"/>
      <c r="F183" s="3112"/>
      <c r="G183" s="3113"/>
      <c r="H183" s="524"/>
      <c r="I183" s="1232"/>
      <c r="J183" s="1232"/>
      <c r="K183" s="1232"/>
      <c r="L183" s="1232"/>
      <c r="M183" s="1232"/>
      <c r="N183" s="1232"/>
      <c r="O183" s="1232"/>
      <c r="P183" s="1232"/>
      <c r="Q183" s="1232"/>
      <c r="R183" s="1232"/>
      <c r="S183" s="1234"/>
      <c r="T183" s="1758"/>
      <c r="U183" s="524"/>
      <c r="V183" s="553"/>
      <c r="W183" s="525"/>
      <c r="X183" s="100"/>
      <c r="Y183" s="100"/>
    </row>
    <row r="184" spans="1:25">
      <c r="A184" s="3034">
        <f>A180-0.01</f>
        <v>-9.3199999999999932</v>
      </c>
      <c r="B184" s="3069" t="s">
        <v>1019</v>
      </c>
      <c r="C184" s="3070"/>
      <c r="D184" s="3070"/>
      <c r="E184" s="3070"/>
      <c r="F184" s="3070"/>
      <c r="G184" s="3071"/>
      <c r="H184" s="540"/>
      <c r="T184" s="545"/>
      <c r="U184" s="1228"/>
      <c r="V184" s="552"/>
      <c r="W184" s="523"/>
      <c r="X184" s="102"/>
      <c r="Y184" s="102"/>
    </row>
    <row r="185" spans="1:25">
      <c r="A185" s="3035"/>
      <c r="B185" s="3064"/>
      <c r="C185" s="2357"/>
      <c r="D185" s="2357"/>
      <c r="E185" s="2357"/>
      <c r="F185" s="2357"/>
      <c r="G185" s="3065"/>
      <c r="H185" s="540"/>
      <c r="N185" s="1487"/>
      <c r="P185" s="1487" t="s">
        <v>1020</v>
      </c>
      <c r="Q185" s="1519"/>
      <c r="R185" s="918"/>
      <c r="S185" s="919"/>
      <c r="T185" s="545"/>
      <c r="U185" s="1228"/>
      <c r="V185" s="552"/>
      <c r="W185" s="523"/>
      <c r="X185" s="102"/>
      <c r="Y185" s="102"/>
    </row>
    <row r="186" spans="1:25">
      <c r="A186" s="3036"/>
      <c r="B186" s="3072"/>
      <c r="C186" s="3073"/>
      <c r="D186" s="3073"/>
      <c r="E186" s="3073"/>
      <c r="F186" s="3073"/>
      <c r="G186" s="3074"/>
      <c r="H186" s="540"/>
      <c r="T186" s="545"/>
      <c r="U186" s="1228"/>
      <c r="V186" s="552"/>
      <c r="W186" s="523"/>
      <c r="X186" s="102"/>
      <c r="Y186" s="102"/>
    </row>
    <row r="187" spans="1:25">
      <c r="A187" s="3034">
        <f>+A184-0.01</f>
        <v>-9.329999999999993</v>
      </c>
      <c r="B187" s="3069" t="s">
        <v>1021</v>
      </c>
      <c r="C187" s="3070"/>
      <c r="D187" s="3070"/>
      <c r="E187" s="3070"/>
      <c r="F187" s="3070"/>
      <c r="G187" s="3071"/>
      <c r="H187" s="543"/>
      <c r="I187" s="531"/>
      <c r="J187" s="531"/>
      <c r="K187" s="531"/>
      <c r="L187" s="531"/>
      <c r="M187" s="531"/>
      <c r="N187" s="531"/>
      <c r="O187" s="531"/>
      <c r="P187" s="531"/>
      <c r="Q187" s="531"/>
      <c r="R187" s="531"/>
      <c r="S187" s="520"/>
      <c r="T187" s="544"/>
      <c r="U187" s="1236"/>
      <c r="V187" s="1558"/>
      <c r="W187" s="1239"/>
      <c r="X187" s="102"/>
      <c r="Y187" s="102"/>
    </row>
    <row r="188" spans="1:25">
      <c r="A188" s="3035"/>
      <c r="B188" s="3064"/>
      <c r="C188" s="2357"/>
      <c r="D188" s="2357"/>
      <c r="E188" s="2357"/>
      <c r="F188" s="2357"/>
      <c r="G188" s="3065"/>
      <c r="H188" s="540"/>
      <c r="N188" s="1487"/>
      <c r="P188" s="1487" t="s">
        <v>1020</v>
      </c>
      <c r="Q188" s="1519"/>
      <c r="R188" s="918"/>
      <c r="S188" s="919"/>
      <c r="T188" s="545"/>
      <c r="U188" s="100"/>
      <c r="V188" s="555"/>
      <c r="W188" s="523"/>
      <c r="X188" s="102"/>
      <c r="Y188" s="102"/>
    </row>
    <row r="189" spans="1:25">
      <c r="A189" s="3036"/>
      <c r="B189" s="3072"/>
      <c r="C189" s="3073"/>
      <c r="D189" s="3073"/>
      <c r="E189" s="3073"/>
      <c r="F189" s="3073"/>
      <c r="G189" s="3074"/>
      <c r="H189" s="540"/>
      <c r="T189" s="545"/>
      <c r="U189" s="524"/>
      <c r="V189" s="553"/>
      <c r="W189" s="523"/>
    </row>
    <row r="190" spans="1:25">
      <c r="A190" s="3047">
        <f>A187-0.01</f>
        <v>-9.3399999999999928</v>
      </c>
      <c r="B190" s="3050" t="s">
        <v>1717</v>
      </c>
      <c r="C190" s="3051"/>
      <c r="D190" s="3051"/>
      <c r="E190" s="3051"/>
      <c r="F190" s="3051"/>
      <c r="G190" s="3052"/>
      <c r="H190" s="1505"/>
      <c r="I190" s="1506"/>
      <c r="J190" s="1506"/>
      <c r="K190" s="1506"/>
      <c r="L190" s="1506"/>
      <c r="M190" s="1506"/>
      <c r="N190" s="1506"/>
      <c r="O190" s="1506"/>
      <c r="P190" s="1506"/>
      <c r="Q190" s="1506"/>
      <c r="R190" s="1506"/>
      <c r="S190" s="1507"/>
      <c r="T190" s="1508"/>
      <c r="U190" s="1506"/>
      <c r="V190" s="1556"/>
      <c r="W190" s="1509"/>
      <c r="X190" s="102"/>
      <c r="Y190" s="102"/>
    </row>
    <row r="191" spans="1:25">
      <c r="A191" s="3048"/>
      <c r="B191" s="3053"/>
      <c r="C191" s="3054"/>
      <c r="D191" s="3054"/>
      <c r="E191" s="3054"/>
      <c r="F191" s="3054"/>
      <c r="G191" s="3055"/>
      <c r="H191" s="1510"/>
      <c r="I191" s="1668" t="s">
        <v>915</v>
      </c>
      <c r="J191" s="1668"/>
      <c r="K191" s="1668"/>
      <c r="L191" s="1668"/>
      <c r="M191" s="1668"/>
      <c r="N191" s="1668"/>
      <c r="O191" s="1668"/>
      <c r="P191" s="1668"/>
      <c r="Q191" s="1669"/>
      <c r="R191" s="1668"/>
      <c r="S191" s="1685">
        <v>1</v>
      </c>
      <c r="T191" s="1511"/>
      <c r="U191" s="1668"/>
      <c r="V191" s="1686"/>
      <c r="W191" s="1255"/>
      <c r="X191" s="102"/>
      <c r="Y191" s="102"/>
    </row>
    <row r="192" spans="1:25">
      <c r="A192" s="3048"/>
      <c r="B192" s="3053"/>
      <c r="C192" s="3054"/>
      <c r="D192" s="3054"/>
      <c r="E192" s="3054"/>
      <c r="F192" s="3054"/>
      <c r="G192" s="3055"/>
      <c r="H192" s="1510"/>
      <c r="I192" s="1668" t="s">
        <v>916</v>
      </c>
      <c r="J192" s="1668"/>
      <c r="K192" s="1668"/>
      <c r="L192" s="1668"/>
      <c r="M192" s="1668"/>
      <c r="N192" s="1668"/>
      <c r="O192" s="1668"/>
      <c r="P192" s="1668"/>
      <c r="Q192" s="1669"/>
      <c r="R192" s="1668"/>
      <c r="S192" s="1685">
        <v>2</v>
      </c>
      <c r="T192" s="1511"/>
      <c r="U192" s="1668" t="s">
        <v>91</v>
      </c>
      <c r="V192" s="3359">
        <f>+A198</f>
        <v>-9.3599999999999923</v>
      </c>
      <c r="W192" s="1512"/>
      <c r="X192" s="102"/>
      <c r="Y192" s="102"/>
    </row>
    <row r="193" spans="1:25">
      <c r="A193" s="3049"/>
      <c r="B193" s="3056"/>
      <c r="C193" s="3057"/>
      <c r="D193" s="3057"/>
      <c r="E193" s="3057"/>
      <c r="F193" s="3057"/>
      <c r="G193" s="3058"/>
      <c r="H193" s="1513"/>
      <c r="I193" s="1514"/>
      <c r="J193" s="1514"/>
      <c r="K193" s="1514"/>
      <c r="L193" s="1514"/>
      <c r="M193" s="1514"/>
      <c r="N193" s="1514"/>
      <c r="O193" s="1514"/>
      <c r="P193" s="1515"/>
      <c r="Q193" s="1514"/>
      <c r="R193" s="1514"/>
      <c r="S193" s="1516"/>
      <c r="T193" s="1517"/>
      <c r="U193" s="1514"/>
      <c r="V193" s="1557"/>
      <c r="W193" s="1518"/>
      <c r="X193" s="102"/>
      <c r="Y193" s="102"/>
    </row>
    <row r="194" spans="1:25">
      <c r="A194" s="3034">
        <f>+A190-0.01</f>
        <v>-9.3499999999999925</v>
      </c>
      <c r="B194" s="3069" t="s">
        <v>1022</v>
      </c>
      <c r="C194" s="3070"/>
      <c r="D194" s="3070"/>
      <c r="E194" s="3070"/>
      <c r="F194" s="3070"/>
      <c r="G194" s="3071"/>
      <c r="H194" s="543"/>
      <c r="I194" s="531"/>
      <c r="J194" s="531"/>
      <c r="K194" s="531"/>
      <c r="L194" s="531"/>
      <c r="M194" s="531"/>
      <c r="N194" s="531"/>
      <c r="O194" s="531"/>
      <c r="P194" s="531"/>
      <c r="Q194" s="531"/>
      <c r="R194" s="531"/>
      <c r="S194" s="520"/>
      <c r="T194" s="544"/>
      <c r="W194" s="1239"/>
      <c r="X194" s="102"/>
      <c r="Y194" s="102"/>
    </row>
    <row r="195" spans="1:25">
      <c r="A195" s="3035"/>
      <c r="B195" s="3064"/>
      <c r="C195" s="2357"/>
      <c r="D195" s="2357"/>
      <c r="E195" s="2357"/>
      <c r="F195" s="2357"/>
      <c r="G195" s="3065"/>
      <c r="H195" s="540"/>
      <c r="N195" s="1487"/>
      <c r="P195" s="1487" t="s">
        <v>1020</v>
      </c>
      <c r="Q195" s="1519"/>
      <c r="R195" s="918"/>
      <c r="S195" s="919"/>
      <c r="T195" s="545"/>
      <c r="U195" s="100"/>
      <c r="V195" s="555"/>
      <c r="W195" s="523"/>
      <c r="X195" s="102"/>
      <c r="Y195" s="102"/>
    </row>
    <row r="196" spans="1:25">
      <c r="A196" s="3068"/>
      <c r="B196" s="3066"/>
      <c r="C196" s="3004"/>
      <c r="D196" s="3004"/>
      <c r="E196" s="3004"/>
      <c r="F196" s="3004"/>
      <c r="G196" s="3067"/>
      <c r="H196" s="542"/>
      <c r="I196" s="528"/>
      <c r="J196" s="528"/>
      <c r="K196" s="528"/>
      <c r="L196" s="528"/>
      <c r="M196" s="528"/>
      <c r="N196" s="528"/>
      <c r="O196" s="528"/>
      <c r="P196" s="528"/>
      <c r="Q196" s="528"/>
      <c r="R196" s="528"/>
      <c r="S196" s="518"/>
      <c r="T196" s="546"/>
      <c r="U196" s="524"/>
      <c r="V196" s="553"/>
      <c r="W196" s="525"/>
      <c r="X196" s="102"/>
      <c r="Y196" s="102"/>
    </row>
    <row r="197" spans="1:25" ht="15.75">
      <c r="A197" s="3117" t="s">
        <v>1023</v>
      </c>
      <c r="B197" s="3118"/>
      <c r="C197" s="3118"/>
      <c r="D197" s="3118"/>
      <c r="E197" s="3118"/>
      <c r="F197" s="3118"/>
      <c r="G197" s="3118"/>
      <c r="H197" s="3118"/>
      <c r="I197" s="3118"/>
      <c r="J197" s="3118"/>
      <c r="K197" s="3118"/>
      <c r="L197" s="3118"/>
      <c r="M197" s="3118"/>
      <c r="N197" s="3118"/>
      <c r="O197" s="3118"/>
      <c r="P197" s="3118"/>
      <c r="Q197" s="3118"/>
      <c r="R197" s="3118"/>
      <c r="S197" s="3118"/>
      <c r="T197" s="3118"/>
      <c r="U197" s="3118"/>
      <c r="V197" s="3118"/>
      <c r="W197" s="3119"/>
      <c r="X197" s="102"/>
      <c r="Y197" s="102"/>
    </row>
    <row r="198" spans="1:25">
      <c r="A198" s="3131">
        <f>A194-0.01</f>
        <v>-9.3599999999999923</v>
      </c>
      <c r="B198" s="3062" t="s">
        <v>1024</v>
      </c>
      <c r="C198" s="3002"/>
      <c r="D198" s="3002"/>
      <c r="E198" s="3002"/>
      <c r="F198" s="3002"/>
      <c r="G198" s="3063"/>
      <c r="H198" s="543"/>
      <c r="I198" s="531"/>
      <c r="J198" s="531"/>
      <c r="K198" s="531"/>
      <c r="L198" s="531"/>
      <c r="M198" s="531"/>
      <c r="N198" s="531"/>
      <c r="O198" s="531"/>
      <c r="P198" s="531"/>
      <c r="Q198" s="531"/>
      <c r="R198" s="531"/>
      <c r="S198" s="520"/>
      <c r="T198" s="544"/>
      <c r="U198" s="543"/>
      <c r="V198" s="551"/>
      <c r="W198" s="526"/>
      <c r="X198" s="102"/>
      <c r="Y198" s="102"/>
    </row>
    <row r="199" spans="1:25">
      <c r="A199" s="3132"/>
      <c r="B199" s="3064"/>
      <c r="C199" s="2357"/>
      <c r="D199" s="2357"/>
      <c r="E199" s="2357"/>
      <c r="F199" s="2357"/>
      <c r="G199" s="3065"/>
      <c r="H199" s="540"/>
      <c r="I199" s="516" t="s">
        <v>1025</v>
      </c>
      <c r="S199" s="1489">
        <v>1</v>
      </c>
      <c r="T199" s="545"/>
      <c r="U199" s="540"/>
      <c r="W199" s="527"/>
      <c r="X199" s="102"/>
      <c r="Y199" s="102"/>
    </row>
    <row r="200" spans="1:25">
      <c r="A200" s="3132"/>
      <c r="B200" s="3064"/>
      <c r="C200" s="2357"/>
      <c r="D200" s="2357"/>
      <c r="E200" s="2357"/>
      <c r="F200" s="2357"/>
      <c r="G200" s="3065"/>
      <c r="H200" s="540"/>
      <c r="I200" s="516" t="s">
        <v>1026</v>
      </c>
      <c r="S200" s="1489">
        <v>2</v>
      </c>
      <c r="T200" s="545"/>
      <c r="U200" s="1651"/>
      <c r="V200" s="1652"/>
      <c r="W200" s="527"/>
      <c r="X200" s="102"/>
      <c r="Y200" s="102"/>
    </row>
    <row r="201" spans="1:25">
      <c r="A201" s="3132"/>
      <c r="B201" s="3064"/>
      <c r="C201" s="2357"/>
      <c r="D201" s="2357"/>
      <c r="E201" s="2357"/>
      <c r="F201" s="2357"/>
      <c r="G201" s="3065"/>
      <c r="H201" s="540"/>
      <c r="I201" s="516" t="s">
        <v>1027</v>
      </c>
      <c r="S201" s="1489">
        <v>3</v>
      </c>
      <c r="T201" s="545"/>
      <c r="U201" s="1651"/>
      <c r="V201" s="1652"/>
      <c r="W201" s="527"/>
      <c r="X201" s="102"/>
      <c r="Y201" s="102"/>
    </row>
    <row r="202" spans="1:25">
      <c r="A202" s="3132"/>
      <c r="B202" s="3064"/>
      <c r="C202" s="2357"/>
      <c r="D202" s="2357"/>
      <c r="E202" s="2357"/>
      <c r="F202" s="2357"/>
      <c r="G202" s="3065"/>
      <c r="H202" s="540"/>
      <c r="I202" s="516" t="s">
        <v>1028</v>
      </c>
      <c r="S202" s="1489">
        <v>4</v>
      </c>
      <c r="T202" s="545"/>
      <c r="U202" s="1651"/>
      <c r="V202" s="1652"/>
      <c r="W202" s="527"/>
      <c r="X202" s="102"/>
      <c r="Y202" s="102"/>
    </row>
    <row r="203" spans="1:25">
      <c r="A203" s="3132"/>
      <c r="B203" s="3064"/>
      <c r="C203" s="2357"/>
      <c r="D203" s="2357"/>
      <c r="E203" s="2357"/>
      <c r="F203" s="2357"/>
      <c r="G203" s="3065"/>
      <c r="H203" s="540"/>
      <c r="I203" s="516" t="s">
        <v>1029</v>
      </c>
      <c r="S203" s="1489">
        <v>5</v>
      </c>
      <c r="T203" s="545"/>
      <c r="U203" s="1651"/>
      <c r="V203" s="1652"/>
      <c r="W203" s="527"/>
      <c r="X203" s="102"/>
      <c r="Y203" s="102"/>
    </row>
    <row r="204" spans="1:25">
      <c r="A204" s="3132"/>
      <c r="B204" s="3064"/>
      <c r="C204" s="2357"/>
      <c r="D204" s="2357"/>
      <c r="E204" s="2357"/>
      <c r="F204" s="2357"/>
      <c r="G204" s="3065"/>
      <c r="H204" s="540"/>
      <c r="I204" s="516" t="s">
        <v>1030</v>
      </c>
      <c r="S204" s="1489">
        <v>6</v>
      </c>
      <c r="T204" s="545"/>
      <c r="U204" s="1651"/>
      <c r="V204" s="1652"/>
      <c r="W204" s="527"/>
      <c r="X204" s="102"/>
      <c r="Y204" s="102"/>
    </row>
    <row r="205" spans="1:25">
      <c r="A205" s="3132"/>
      <c r="B205" s="3064"/>
      <c r="C205" s="2357"/>
      <c r="D205" s="2357"/>
      <c r="E205" s="2357"/>
      <c r="F205" s="2357"/>
      <c r="G205" s="3065"/>
      <c r="H205" s="540"/>
      <c r="I205" s="516" t="s">
        <v>928</v>
      </c>
      <c r="P205" s="1487"/>
      <c r="Q205" s="1487"/>
      <c r="S205" s="1489">
        <v>7</v>
      </c>
      <c r="T205" s="545"/>
      <c r="U205" s="1651"/>
      <c r="V205" s="1652"/>
      <c r="W205" s="527"/>
      <c r="X205" s="102"/>
      <c r="Y205" s="102"/>
    </row>
    <row r="206" spans="1:25">
      <c r="A206" s="3132"/>
      <c r="B206" s="3064"/>
      <c r="C206" s="2357"/>
      <c r="D206" s="2357"/>
      <c r="E206" s="2357"/>
      <c r="F206" s="2357"/>
      <c r="G206" s="3065"/>
      <c r="H206" s="540"/>
      <c r="I206" s="516" t="s">
        <v>1031</v>
      </c>
      <c r="S206" s="1489">
        <v>8</v>
      </c>
      <c r="T206" s="545"/>
      <c r="U206" s="1651"/>
      <c r="V206" s="1652"/>
      <c r="W206" s="527"/>
      <c r="X206" s="102"/>
      <c r="Y206" s="102"/>
    </row>
    <row r="207" spans="1:25">
      <c r="A207" s="3133"/>
      <c r="B207" s="3066"/>
      <c r="C207" s="3004"/>
      <c r="D207" s="3004"/>
      <c r="E207" s="3004"/>
      <c r="F207" s="3004"/>
      <c r="G207" s="3067"/>
      <c r="H207" s="542"/>
      <c r="I207" s="528"/>
      <c r="J207" s="528"/>
      <c r="K207" s="528"/>
      <c r="L207" s="528"/>
      <c r="M207" s="528"/>
      <c r="N207" s="528"/>
      <c r="O207" s="528"/>
      <c r="P207" s="528"/>
      <c r="Q207" s="528"/>
      <c r="R207" s="528"/>
      <c r="S207" s="518"/>
      <c r="T207" s="546"/>
      <c r="U207" s="542"/>
      <c r="V207" s="550"/>
      <c r="W207" s="529"/>
      <c r="X207" s="102"/>
      <c r="Y207" s="102"/>
    </row>
    <row r="208" spans="1:25">
      <c r="A208" s="3035">
        <f>A198-0.01</f>
        <v>-9.3699999999999921</v>
      </c>
      <c r="B208" s="3064" t="s">
        <v>1032</v>
      </c>
      <c r="C208" s="2357"/>
      <c r="D208" s="2357"/>
      <c r="E208" s="2357"/>
      <c r="F208" s="2357"/>
      <c r="G208" s="3065"/>
      <c r="H208" s="540"/>
      <c r="T208" s="545"/>
      <c r="U208" s="540"/>
      <c r="W208" s="527"/>
      <c r="X208" s="102"/>
      <c r="Y208" s="102"/>
    </row>
    <row r="209" spans="1:30">
      <c r="A209" s="3035"/>
      <c r="B209" s="3064"/>
      <c r="C209" s="2357"/>
      <c r="D209" s="2357"/>
      <c r="E209" s="2357"/>
      <c r="F209" s="2357"/>
      <c r="G209" s="3065"/>
      <c r="H209" s="540"/>
      <c r="I209" s="516" t="s">
        <v>1033</v>
      </c>
      <c r="S209" s="1489">
        <v>1</v>
      </c>
      <c r="T209" s="545"/>
      <c r="U209" s="516" t="s">
        <v>91</v>
      </c>
      <c r="V209" s="1653">
        <f>A231</f>
        <v>-9.3899999999999917</v>
      </c>
      <c r="W209" s="1240"/>
      <c r="X209" s="102"/>
      <c r="Y209" s="102"/>
    </row>
    <row r="210" spans="1:30">
      <c r="A210" s="3035"/>
      <c r="B210" s="3064"/>
      <c r="C210" s="2357"/>
      <c r="D210" s="2357"/>
      <c r="E210" s="2357"/>
      <c r="F210" s="2357"/>
      <c r="G210" s="3065"/>
      <c r="H210" s="540"/>
      <c r="I210" s="522" t="s">
        <v>1034</v>
      </c>
      <c r="J210" s="522"/>
      <c r="K210" s="522"/>
      <c r="L210" s="522"/>
      <c r="M210" s="522"/>
      <c r="N210" s="522"/>
      <c r="O210" s="522"/>
      <c r="P210" s="522"/>
      <c r="Q210" s="522"/>
      <c r="R210" s="522"/>
      <c r="S210" s="1654">
        <v>2</v>
      </c>
      <c r="T210" s="545"/>
      <c r="V210" s="1653"/>
      <c r="W210" s="1241"/>
      <c r="X210" s="102"/>
      <c r="Y210" s="102"/>
    </row>
    <row r="211" spans="1:30">
      <c r="A211" s="3035"/>
      <c r="B211" s="3064"/>
      <c r="C211" s="2357"/>
      <c r="D211" s="2357"/>
      <c r="E211" s="2357"/>
      <c r="F211" s="2357"/>
      <c r="G211" s="3065"/>
      <c r="H211" s="540"/>
      <c r="I211" s="516" t="s">
        <v>1035</v>
      </c>
      <c r="S211" s="1489">
        <v>3</v>
      </c>
      <c r="T211" s="545"/>
      <c r="U211" s="540"/>
      <c r="V211" s="1655"/>
      <c r="W211" s="1520"/>
      <c r="X211" s="102"/>
      <c r="Y211" s="102"/>
    </row>
    <row r="212" spans="1:30">
      <c r="A212" s="3035"/>
      <c r="B212" s="3064"/>
      <c r="C212" s="2357"/>
      <c r="D212" s="2357"/>
      <c r="E212" s="2357"/>
      <c r="F212" s="2357"/>
      <c r="G212" s="3065"/>
      <c r="H212" s="540"/>
      <c r="I212" s="516" t="s">
        <v>1036</v>
      </c>
      <c r="S212" s="1489">
        <v>4</v>
      </c>
      <c r="T212" s="545"/>
      <c r="V212" s="3120"/>
      <c r="W212" s="3121"/>
      <c r="X212" s="1231" t="s">
        <v>1037</v>
      </c>
      <c r="Y212" s="102"/>
    </row>
    <row r="213" spans="1:30">
      <c r="A213" s="3035"/>
      <c r="B213" s="3064"/>
      <c r="C213" s="2357"/>
      <c r="D213" s="2357"/>
      <c r="E213" s="2357"/>
      <c r="F213" s="2357"/>
      <c r="G213" s="3065"/>
      <c r="H213" s="540"/>
      <c r="I213" s="516" t="s">
        <v>1038</v>
      </c>
      <c r="S213" s="1489">
        <v>5</v>
      </c>
      <c r="T213" s="545"/>
      <c r="U213" s="540"/>
      <c r="V213" s="1655"/>
      <c r="W213" s="1520"/>
      <c r="X213" s="102"/>
      <c r="Y213" s="102"/>
    </row>
    <row r="214" spans="1:30">
      <c r="A214" s="3035"/>
      <c r="B214" s="3064"/>
      <c r="C214" s="2357"/>
      <c r="D214" s="2357"/>
      <c r="E214" s="2357"/>
      <c r="F214" s="2357"/>
      <c r="G214" s="3065"/>
      <c r="H214" s="540"/>
      <c r="I214" s="516" t="s">
        <v>1039</v>
      </c>
      <c r="S214" s="1489">
        <v>6</v>
      </c>
      <c r="T214" s="545"/>
      <c r="U214" s="540"/>
      <c r="V214" s="1655"/>
      <c r="W214" s="1520"/>
      <c r="X214" s="102"/>
      <c r="Y214" s="102"/>
    </row>
    <row r="215" spans="1:30">
      <c r="A215" s="3035"/>
      <c r="B215" s="3064"/>
      <c r="C215" s="2357"/>
      <c r="D215" s="2357"/>
      <c r="E215" s="2357"/>
      <c r="F215" s="2357"/>
      <c r="G215" s="3065"/>
      <c r="H215" s="540"/>
      <c r="I215" s="516" t="s">
        <v>928</v>
      </c>
      <c r="P215" s="1487"/>
      <c r="Q215" s="1487"/>
      <c r="S215" s="1489">
        <v>7</v>
      </c>
      <c r="T215" s="545"/>
      <c r="U215" s="540"/>
      <c r="V215" s="1655"/>
      <c r="W215" s="1520"/>
      <c r="X215" s="102"/>
      <c r="Y215" s="102"/>
    </row>
    <row r="216" spans="1:30">
      <c r="A216" s="3035"/>
      <c r="B216" s="3064"/>
      <c r="C216" s="2357"/>
      <c r="D216" s="2357"/>
      <c r="E216" s="2357"/>
      <c r="F216" s="2357"/>
      <c r="G216" s="3065"/>
      <c r="H216" s="540"/>
      <c r="I216" s="516" t="s">
        <v>1040</v>
      </c>
      <c r="S216" s="1489">
        <v>8</v>
      </c>
      <c r="T216" s="545"/>
      <c r="U216" s="516" t="s">
        <v>91</v>
      </c>
      <c r="V216" s="1653">
        <f>A231</f>
        <v>-9.3899999999999917</v>
      </c>
      <c r="W216" s="1520"/>
      <c r="X216" s="102" t="s">
        <v>1041</v>
      </c>
      <c r="Y216" s="102"/>
    </row>
    <row r="217" spans="1:30">
      <c r="A217" s="3036"/>
      <c r="B217" s="3072"/>
      <c r="C217" s="3073"/>
      <c r="D217" s="3073"/>
      <c r="E217" s="3073"/>
      <c r="F217" s="3073"/>
      <c r="G217" s="3074"/>
      <c r="H217" s="1494"/>
      <c r="J217" s="1495"/>
      <c r="K217" s="1495"/>
      <c r="L217" s="1495"/>
      <c r="M217" s="1495"/>
      <c r="N217" s="1495"/>
      <c r="O217" s="1495"/>
      <c r="P217" s="1495"/>
      <c r="Q217" s="1495"/>
      <c r="R217" s="1495"/>
      <c r="S217" s="1496"/>
      <c r="T217" s="1497"/>
      <c r="U217" s="1494"/>
      <c r="V217" s="1554"/>
      <c r="W217" s="1498"/>
      <c r="X217" s="102"/>
      <c r="Y217" s="102"/>
    </row>
    <row r="218" spans="1:30">
      <c r="A218" s="3061">
        <f>+A208-0.01</f>
        <v>-9.3799999999999919</v>
      </c>
      <c r="B218" s="3062" t="s">
        <v>1042</v>
      </c>
      <c r="C218" s="3002"/>
      <c r="D218" s="3002"/>
      <c r="E218" s="3002"/>
      <c r="F218" s="3002"/>
      <c r="G218" s="3063"/>
      <c r="H218" s="543"/>
      <c r="I218" s="531"/>
      <c r="J218" s="531"/>
      <c r="K218" s="531"/>
      <c r="L218" s="531"/>
      <c r="M218" s="531"/>
      <c r="N218" s="531"/>
      <c r="O218" s="531"/>
      <c r="P218" s="531"/>
      <c r="Q218" s="531"/>
      <c r="R218" s="531"/>
      <c r="S218" s="520"/>
      <c r="T218" s="544"/>
      <c r="U218" s="543"/>
      <c r="V218" s="551"/>
      <c r="W218" s="526"/>
      <c r="X218" s="102"/>
      <c r="Y218" s="102"/>
      <c r="AD218" s="1521"/>
    </row>
    <row r="219" spans="1:30">
      <c r="A219" s="3035"/>
      <c r="B219" s="3064"/>
      <c r="C219" s="2357"/>
      <c r="D219" s="2357"/>
      <c r="E219" s="2357"/>
      <c r="F219" s="2357"/>
      <c r="G219" s="3065"/>
      <c r="H219" s="540"/>
      <c r="I219" s="516" t="s">
        <v>1043</v>
      </c>
      <c r="S219" s="1489">
        <v>1</v>
      </c>
      <c r="T219" s="545"/>
      <c r="V219" s="1653"/>
      <c r="W219" s="527"/>
      <c r="X219" s="102"/>
      <c r="Y219" s="102"/>
    </row>
    <row r="220" spans="1:30">
      <c r="A220" s="3035"/>
      <c r="B220" s="3064"/>
      <c r="C220" s="2357"/>
      <c r="D220" s="2357"/>
      <c r="E220" s="2357"/>
      <c r="F220" s="2357"/>
      <c r="G220" s="3065"/>
      <c r="H220" s="540"/>
      <c r="I220" s="1721" t="s">
        <v>1044</v>
      </c>
      <c r="J220" s="1721"/>
      <c r="K220" s="1721"/>
      <c r="L220" s="1721"/>
      <c r="M220" s="1721"/>
      <c r="N220" s="1721"/>
      <c r="O220" s="1721"/>
      <c r="P220" s="1721"/>
      <c r="Q220" s="1721"/>
      <c r="R220" s="1721"/>
      <c r="S220" s="1722">
        <v>2</v>
      </c>
      <c r="T220" s="1254"/>
      <c r="U220" s="522"/>
      <c r="V220" s="1653"/>
      <c r="W220" s="527"/>
      <c r="X220" s="102"/>
      <c r="Y220" s="102"/>
    </row>
    <row r="221" spans="1:30">
      <c r="A221" s="3035"/>
      <c r="B221" s="3064"/>
      <c r="C221" s="2357"/>
      <c r="D221" s="2357"/>
      <c r="E221" s="2357"/>
      <c r="F221" s="2357"/>
      <c r="G221" s="3065"/>
      <c r="H221" s="540"/>
      <c r="I221" s="516" t="s">
        <v>1045</v>
      </c>
      <c r="S221" s="1489">
        <v>3</v>
      </c>
      <c r="T221" s="545"/>
      <c r="V221" s="1653"/>
      <c r="W221" s="527"/>
      <c r="X221" s="102"/>
      <c r="Y221" s="102"/>
    </row>
    <row r="222" spans="1:30">
      <c r="A222" s="3035"/>
      <c r="B222" s="3064"/>
      <c r="C222" s="2357"/>
      <c r="D222" s="2357"/>
      <c r="E222" s="2357"/>
      <c r="F222" s="2357"/>
      <c r="G222" s="3065"/>
      <c r="H222" s="540"/>
      <c r="I222" s="516" t="s">
        <v>1046</v>
      </c>
      <c r="S222" s="1489">
        <v>4</v>
      </c>
      <c r="T222" s="545"/>
      <c r="V222" s="1653"/>
      <c r="W222" s="527"/>
      <c r="X222" s="102"/>
      <c r="Y222" s="102"/>
    </row>
    <row r="223" spans="1:30">
      <c r="A223" s="3035"/>
      <c r="B223" s="3064"/>
      <c r="C223" s="2357"/>
      <c r="D223" s="2357"/>
      <c r="E223" s="2357"/>
      <c r="F223" s="2357"/>
      <c r="G223" s="3065"/>
      <c r="H223" s="540"/>
      <c r="I223" s="516" t="s">
        <v>1047</v>
      </c>
      <c r="S223" s="1489">
        <v>5</v>
      </c>
      <c r="T223" s="545"/>
      <c r="V223" s="1653"/>
      <c r="W223" s="527"/>
      <c r="X223" s="102"/>
      <c r="Y223" s="102"/>
    </row>
    <row r="224" spans="1:30">
      <c r="A224" s="3035"/>
      <c r="B224" s="3064"/>
      <c r="C224" s="2357"/>
      <c r="D224" s="2357"/>
      <c r="E224" s="2357"/>
      <c r="F224" s="2357"/>
      <c r="G224" s="3065"/>
      <c r="H224" s="540"/>
      <c r="I224" s="516" t="s">
        <v>1048</v>
      </c>
      <c r="S224" s="1489">
        <v>6</v>
      </c>
      <c r="T224" s="545"/>
      <c r="V224" s="1653"/>
      <c r="W224" s="527"/>
      <c r="X224" s="102"/>
      <c r="Y224" s="102"/>
    </row>
    <row r="225" spans="1:32">
      <c r="A225" s="3035"/>
      <c r="B225" s="3064"/>
      <c r="C225" s="2357"/>
      <c r="D225" s="2357"/>
      <c r="E225" s="2357"/>
      <c r="F225" s="2357"/>
      <c r="G225" s="3065"/>
      <c r="H225" s="540"/>
      <c r="I225" s="516" t="s">
        <v>1049</v>
      </c>
      <c r="S225" s="1489">
        <v>7</v>
      </c>
      <c r="T225" s="545"/>
      <c r="V225" s="1653"/>
      <c r="W225" s="527"/>
      <c r="X225" s="102"/>
      <c r="Y225" s="102"/>
    </row>
    <row r="226" spans="1:32">
      <c r="A226" s="3035"/>
      <c r="B226" s="3064"/>
      <c r="C226" s="2357"/>
      <c r="D226" s="2357"/>
      <c r="E226" s="2357"/>
      <c r="F226" s="2357"/>
      <c r="G226" s="3065"/>
      <c r="H226" s="540"/>
      <c r="I226" s="2986" t="s">
        <v>1050</v>
      </c>
      <c r="J226" s="2986"/>
      <c r="K226" s="2986"/>
      <c r="L226" s="2986"/>
      <c r="M226" s="2986"/>
      <c r="N226" s="2986"/>
      <c r="O226" s="2986"/>
      <c r="P226" s="2986"/>
      <c r="Q226" s="2986"/>
      <c r="R226" s="2986"/>
      <c r="S226" s="2987">
        <v>8</v>
      </c>
      <c r="T226" s="545"/>
      <c r="V226" s="1653"/>
      <c r="W226" s="527"/>
      <c r="X226" s="102" t="s">
        <v>1051</v>
      </c>
      <c r="Y226" s="102"/>
      <c r="AB226" s="516" t="s">
        <v>1052</v>
      </c>
    </row>
    <row r="227" spans="1:32">
      <c r="A227" s="3035"/>
      <c r="B227" s="3064"/>
      <c r="C227" s="2357"/>
      <c r="D227" s="2357"/>
      <c r="E227" s="2357"/>
      <c r="F227" s="2357"/>
      <c r="G227" s="3065"/>
      <c r="H227" s="540"/>
      <c r="I227" s="2986"/>
      <c r="J227" s="2986"/>
      <c r="K227" s="2986"/>
      <c r="L227" s="2986"/>
      <c r="M227" s="2986"/>
      <c r="N227" s="2986"/>
      <c r="O227" s="2986"/>
      <c r="P227" s="2986"/>
      <c r="Q227" s="2986"/>
      <c r="R227" s="2986"/>
      <c r="S227" s="2987"/>
      <c r="T227" s="545"/>
      <c r="V227" s="1653"/>
      <c r="W227" s="527"/>
      <c r="X227" s="102"/>
      <c r="Y227" s="102"/>
    </row>
    <row r="228" spans="1:32">
      <c r="A228" s="3035"/>
      <c r="B228" s="3064"/>
      <c r="C228" s="2357"/>
      <c r="D228" s="2357"/>
      <c r="E228" s="2357"/>
      <c r="F228" s="2357"/>
      <c r="G228" s="3065"/>
      <c r="H228" s="540"/>
      <c r="I228" s="516" t="s">
        <v>1053</v>
      </c>
      <c r="S228" s="1489">
        <v>9</v>
      </c>
      <c r="T228" s="545"/>
      <c r="V228" s="1653"/>
      <c r="W228" s="527"/>
      <c r="X228" s="102"/>
      <c r="Y228" s="102"/>
    </row>
    <row r="229" spans="1:32">
      <c r="A229" s="3035"/>
      <c r="B229" s="3064"/>
      <c r="C229" s="2357"/>
      <c r="D229" s="2357"/>
      <c r="E229" s="2357"/>
      <c r="F229" s="2357"/>
      <c r="G229" s="3065"/>
      <c r="H229" s="540"/>
      <c r="I229" s="516" t="s">
        <v>928</v>
      </c>
      <c r="P229" s="1487"/>
      <c r="Q229" s="1487"/>
      <c r="S229" s="1489">
        <v>10</v>
      </c>
      <c r="T229" s="545"/>
      <c r="V229" s="1653"/>
      <c r="W229" s="527"/>
      <c r="X229" s="102"/>
      <c r="Y229" s="102"/>
    </row>
    <row r="230" spans="1:32">
      <c r="A230" s="3068"/>
      <c r="B230" s="3066"/>
      <c r="C230" s="3004"/>
      <c r="D230" s="3004"/>
      <c r="E230" s="3004"/>
      <c r="F230" s="3004"/>
      <c r="G230" s="3067"/>
      <c r="H230" s="542"/>
      <c r="I230" s="528"/>
      <c r="J230" s="528"/>
      <c r="K230" s="528"/>
      <c r="L230" s="528"/>
      <c r="M230" s="528"/>
      <c r="N230" s="528"/>
      <c r="O230" s="528"/>
      <c r="P230" s="528"/>
      <c r="Q230" s="528"/>
      <c r="R230" s="528"/>
      <c r="S230" s="518"/>
      <c r="T230" s="546"/>
      <c r="W230" s="529"/>
      <c r="X230" s="102"/>
      <c r="Y230" s="102"/>
    </row>
    <row r="231" spans="1:32">
      <c r="A231" s="3141">
        <f>+A218-0.01</f>
        <v>-9.3899999999999917</v>
      </c>
      <c r="B231" s="3142" t="s">
        <v>1054</v>
      </c>
      <c r="C231" s="3143"/>
      <c r="D231" s="3143"/>
      <c r="E231" s="3143"/>
      <c r="F231" s="3143"/>
      <c r="G231" s="3144"/>
      <c r="H231" s="1236"/>
      <c r="I231" s="1237"/>
      <c r="J231" s="1237"/>
      <c r="K231" s="1237"/>
      <c r="L231" s="1237"/>
      <c r="M231" s="1237"/>
      <c r="N231" s="1237"/>
      <c r="O231" s="1237"/>
      <c r="P231" s="1237"/>
      <c r="Q231" s="1237"/>
      <c r="R231" s="1237"/>
      <c r="S231" s="1238"/>
      <c r="T231" s="544"/>
      <c r="U231" s="543"/>
      <c r="V231" s="551"/>
      <c r="W231" s="526"/>
      <c r="X231" s="102"/>
      <c r="Y231" s="102"/>
    </row>
    <row r="232" spans="1:32">
      <c r="A232" s="3007"/>
      <c r="B232" s="3012"/>
      <c r="C232" s="3013"/>
      <c r="D232" s="3013"/>
      <c r="E232" s="3013"/>
      <c r="F232" s="3013"/>
      <c r="G232" s="3014"/>
      <c r="H232" s="1228"/>
      <c r="I232" s="522" t="s">
        <v>1055</v>
      </c>
      <c r="J232" s="522"/>
      <c r="K232" s="522"/>
      <c r="L232" s="522"/>
      <c r="M232" s="522"/>
      <c r="N232" s="522"/>
      <c r="O232" s="522"/>
      <c r="P232" s="522"/>
      <c r="Q232" s="522"/>
      <c r="R232" s="522"/>
      <c r="S232" s="1654">
        <v>1</v>
      </c>
      <c r="T232" s="545"/>
      <c r="U232" s="540"/>
      <c r="W232" s="527"/>
      <c r="X232" s="102" t="s">
        <v>1056</v>
      </c>
      <c r="Y232" s="102"/>
      <c r="AF232" s="522" t="s">
        <v>1057</v>
      </c>
    </row>
    <row r="233" spans="1:32">
      <c r="A233" s="3007"/>
      <c r="B233" s="3012"/>
      <c r="C233" s="3013"/>
      <c r="D233" s="3013"/>
      <c r="E233" s="3013"/>
      <c r="F233" s="3013"/>
      <c r="G233" s="3014"/>
      <c r="H233" s="1228"/>
      <c r="I233" s="522" t="s">
        <v>1058</v>
      </c>
      <c r="J233" s="522"/>
      <c r="K233" s="522"/>
      <c r="L233" s="522"/>
      <c r="M233" s="522"/>
      <c r="N233" s="522"/>
      <c r="O233" s="522"/>
      <c r="P233" s="522"/>
      <c r="Q233" s="522"/>
      <c r="R233" s="522"/>
      <c r="S233" s="1654">
        <v>2</v>
      </c>
      <c r="T233" s="545"/>
      <c r="U233" s="540"/>
      <c r="W233" s="527"/>
      <c r="X233" s="102"/>
      <c r="Y233" s="102"/>
      <c r="AF233" s="522" t="s">
        <v>1059</v>
      </c>
    </row>
    <row r="234" spans="1:32">
      <c r="A234" s="3007"/>
      <c r="B234" s="3012"/>
      <c r="C234" s="3013"/>
      <c r="D234" s="3013"/>
      <c r="E234" s="3013"/>
      <c r="F234" s="3013"/>
      <c r="G234" s="3014"/>
      <c r="H234" s="1228"/>
      <c r="I234" s="522" t="s">
        <v>1060</v>
      </c>
      <c r="J234" s="522"/>
      <c r="K234" s="522"/>
      <c r="L234" s="522"/>
      <c r="M234" s="522"/>
      <c r="N234" s="522"/>
      <c r="O234" s="522"/>
      <c r="P234" s="522"/>
      <c r="Q234" s="522"/>
      <c r="R234" s="522"/>
      <c r="S234" s="1654">
        <v>3</v>
      </c>
      <c r="T234" s="545"/>
      <c r="U234" s="540"/>
      <c r="W234" s="527"/>
      <c r="X234" s="102"/>
      <c r="Y234" s="102"/>
      <c r="AF234" s="522"/>
    </row>
    <row r="235" spans="1:32">
      <c r="A235" s="3008"/>
      <c r="B235" s="3015"/>
      <c r="C235" s="3016"/>
      <c r="D235" s="3016"/>
      <c r="E235" s="3016"/>
      <c r="F235" s="3016"/>
      <c r="G235" s="3017"/>
      <c r="H235" s="524"/>
      <c r="I235" s="1232"/>
      <c r="J235" s="1232"/>
      <c r="K235" s="1232"/>
      <c r="L235" s="1232"/>
      <c r="M235" s="1232"/>
      <c r="N235" s="1232"/>
      <c r="O235" s="1232"/>
      <c r="P235" s="1232"/>
      <c r="Q235" s="1232"/>
      <c r="R235" s="1232"/>
      <c r="S235" s="1234"/>
      <c r="T235" s="546"/>
      <c r="U235" s="542"/>
      <c r="V235" s="550"/>
      <c r="W235" s="527"/>
      <c r="X235" s="102"/>
      <c r="Y235" s="102"/>
    </row>
    <row r="236" spans="1:32">
      <c r="A236" s="3141">
        <f>+A231-0.01</f>
        <v>-9.3999999999999915</v>
      </c>
      <c r="B236" s="3142" t="s">
        <v>1061</v>
      </c>
      <c r="C236" s="3143"/>
      <c r="D236" s="3143"/>
      <c r="E236" s="3143"/>
      <c r="F236" s="3143"/>
      <c r="G236" s="3144"/>
      <c r="H236" s="1236"/>
      <c r="I236" s="1237"/>
      <c r="J236" s="1237"/>
      <c r="K236" s="1237"/>
      <c r="L236" s="1237"/>
      <c r="M236" s="1237"/>
      <c r="N236" s="1237"/>
      <c r="O236" s="1237"/>
      <c r="P236" s="1237"/>
      <c r="Q236" s="1237"/>
      <c r="R236" s="1237"/>
      <c r="S236" s="1238"/>
      <c r="T236" s="544"/>
      <c r="U236" s="543"/>
      <c r="V236" s="551"/>
      <c r="W236" s="526"/>
      <c r="X236" s="102"/>
      <c r="Y236" s="102"/>
    </row>
    <row r="237" spans="1:32">
      <c r="A237" s="3007"/>
      <c r="B237" s="3012"/>
      <c r="C237" s="3013"/>
      <c r="D237" s="3013"/>
      <c r="E237" s="3013"/>
      <c r="F237" s="3013"/>
      <c r="G237" s="3014"/>
      <c r="H237" s="1228"/>
      <c r="I237" s="522" t="s">
        <v>1062</v>
      </c>
      <c r="J237" s="522"/>
      <c r="K237" s="522"/>
      <c r="L237" s="522"/>
      <c r="M237" s="522"/>
      <c r="N237" s="522"/>
      <c r="O237" s="522"/>
      <c r="P237" s="522"/>
      <c r="Q237" s="522"/>
      <c r="R237" s="522"/>
      <c r="S237" s="1654">
        <v>1</v>
      </c>
      <c r="T237" s="545"/>
      <c r="U237" s="540"/>
      <c r="W237" s="527"/>
      <c r="X237" s="102" t="s">
        <v>1056</v>
      </c>
      <c r="Y237" s="102"/>
      <c r="AF237" s="522" t="s">
        <v>1057</v>
      </c>
    </row>
    <row r="238" spans="1:32">
      <c r="A238" s="3007"/>
      <c r="B238" s="3012"/>
      <c r="C238" s="3013"/>
      <c r="D238" s="3013"/>
      <c r="E238" s="3013"/>
      <c r="F238" s="3013"/>
      <c r="G238" s="3014"/>
      <c r="H238" s="1228"/>
      <c r="I238" s="522" t="s">
        <v>1063</v>
      </c>
      <c r="J238" s="522"/>
      <c r="K238" s="522"/>
      <c r="L238" s="522"/>
      <c r="M238" s="522"/>
      <c r="N238" s="522"/>
      <c r="O238" s="522"/>
      <c r="P238" s="522"/>
      <c r="Q238" s="522"/>
      <c r="R238" s="522"/>
      <c r="S238" s="1654">
        <v>2</v>
      </c>
      <c r="T238" s="545"/>
      <c r="V238" s="1653"/>
      <c r="W238" s="527"/>
      <c r="X238" s="102"/>
      <c r="Y238" s="102"/>
      <c r="AF238" s="522" t="s">
        <v>1059</v>
      </c>
    </row>
    <row r="239" spans="1:32">
      <c r="A239" s="3007"/>
      <c r="B239" s="3012"/>
      <c r="C239" s="3013"/>
      <c r="D239" s="3013"/>
      <c r="E239" s="3013"/>
      <c r="F239" s="3013"/>
      <c r="G239" s="3014"/>
      <c r="H239" s="1228"/>
      <c r="I239" s="522" t="s">
        <v>1064</v>
      </c>
      <c r="J239" s="522"/>
      <c r="K239" s="522"/>
      <c r="L239" s="522"/>
      <c r="M239" s="522"/>
      <c r="N239" s="522"/>
      <c r="O239" s="522"/>
      <c r="P239" s="522"/>
      <c r="Q239" s="522"/>
      <c r="R239" s="522"/>
      <c r="S239" s="1654">
        <v>3</v>
      </c>
      <c r="T239" s="545"/>
      <c r="U239" s="516" t="s">
        <v>91</v>
      </c>
      <c r="V239" s="1653">
        <f>A246</f>
        <v>-9.419999999999991</v>
      </c>
      <c r="W239" s="527"/>
      <c r="X239" s="102"/>
      <c r="Y239" s="102"/>
      <c r="AF239" s="522"/>
    </row>
    <row r="240" spans="1:32">
      <c r="A240" s="3008"/>
      <c r="B240" s="3015"/>
      <c r="C240" s="3016"/>
      <c r="D240" s="3016"/>
      <c r="E240" s="3016"/>
      <c r="F240" s="3016"/>
      <c r="G240" s="3017"/>
      <c r="H240" s="524"/>
      <c r="I240" s="1232"/>
      <c r="J240" s="1232"/>
      <c r="K240" s="1232"/>
      <c r="L240" s="1232"/>
      <c r="M240" s="1232"/>
      <c r="N240" s="1232"/>
      <c r="O240" s="1232"/>
      <c r="P240" s="1232"/>
      <c r="Q240" s="1232"/>
      <c r="R240" s="1232"/>
      <c r="S240" s="1234"/>
      <c r="T240" s="546"/>
      <c r="U240" s="542"/>
      <c r="V240" s="550"/>
      <c r="W240" s="527"/>
      <c r="X240" s="102"/>
      <c r="Y240" s="102"/>
    </row>
    <row r="241" spans="1:39">
      <c r="A241" s="3128">
        <f>+A236-0.01</f>
        <v>-9.4099999999999913</v>
      </c>
      <c r="B241" s="3135" t="s">
        <v>1065</v>
      </c>
      <c r="C241" s="3136"/>
      <c r="D241" s="3136"/>
      <c r="E241" s="3136"/>
      <c r="F241" s="3136"/>
      <c r="G241" s="3137"/>
      <c r="H241" s="1228"/>
      <c r="I241" s="522"/>
      <c r="J241" s="522"/>
      <c r="K241" s="522"/>
      <c r="L241" s="522"/>
      <c r="M241" s="522"/>
      <c r="N241" s="522"/>
      <c r="O241" s="522"/>
      <c r="P241" s="522"/>
      <c r="Q241" s="522"/>
      <c r="R241" s="522"/>
      <c r="S241" s="1654"/>
      <c r="T241" s="526"/>
      <c r="W241" s="526"/>
      <c r="X241" s="102" t="s">
        <v>1066</v>
      </c>
      <c r="Y241" s="102"/>
    </row>
    <row r="242" spans="1:39">
      <c r="A242" s="3129"/>
      <c r="B242" s="3023"/>
      <c r="C242" s="3024"/>
      <c r="D242" s="3024"/>
      <c r="E242" s="3024"/>
      <c r="F242" s="3024"/>
      <c r="G242" s="3025"/>
      <c r="H242" s="1228"/>
      <c r="I242" s="522" t="s">
        <v>915</v>
      </c>
      <c r="J242" s="522"/>
      <c r="K242" s="522"/>
      <c r="L242" s="522"/>
      <c r="M242" s="522"/>
      <c r="N242" s="522"/>
      <c r="O242" s="522"/>
      <c r="P242" s="522"/>
      <c r="Q242" s="1762"/>
      <c r="R242" s="522"/>
      <c r="S242" s="1654">
        <v>1</v>
      </c>
      <c r="T242" s="527"/>
      <c r="W242" s="527"/>
      <c r="X242" s="102" t="s">
        <v>1067</v>
      </c>
      <c r="Y242" s="102"/>
    </row>
    <row r="243" spans="1:39">
      <c r="A243" s="3129"/>
      <c r="B243" s="3023"/>
      <c r="C243" s="3024"/>
      <c r="D243" s="3024"/>
      <c r="E243" s="3024"/>
      <c r="F243" s="3024"/>
      <c r="G243" s="3025"/>
      <c r="H243" s="1228"/>
      <c r="I243" s="522" t="s">
        <v>916</v>
      </c>
      <c r="J243" s="522"/>
      <c r="K243" s="522"/>
      <c r="L243" s="522"/>
      <c r="M243" s="522"/>
      <c r="N243" s="522"/>
      <c r="O243" s="522"/>
      <c r="P243" s="522"/>
      <c r="Q243" s="1762"/>
      <c r="R243" s="522"/>
      <c r="S243" s="1654">
        <v>2</v>
      </c>
      <c r="T243" s="527"/>
      <c r="W243" s="527"/>
      <c r="X243" s="1231" t="s">
        <v>1068</v>
      </c>
      <c r="Y243" s="102"/>
    </row>
    <row r="244" spans="1:39">
      <c r="A244" s="3130"/>
      <c r="B244" s="3111"/>
      <c r="C244" s="3112"/>
      <c r="D244" s="3112"/>
      <c r="E244" s="3112"/>
      <c r="F244" s="3112"/>
      <c r="G244" s="3113"/>
      <c r="H244" s="1228"/>
      <c r="I244" s="522"/>
      <c r="J244" s="522"/>
      <c r="K244" s="522"/>
      <c r="L244" s="522"/>
      <c r="M244" s="522"/>
      <c r="N244" s="522"/>
      <c r="O244" s="522"/>
      <c r="P244" s="522"/>
      <c r="Q244" s="522"/>
      <c r="R244" s="522"/>
      <c r="S244" s="1654"/>
      <c r="T244" s="1498"/>
      <c r="W244" s="527"/>
      <c r="X244" s="516" t="s">
        <v>1069</v>
      </c>
    </row>
    <row r="245" spans="1:39" ht="18.75" customHeight="1">
      <c r="A245" s="3138" t="s">
        <v>1685</v>
      </c>
      <c r="B245" s="3139"/>
      <c r="C245" s="3139"/>
      <c r="D245" s="3139"/>
      <c r="E245" s="3139"/>
      <c r="F245" s="3139"/>
      <c r="G245" s="3139"/>
      <c r="H245" s="3139"/>
      <c r="I245" s="3139"/>
      <c r="J245" s="3139"/>
      <c r="K245" s="3139"/>
      <c r="L245" s="3139"/>
      <c r="M245" s="3139"/>
      <c r="N245" s="3139"/>
      <c r="O245" s="3139"/>
      <c r="P245" s="3139"/>
      <c r="Q245" s="3139"/>
      <c r="R245" s="3139"/>
      <c r="S245" s="3139"/>
      <c r="T245" s="3139"/>
      <c r="U245" s="3139"/>
      <c r="V245" s="3139"/>
      <c r="W245" s="3140"/>
      <c r="X245" s="102"/>
      <c r="Y245" s="102"/>
      <c r="AM245" s="1613" t="s">
        <v>1070</v>
      </c>
    </row>
    <row r="246" spans="1:39">
      <c r="A246" s="3006">
        <f>+A241-0.01</f>
        <v>-9.419999999999991</v>
      </c>
      <c r="B246" s="3009" t="s">
        <v>1071</v>
      </c>
      <c r="C246" s="3010"/>
      <c r="D246" s="3010"/>
      <c r="E246" s="3010"/>
      <c r="F246" s="3010"/>
      <c r="G246" s="3011"/>
      <c r="H246" s="1223"/>
      <c r="I246" s="1237"/>
      <c r="J246" s="1224"/>
      <c r="K246" s="1224"/>
      <c r="L246" s="1224"/>
      <c r="M246" s="1224"/>
      <c r="N246" s="1224"/>
      <c r="O246" s="1224"/>
      <c r="P246" s="1224"/>
      <c r="Q246" s="1224"/>
      <c r="R246" s="1224"/>
      <c r="S246" s="517"/>
      <c r="T246" s="547"/>
      <c r="U246" s="538"/>
      <c r="V246" s="1074"/>
      <c r="W246" s="1054"/>
      <c r="X246" s="102"/>
      <c r="Y246" s="102"/>
    </row>
    <row r="247" spans="1:39" ht="12.75" customHeight="1">
      <c r="A247" s="3007"/>
      <c r="B247" s="3012"/>
      <c r="C247" s="3013"/>
      <c r="D247" s="3013"/>
      <c r="E247" s="3013"/>
      <c r="F247" s="3013"/>
      <c r="G247" s="3014"/>
      <c r="H247" s="1228"/>
      <c r="I247" s="522"/>
      <c r="J247" s="522"/>
      <c r="K247" s="1656"/>
      <c r="L247" s="3018" t="s">
        <v>293</v>
      </c>
      <c r="M247" s="3018"/>
      <c r="N247" s="3019"/>
      <c r="O247" s="1259"/>
      <c r="P247" s="1237"/>
      <c r="Q247" s="1237"/>
      <c r="R247" s="1237"/>
      <c r="S247" s="530"/>
      <c r="T247" s="545"/>
      <c r="V247" s="555"/>
      <c r="W247" s="1055"/>
      <c r="X247" s="102"/>
      <c r="Y247" s="102"/>
    </row>
    <row r="248" spans="1:39">
      <c r="A248" s="3007"/>
      <c r="B248" s="3012"/>
      <c r="C248" s="3013"/>
      <c r="D248" s="3013"/>
      <c r="E248" s="3013"/>
      <c r="F248" s="3013"/>
      <c r="G248" s="3014"/>
      <c r="H248" s="1228"/>
      <c r="I248" s="522"/>
      <c r="J248" s="522"/>
      <c r="K248" s="1656"/>
      <c r="L248" s="3018"/>
      <c r="M248" s="3018"/>
      <c r="N248" s="3019"/>
      <c r="O248" s="1260"/>
      <c r="P248" s="1232"/>
      <c r="Q248" s="1232"/>
      <c r="R248" s="1232"/>
      <c r="S248" s="519"/>
      <c r="T248" s="545"/>
      <c r="U248" s="541"/>
      <c r="V248" s="549"/>
      <c r="W248" s="1222"/>
      <c r="X248" s="102"/>
      <c r="Y248" s="102"/>
    </row>
    <row r="249" spans="1:39">
      <c r="A249" s="3008"/>
      <c r="B249" s="3015"/>
      <c r="C249" s="3016"/>
      <c r="D249" s="3016"/>
      <c r="E249" s="3016"/>
      <c r="F249" s="3016"/>
      <c r="G249" s="3017"/>
      <c r="H249" s="524"/>
      <c r="I249" s="1232"/>
      <c r="J249" s="1232"/>
      <c r="K249" s="1232"/>
      <c r="L249" s="1232"/>
      <c r="M249" s="1232"/>
      <c r="N249" s="1232"/>
      <c r="O249" s="1232"/>
      <c r="P249" s="1232"/>
      <c r="Q249" s="1232"/>
      <c r="R249" s="1232"/>
      <c r="S249" s="518"/>
      <c r="T249" s="546"/>
      <c r="U249" s="542"/>
      <c r="V249" s="550"/>
      <c r="W249" s="529"/>
      <c r="X249" s="102"/>
      <c r="Y249" s="102"/>
    </row>
    <row r="250" spans="1:39">
      <c r="A250" s="3006">
        <f>+A246-0.01</f>
        <v>-9.4299999999999908</v>
      </c>
      <c r="B250" s="3009" t="s">
        <v>1072</v>
      </c>
      <c r="C250" s="3010"/>
      <c r="D250" s="3010"/>
      <c r="E250" s="3010"/>
      <c r="F250" s="3010"/>
      <c r="G250" s="3011"/>
      <c r="H250" s="1223"/>
      <c r="I250" s="1237"/>
      <c r="J250" s="1224"/>
      <c r="K250" s="1224"/>
      <c r="L250" s="1224"/>
      <c r="M250" s="1224"/>
      <c r="N250" s="1224"/>
      <c r="O250" s="1224"/>
      <c r="P250" s="1224"/>
      <c r="Q250" s="1224"/>
      <c r="R250" s="1224"/>
      <c r="S250" s="517"/>
      <c r="T250" s="547"/>
      <c r="U250" s="538"/>
      <c r="V250" s="1074"/>
      <c r="W250" s="1054"/>
      <c r="X250" s="102"/>
      <c r="Y250" s="102"/>
    </row>
    <row r="251" spans="1:39">
      <c r="A251" s="3007"/>
      <c r="B251" s="3012"/>
      <c r="C251" s="3013"/>
      <c r="D251" s="3013"/>
      <c r="E251" s="3013"/>
      <c r="F251" s="3013"/>
      <c r="G251" s="3014"/>
      <c r="H251" s="1228"/>
      <c r="I251" s="522"/>
      <c r="J251" s="522"/>
      <c r="K251" s="1656"/>
      <c r="L251" s="3018" t="s">
        <v>293</v>
      </c>
      <c r="M251" s="3018"/>
      <c r="N251" s="3019"/>
      <c r="O251" s="1259"/>
      <c r="P251" s="1237"/>
      <c r="Q251" s="1237"/>
      <c r="R251" s="1237"/>
      <c r="S251" s="530"/>
      <c r="T251" s="545"/>
      <c r="V251" s="555"/>
      <c r="W251" s="1055"/>
      <c r="X251" s="102"/>
      <c r="Y251" s="102"/>
    </row>
    <row r="252" spans="1:39">
      <c r="A252" s="3007"/>
      <c r="B252" s="3012"/>
      <c r="C252" s="3013"/>
      <c r="D252" s="3013"/>
      <c r="E252" s="3013"/>
      <c r="F252" s="3013"/>
      <c r="G252" s="3014"/>
      <c r="H252" s="1228"/>
      <c r="I252" s="522"/>
      <c r="J252" s="522"/>
      <c r="K252" s="1656"/>
      <c r="L252" s="3018"/>
      <c r="M252" s="3018"/>
      <c r="N252" s="3019"/>
      <c r="O252" s="1260"/>
      <c r="P252" s="1232"/>
      <c r="Q252" s="1232"/>
      <c r="R252" s="1232"/>
      <c r="S252" s="519"/>
      <c r="T252" s="545"/>
      <c r="U252" s="541"/>
      <c r="V252" s="549"/>
      <c r="W252" s="1222"/>
      <c r="X252" s="102"/>
      <c r="Y252" s="102"/>
    </row>
    <row r="253" spans="1:39">
      <c r="A253" s="3008"/>
      <c r="B253" s="3015"/>
      <c r="C253" s="3016"/>
      <c r="D253" s="3016"/>
      <c r="E253" s="3016"/>
      <c r="F253" s="3016"/>
      <c r="G253" s="3017"/>
      <c r="H253" s="524"/>
      <c r="I253" s="1232"/>
      <c r="J253" s="1232"/>
      <c r="K253" s="1232"/>
      <c r="L253" s="1232"/>
      <c r="M253" s="1232"/>
      <c r="N253" s="1232"/>
      <c r="O253" s="1232"/>
      <c r="P253" s="1232"/>
      <c r="Q253" s="1232"/>
      <c r="R253" s="1232"/>
      <c r="S253" s="518"/>
      <c r="T253" s="546"/>
      <c r="U253" s="542"/>
      <c r="V253" s="550"/>
      <c r="W253" s="529"/>
      <c r="X253" s="102"/>
      <c r="Y253" s="102"/>
    </row>
    <row r="254" spans="1:39">
      <c r="A254" s="3006">
        <f>+A250-0.01</f>
        <v>-9.4399999999999906</v>
      </c>
      <c r="B254" s="3020" t="s">
        <v>1073</v>
      </c>
      <c r="C254" s="3021"/>
      <c r="D254" s="3021"/>
      <c r="E254" s="3021"/>
      <c r="F254" s="3021"/>
      <c r="G254" s="3022"/>
      <c r="H254" s="1223"/>
      <c r="I254" s="1237"/>
      <c r="J254" s="1224"/>
      <c r="K254" s="1224"/>
      <c r="L254" s="1224"/>
      <c r="M254" s="1224"/>
      <c r="N254" s="1224"/>
      <c r="O254" s="1224"/>
      <c r="P254" s="1224"/>
      <c r="Q254" s="1224"/>
      <c r="R254" s="1224"/>
      <c r="S254" s="517"/>
      <c r="T254" s="547"/>
      <c r="U254" s="538"/>
      <c r="V254" s="1074"/>
      <c r="W254" s="1054"/>
      <c r="X254" s="102"/>
      <c r="Y254" s="102"/>
    </row>
    <row r="255" spans="1:39">
      <c r="A255" s="3007"/>
      <c r="B255" s="3023"/>
      <c r="C255" s="3024"/>
      <c r="D255" s="3024"/>
      <c r="E255" s="3024"/>
      <c r="F255" s="3024"/>
      <c r="G255" s="3025"/>
      <c r="H255" s="1228"/>
      <c r="I255" s="522"/>
      <c r="J255" s="522"/>
      <c r="K255" s="1656"/>
      <c r="L255" s="1656"/>
      <c r="M255" s="1656"/>
      <c r="N255" s="1656"/>
      <c r="O255" s="522"/>
      <c r="P255" s="522"/>
      <c r="Q255" s="522"/>
      <c r="R255" s="522"/>
      <c r="T255" s="545"/>
      <c r="V255" s="555"/>
      <c r="W255" s="1055"/>
      <c r="X255" s="102"/>
      <c r="Y255" s="102"/>
    </row>
    <row r="256" spans="1:39">
      <c r="A256" s="3007"/>
      <c r="B256" s="3023"/>
      <c r="C256" s="3024"/>
      <c r="D256" s="3024"/>
      <c r="E256" s="3024"/>
      <c r="F256" s="3024"/>
      <c r="G256" s="3025"/>
      <c r="H256" s="1228"/>
      <c r="I256" s="522"/>
      <c r="J256" s="522"/>
      <c r="K256" s="1656"/>
      <c r="L256" s="3018" t="s">
        <v>293</v>
      </c>
      <c r="M256" s="3018"/>
      <c r="N256" s="3019"/>
      <c r="O256" s="1259"/>
      <c r="P256" s="1237"/>
      <c r="Q256" s="1237"/>
      <c r="R256" s="1237"/>
      <c r="S256" s="530"/>
      <c r="T256" s="545"/>
      <c r="U256" s="541"/>
      <c r="V256" s="549"/>
      <c r="W256" s="1222"/>
      <c r="X256" s="102"/>
      <c r="Y256" s="102"/>
    </row>
    <row r="257" spans="1:25">
      <c r="A257" s="3007"/>
      <c r="B257" s="3023"/>
      <c r="C257" s="3024"/>
      <c r="D257" s="3024"/>
      <c r="E257" s="3024"/>
      <c r="F257" s="3024"/>
      <c r="G257" s="3025"/>
      <c r="H257" s="1228"/>
      <c r="I257" s="522"/>
      <c r="J257" s="522"/>
      <c r="K257" s="1656"/>
      <c r="L257" s="3018"/>
      <c r="M257" s="3018"/>
      <c r="N257" s="3019"/>
      <c r="O257" s="1260"/>
      <c r="P257" s="1232"/>
      <c r="Q257" s="1232"/>
      <c r="R257" s="1232"/>
      <c r="S257" s="519"/>
      <c r="T257" s="545"/>
      <c r="U257" s="541"/>
      <c r="V257" s="549"/>
      <c r="W257" s="1222"/>
      <c r="X257" s="102"/>
      <c r="Y257" s="102"/>
    </row>
    <row r="258" spans="1:25">
      <c r="A258" s="3007"/>
      <c r="B258" s="3023"/>
      <c r="C258" s="3024"/>
      <c r="D258" s="3024"/>
      <c r="E258" s="3024"/>
      <c r="F258" s="3024"/>
      <c r="G258" s="3025"/>
      <c r="H258" s="1228"/>
      <c r="I258" s="522"/>
      <c r="J258" s="522"/>
      <c r="K258" s="1656"/>
      <c r="L258" s="1657"/>
      <c r="M258" s="1657"/>
      <c r="N258" s="1657"/>
      <c r="O258" s="522"/>
      <c r="P258" s="522"/>
      <c r="Q258" s="522"/>
      <c r="R258" s="522"/>
      <c r="T258" s="545"/>
      <c r="U258" s="541"/>
      <c r="V258" s="549"/>
      <c r="W258" s="1222"/>
      <c r="X258" s="102"/>
      <c r="Y258" s="102"/>
    </row>
    <row r="259" spans="1:25">
      <c r="A259" s="3008"/>
      <c r="B259" s="3026"/>
      <c r="C259" s="3027"/>
      <c r="D259" s="3027"/>
      <c r="E259" s="3027"/>
      <c r="F259" s="3027"/>
      <c r="G259" s="3028"/>
      <c r="H259" s="524"/>
      <c r="I259" s="1232"/>
      <c r="J259" s="1232"/>
      <c r="K259" s="1232"/>
      <c r="L259" s="1232"/>
      <c r="M259" s="1232"/>
      <c r="N259" s="1232"/>
      <c r="O259" s="1232"/>
      <c r="P259" s="1232"/>
      <c r="Q259" s="1232"/>
      <c r="R259" s="1232"/>
      <c r="S259" s="518"/>
      <c r="T259" s="546"/>
      <c r="U259" s="542"/>
      <c r="V259" s="550"/>
      <c r="W259" s="529"/>
      <c r="X259" s="102"/>
      <c r="Y259" s="102"/>
    </row>
    <row r="260" spans="1:25" ht="15.75">
      <c r="A260" s="2990" t="s">
        <v>1074</v>
      </c>
      <c r="B260" s="2991"/>
      <c r="C260" s="2991"/>
      <c r="D260" s="2991"/>
      <c r="E260" s="2991"/>
      <c r="F260" s="2991"/>
      <c r="G260" s="2991"/>
      <c r="H260" s="2991"/>
      <c r="I260" s="2991"/>
      <c r="J260" s="2991"/>
      <c r="K260" s="2991"/>
      <c r="L260" s="2991"/>
      <c r="M260" s="2991"/>
      <c r="N260" s="2991"/>
      <c r="O260" s="2991"/>
      <c r="P260" s="2991"/>
      <c r="Q260" s="2991"/>
      <c r="R260" s="2991"/>
      <c r="S260" s="2991"/>
      <c r="T260" s="2991"/>
      <c r="U260" s="2991"/>
      <c r="V260" s="2991"/>
      <c r="W260" s="2992"/>
      <c r="X260" s="102"/>
      <c r="Y260" s="102"/>
    </row>
    <row r="261" spans="1:25">
      <c r="A261" s="2993">
        <f>+A254-0.01</f>
        <v>-9.4499999999999904</v>
      </c>
      <c r="B261" s="2995" t="s">
        <v>1075</v>
      </c>
      <c r="C261" s="2996"/>
      <c r="D261" s="2996"/>
      <c r="E261" s="2996"/>
      <c r="F261" s="2996"/>
      <c r="G261" s="2997"/>
      <c r="H261" s="1493"/>
      <c r="T261" s="532"/>
      <c r="W261" s="527"/>
      <c r="X261" s="102"/>
      <c r="Y261" s="102"/>
    </row>
    <row r="262" spans="1:25">
      <c r="A262" s="2993"/>
      <c r="B262" s="2995"/>
      <c r="C262" s="2996"/>
      <c r="D262" s="2996"/>
      <c r="E262" s="2996"/>
      <c r="F262" s="2996"/>
      <c r="G262" s="2997"/>
      <c r="H262" s="1493"/>
      <c r="I262" s="516" t="s">
        <v>1076</v>
      </c>
      <c r="S262" s="1489">
        <v>1</v>
      </c>
      <c r="T262" s="532"/>
      <c r="W262" s="527"/>
      <c r="X262" s="102"/>
      <c r="Y262" s="102"/>
    </row>
    <row r="263" spans="1:25">
      <c r="A263" s="2993"/>
      <c r="B263" s="2995"/>
      <c r="C263" s="2996"/>
      <c r="D263" s="2996"/>
      <c r="E263" s="2996"/>
      <c r="F263" s="2996"/>
      <c r="G263" s="2997"/>
      <c r="H263" s="1493"/>
      <c r="I263" s="516" t="s">
        <v>1077</v>
      </c>
      <c r="T263" s="532"/>
      <c r="V263" s="549"/>
      <c r="W263" s="1222"/>
      <c r="X263" s="102"/>
      <c r="Y263" s="102"/>
    </row>
    <row r="264" spans="1:25">
      <c r="A264" s="2993"/>
      <c r="B264" s="2995"/>
      <c r="C264" s="2996"/>
      <c r="D264" s="2996"/>
      <c r="E264" s="2996"/>
      <c r="F264" s="2996"/>
      <c r="G264" s="2997"/>
      <c r="H264" s="1493"/>
      <c r="J264" s="2986" t="s">
        <v>1078</v>
      </c>
      <c r="K264" s="2986"/>
      <c r="L264" s="2986"/>
      <c r="M264" s="2986"/>
      <c r="N264" s="2986"/>
      <c r="O264" s="2986"/>
      <c r="P264" s="2986"/>
      <c r="Q264" s="2986"/>
      <c r="R264" s="2986"/>
      <c r="S264" s="2987">
        <v>2</v>
      </c>
      <c r="T264" s="532"/>
      <c r="V264" s="549"/>
      <c r="W264" s="1222"/>
      <c r="X264" s="102"/>
      <c r="Y264" s="102"/>
    </row>
    <row r="265" spans="1:25">
      <c r="A265" s="2993"/>
      <c r="B265" s="2995"/>
      <c r="C265" s="2996"/>
      <c r="D265" s="2996"/>
      <c r="E265" s="2996"/>
      <c r="F265" s="2996"/>
      <c r="G265" s="2997"/>
      <c r="H265" s="1493"/>
      <c r="I265" s="1658"/>
      <c r="J265" s="2986"/>
      <c r="K265" s="2986"/>
      <c r="L265" s="2986"/>
      <c r="M265" s="2986"/>
      <c r="N265" s="2986"/>
      <c r="O265" s="2986"/>
      <c r="P265" s="2986"/>
      <c r="Q265" s="2986"/>
      <c r="R265" s="2986"/>
      <c r="S265" s="2987"/>
      <c r="T265" s="532"/>
      <c r="V265" s="549"/>
      <c r="W265" s="1222"/>
      <c r="X265" s="102"/>
      <c r="Y265" s="102"/>
    </row>
    <row r="266" spans="1:25">
      <c r="A266" s="2993"/>
      <c r="B266" s="2995"/>
      <c r="C266" s="2996"/>
      <c r="D266" s="2996"/>
      <c r="E266" s="2996"/>
      <c r="F266" s="2996"/>
      <c r="G266" s="2997"/>
      <c r="H266" s="1493"/>
      <c r="J266" s="516" t="s">
        <v>1079</v>
      </c>
      <c r="S266" s="1489">
        <v>3</v>
      </c>
      <c r="T266" s="532"/>
      <c r="W266" s="527"/>
      <c r="X266" s="102"/>
      <c r="Y266" s="102"/>
    </row>
    <row r="267" spans="1:25">
      <c r="A267" s="2993"/>
      <c r="B267" s="2995"/>
      <c r="C267" s="2996"/>
      <c r="D267" s="2996"/>
      <c r="E267" s="2996"/>
      <c r="F267" s="2996"/>
      <c r="G267" s="2997"/>
      <c r="H267" s="1493"/>
      <c r="J267" s="2986" t="s">
        <v>1080</v>
      </c>
      <c r="K267" s="2986"/>
      <c r="L267" s="2986"/>
      <c r="M267" s="2986"/>
      <c r="N267" s="2986"/>
      <c r="O267" s="2986"/>
      <c r="P267" s="2986"/>
      <c r="Q267" s="2986"/>
      <c r="R267" s="2986"/>
      <c r="S267" s="2987">
        <v>4</v>
      </c>
      <c r="T267" s="532"/>
      <c r="W267" s="527"/>
      <c r="X267" s="102"/>
      <c r="Y267" s="102"/>
    </row>
    <row r="268" spans="1:25">
      <c r="A268" s="2993"/>
      <c r="B268" s="2995"/>
      <c r="C268" s="2996"/>
      <c r="D268" s="2996"/>
      <c r="E268" s="2996"/>
      <c r="F268" s="2996"/>
      <c r="G268" s="2997"/>
      <c r="H268" s="1493"/>
      <c r="I268" s="1658"/>
      <c r="J268" s="2986"/>
      <c r="K268" s="2986"/>
      <c r="L268" s="2986"/>
      <c r="M268" s="2986"/>
      <c r="N268" s="2986"/>
      <c r="O268" s="2986"/>
      <c r="P268" s="2986"/>
      <c r="Q268" s="2986"/>
      <c r="R268" s="2986"/>
      <c r="S268" s="2987"/>
      <c r="T268" s="532"/>
      <c r="W268" s="527"/>
      <c r="X268" s="102"/>
      <c r="Y268" s="102"/>
    </row>
    <row r="269" spans="1:25">
      <c r="A269" s="2993"/>
      <c r="B269" s="2995"/>
      <c r="C269" s="2996"/>
      <c r="D269" s="2996"/>
      <c r="E269" s="2996"/>
      <c r="F269" s="2996"/>
      <c r="G269" s="2997"/>
      <c r="H269" s="1493"/>
      <c r="I269" s="1490" t="s">
        <v>1081</v>
      </c>
      <c r="S269" s="1489">
        <v>5</v>
      </c>
      <c r="T269" s="532"/>
      <c r="W269" s="527"/>
      <c r="X269" s="102"/>
      <c r="Y269" s="102"/>
    </row>
    <row r="270" spans="1:25">
      <c r="A270" s="2993"/>
      <c r="B270" s="2995"/>
      <c r="C270" s="2996"/>
      <c r="D270" s="2996"/>
      <c r="E270" s="2996"/>
      <c r="F270" s="2996"/>
      <c r="G270" s="2997"/>
      <c r="H270" s="1493"/>
      <c r="I270" s="1490" t="s">
        <v>1082</v>
      </c>
      <c r="T270" s="532"/>
      <c r="W270" s="527"/>
      <c r="X270" s="102"/>
      <c r="Y270" s="102"/>
    </row>
    <row r="271" spans="1:25">
      <c r="A271" s="2993"/>
      <c r="B271" s="2995"/>
      <c r="C271" s="2996"/>
      <c r="D271" s="2996"/>
      <c r="E271" s="2996"/>
      <c r="F271" s="2996"/>
      <c r="G271" s="2997"/>
      <c r="H271" s="1493"/>
      <c r="I271" s="1658" t="s">
        <v>1083</v>
      </c>
      <c r="S271" s="1489">
        <v>6</v>
      </c>
      <c r="T271" s="532"/>
      <c r="W271" s="527"/>
      <c r="X271" s="102"/>
      <c r="Y271" s="102"/>
    </row>
    <row r="272" spans="1:25">
      <c r="A272" s="2993"/>
      <c r="B272" s="2995"/>
      <c r="C272" s="2996"/>
      <c r="D272" s="2996"/>
      <c r="E272" s="2996"/>
      <c r="F272" s="2996"/>
      <c r="G272" s="2997"/>
      <c r="H272" s="1493"/>
      <c r="I272" s="1658" t="s">
        <v>1084</v>
      </c>
      <c r="S272" s="1489">
        <v>7</v>
      </c>
      <c r="T272" s="532"/>
      <c r="W272" s="527"/>
      <c r="X272" s="102"/>
      <c r="Y272" s="102"/>
    </row>
    <row r="273" spans="1:25">
      <c r="A273" s="2993"/>
      <c r="B273" s="2995"/>
      <c r="C273" s="2996"/>
      <c r="D273" s="2996"/>
      <c r="E273" s="2996"/>
      <c r="F273" s="2996"/>
      <c r="G273" s="2997"/>
      <c r="H273" s="1493"/>
      <c r="I273" s="1490" t="s">
        <v>1085</v>
      </c>
      <c r="T273" s="532"/>
      <c r="W273" s="527"/>
      <c r="X273" s="102"/>
      <c r="Y273" s="102"/>
    </row>
    <row r="274" spans="1:25">
      <c r="A274" s="2993"/>
      <c r="B274" s="2995"/>
      <c r="C274" s="2996"/>
      <c r="D274" s="2996"/>
      <c r="E274" s="2996"/>
      <c r="F274" s="2996"/>
      <c r="G274" s="2997"/>
      <c r="H274" s="1493"/>
      <c r="I274" s="1658" t="s">
        <v>1086</v>
      </c>
      <c r="S274" s="1489">
        <v>8</v>
      </c>
      <c r="T274" s="532"/>
      <c r="W274" s="527"/>
      <c r="X274" s="102"/>
      <c r="Y274" s="102"/>
    </row>
    <row r="275" spans="1:25">
      <c r="A275" s="2993"/>
      <c r="B275" s="2995"/>
      <c r="C275" s="2996"/>
      <c r="D275" s="2996"/>
      <c r="E275" s="2996"/>
      <c r="F275" s="2996"/>
      <c r="G275" s="2997"/>
      <c r="H275" s="1493"/>
      <c r="I275" s="1658" t="s">
        <v>1087</v>
      </c>
      <c r="S275" s="1489">
        <v>9</v>
      </c>
      <c r="T275" s="532"/>
      <c r="W275" s="527"/>
      <c r="X275" s="102"/>
      <c r="Y275" s="102"/>
    </row>
    <row r="276" spans="1:25">
      <c r="A276" s="2993"/>
      <c r="B276" s="2995"/>
      <c r="C276" s="2996"/>
      <c r="D276" s="2996"/>
      <c r="E276" s="2996"/>
      <c r="F276" s="2996"/>
      <c r="G276" s="2997"/>
      <c r="H276" s="1493"/>
      <c r="I276" s="516" t="s">
        <v>1088</v>
      </c>
      <c r="S276" s="1489">
        <v>10</v>
      </c>
      <c r="T276" s="532"/>
      <c r="V276" s="549"/>
      <c r="W276" s="1055"/>
      <c r="X276" s="102"/>
      <c r="Y276" s="102"/>
    </row>
    <row r="277" spans="1:25">
      <c r="A277" s="2993"/>
      <c r="B277" s="2995"/>
      <c r="C277" s="2996"/>
      <c r="D277" s="2996"/>
      <c r="E277" s="2996"/>
      <c r="F277" s="2996"/>
      <c r="G277" s="2997"/>
      <c r="H277" s="1493"/>
      <c r="I277" s="516" t="s">
        <v>1089</v>
      </c>
      <c r="S277" s="1489">
        <v>11</v>
      </c>
      <c r="T277" s="532"/>
      <c r="W277" s="527"/>
      <c r="X277" s="102"/>
      <c r="Y277" s="102"/>
    </row>
    <row r="278" spans="1:25">
      <c r="A278" s="2993"/>
      <c r="B278" s="2995"/>
      <c r="C278" s="2996"/>
      <c r="D278" s="2996"/>
      <c r="E278" s="2996"/>
      <c r="F278" s="2996"/>
      <c r="G278" s="2997"/>
      <c r="H278" s="1493"/>
      <c r="I278" s="516" t="s">
        <v>1090</v>
      </c>
      <c r="S278" s="1489">
        <v>12</v>
      </c>
      <c r="T278" s="532"/>
      <c r="W278" s="527"/>
      <c r="X278" s="102"/>
      <c r="Y278" s="102"/>
    </row>
    <row r="279" spans="1:25">
      <c r="A279" s="2993"/>
      <c r="B279" s="2995"/>
      <c r="C279" s="2996"/>
      <c r="D279" s="2996"/>
      <c r="E279" s="2996"/>
      <c r="F279" s="2996"/>
      <c r="G279" s="2997"/>
      <c r="H279" s="1493"/>
      <c r="I279" s="516" t="s">
        <v>1091</v>
      </c>
      <c r="S279" s="1489">
        <v>13</v>
      </c>
      <c r="T279" s="532"/>
      <c r="W279" s="527"/>
      <c r="X279" s="102"/>
      <c r="Y279" s="102"/>
    </row>
    <row r="280" spans="1:25">
      <c r="A280" s="2993"/>
      <c r="B280" s="2995"/>
      <c r="C280" s="2996"/>
      <c r="D280" s="2996"/>
      <c r="E280" s="2996"/>
      <c r="F280" s="2996"/>
      <c r="G280" s="2997"/>
      <c r="H280" s="1493"/>
      <c r="I280" s="2986" t="s">
        <v>1092</v>
      </c>
      <c r="J280" s="2986"/>
      <c r="K280" s="2986"/>
      <c r="L280" s="2986"/>
      <c r="M280" s="2986"/>
      <c r="N280" s="2986"/>
      <c r="O280" s="2986"/>
      <c r="P280" s="2986"/>
      <c r="Q280" s="2986"/>
      <c r="R280" s="2986"/>
      <c r="S280" s="2987">
        <v>14</v>
      </c>
      <c r="T280" s="532"/>
      <c r="W280" s="527"/>
      <c r="X280" s="102"/>
      <c r="Y280" s="102"/>
    </row>
    <row r="281" spans="1:25">
      <c r="A281" s="2993"/>
      <c r="B281" s="2995"/>
      <c r="C281" s="2996"/>
      <c r="D281" s="2996"/>
      <c r="E281" s="2996"/>
      <c r="F281" s="2996"/>
      <c r="G281" s="2997"/>
      <c r="H281" s="1493"/>
      <c r="I281" s="2986"/>
      <c r="J281" s="2986"/>
      <c r="K281" s="2986"/>
      <c r="L281" s="2986"/>
      <c r="M281" s="2986"/>
      <c r="N281" s="2986"/>
      <c r="O281" s="2986"/>
      <c r="P281" s="2986"/>
      <c r="Q281" s="2986"/>
      <c r="R281" s="2986"/>
      <c r="S281" s="2987"/>
      <c r="T281" s="532"/>
      <c r="W281" s="527"/>
      <c r="X281" s="102"/>
      <c r="Y281" s="102"/>
    </row>
    <row r="282" spans="1:25">
      <c r="A282" s="2993"/>
      <c r="B282" s="2995"/>
      <c r="C282" s="2996"/>
      <c r="D282" s="2996"/>
      <c r="E282" s="2996"/>
      <c r="F282" s="2996"/>
      <c r="G282" s="2997"/>
      <c r="H282" s="1493"/>
      <c r="I282" s="516" t="s">
        <v>935</v>
      </c>
      <c r="P282" s="1487"/>
      <c r="Q282" s="1487"/>
      <c r="S282" s="1489">
        <v>15</v>
      </c>
      <c r="T282" s="532"/>
      <c r="W282" s="527"/>
      <c r="X282" s="102"/>
      <c r="Y282" s="102"/>
    </row>
    <row r="283" spans="1:25">
      <c r="A283" s="2994"/>
      <c r="B283" s="2998"/>
      <c r="C283" s="2999"/>
      <c r="D283" s="2999"/>
      <c r="E283" s="2999"/>
      <c r="F283" s="2999"/>
      <c r="G283" s="3000"/>
      <c r="H283" s="1504"/>
      <c r="I283" s="528"/>
      <c r="J283" s="528"/>
      <c r="K283" s="528"/>
      <c r="L283" s="528"/>
      <c r="M283" s="528"/>
      <c r="N283" s="528"/>
      <c r="O283" s="528"/>
      <c r="P283" s="528"/>
      <c r="Q283" s="528"/>
      <c r="R283" s="528"/>
      <c r="S283" s="518"/>
      <c r="T283" s="519"/>
      <c r="U283" s="528"/>
      <c r="V283" s="550"/>
      <c r="W283" s="529"/>
      <c r="X283" s="102"/>
      <c r="Y283" s="102"/>
    </row>
    <row r="284" spans="1:25">
      <c r="A284" s="3001">
        <f>+A261-0.01</f>
        <v>-9.4599999999999902</v>
      </c>
      <c r="B284" s="2355" t="s">
        <v>1093</v>
      </c>
      <c r="C284" s="3002"/>
      <c r="D284" s="3002"/>
      <c r="E284" s="3002"/>
      <c r="F284" s="3002"/>
      <c r="G284" s="2356"/>
      <c r="H284" s="1492"/>
      <c r="I284" s="531"/>
      <c r="J284" s="531"/>
      <c r="K284" s="531"/>
      <c r="L284" s="531"/>
      <c r="M284" s="531"/>
      <c r="N284" s="531"/>
      <c r="O284" s="531"/>
      <c r="P284" s="531"/>
      <c r="Q284" s="531"/>
      <c r="R284" s="531"/>
      <c r="S284" s="520"/>
      <c r="T284" s="530"/>
      <c r="U284" s="531"/>
      <c r="V284" s="551"/>
      <c r="W284" s="526"/>
      <c r="X284" s="102"/>
      <c r="Y284" s="102"/>
    </row>
    <row r="285" spans="1:25">
      <c r="A285" s="2993"/>
      <c r="B285" s="2345"/>
      <c r="C285" s="2357"/>
      <c r="D285" s="2357"/>
      <c r="E285" s="2357"/>
      <c r="F285" s="2357"/>
      <c r="G285" s="2346"/>
      <c r="H285" s="1493"/>
      <c r="I285" s="516" t="s">
        <v>1094</v>
      </c>
      <c r="S285" s="1489">
        <v>1</v>
      </c>
      <c r="T285" s="532"/>
      <c r="U285" s="516" t="s">
        <v>91</v>
      </c>
      <c r="V285" s="555">
        <f>A299</f>
        <v>-9.4899999999999896</v>
      </c>
      <c r="W285" s="1055"/>
      <c r="X285" s="102"/>
      <c r="Y285" s="102"/>
    </row>
    <row r="286" spans="1:25">
      <c r="A286" s="2993"/>
      <c r="B286" s="2345"/>
      <c r="C286" s="2357"/>
      <c r="D286" s="2357"/>
      <c r="E286" s="2357"/>
      <c r="F286" s="2357"/>
      <c r="G286" s="2346"/>
      <c r="H286" s="1493"/>
      <c r="I286" s="516" t="s">
        <v>1095</v>
      </c>
      <c r="S286" s="1489">
        <v>2</v>
      </c>
      <c r="T286" s="532"/>
      <c r="U286" s="516" t="s">
        <v>91</v>
      </c>
      <c r="V286" s="555">
        <f>A299</f>
        <v>-9.4899999999999896</v>
      </c>
      <c r="W286" s="527"/>
      <c r="X286" s="102"/>
      <c r="Y286" s="102"/>
    </row>
    <row r="287" spans="1:25">
      <c r="A287" s="2993"/>
      <c r="B287" s="2345"/>
      <c r="C287" s="2357"/>
      <c r="D287" s="2357"/>
      <c r="E287" s="2357"/>
      <c r="F287" s="2357"/>
      <c r="G287" s="2346"/>
      <c r="H287" s="1493"/>
      <c r="I287" s="516" t="s">
        <v>1096</v>
      </c>
      <c r="S287" s="1489">
        <v>3</v>
      </c>
      <c r="T287" s="532"/>
      <c r="W287" s="527"/>
      <c r="X287" s="102"/>
      <c r="Y287" s="102"/>
    </row>
    <row r="288" spans="1:25">
      <c r="A288" s="2994"/>
      <c r="B288" s="3003"/>
      <c r="C288" s="3004"/>
      <c r="D288" s="3004"/>
      <c r="E288" s="3004"/>
      <c r="F288" s="3004"/>
      <c r="G288" s="3005"/>
      <c r="H288" s="1504"/>
      <c r="I288" s="528"/>
      <c r="J288" s="528"/>
      <c r="K288" s="528"/>
      <c r="L288" s="528"/>
      <c r="M288" s="528"/>
      <c r="N288" s="528"/>
      <c r="O288" s="528"/>
      <c r="P288" s="528"/>
      <c r="Q288" s="528"/>
      <c r="R288" s="528"/>
      <c r="S288" s="518"/>
      <c r="T288" s="519"/>
      <c r="U288" s="528"/>
      <c r="V288" s="550"/>
      <c r="W288" s="529"/>
      <c r="X288" s="102"/>
      <c r="Y288" s="102"/>
    </row>
    <row r="289" spans="1:25">
      <c r="A289" s="3001">
        <f>+A284-0.01</f>
        <v>-9.46999999999999</v>
      </c>
      <c r="B289" s="2355" t="s">
        <v>1714</v>
      </c>
      <c r="C289" s="3002"/>
      <c r="D289" s="3002"/>
      <c r="E289" s="3002"/>
      <c r="F289" s="3002"/>
      <c r="G289" s="2356"/>
      <c r="H289" s="1492"/>
      <c r="I289" s="531"/>
      <c r="J289" s="531"/>
      <c r="K289" s="531"/>
      <c r="L289" s="531"/>
      <c r="M289" s="531"/>
      <c r="N289" s="531"/>
      <c r="O289" s="531"/>
      <c r="P289" s="531"/>
      <c r="Q289" s="531"/>
      <c r="R289" s="531"/>
      <c r="S289" s="1522"/>
      <c r="T289" s="1523"/>
      <c r="U289" s="531"/>
      <c r="V289" s="551"/>
      <c r="W289" s="526"/>
      <c r="X289" s="102"/>
      <c r="Y289" s="102"/>
    </row>
    <row r="290" spans="1:25">
      <c r="A290" s="2993"/>
      <c r="B290" s="2345"/>
      <c r="C290" s="2357"/>
      <c r="D290" s="2357"/>
      <c r="E290" s="2357"/>
      <c r="F290" s="2357"/>
      <c r="G290" s="2346"/>
      <c r="H290" s="1493"/>
      <c r="I290" s="516" t="s">
        <v>1097</v>
      </c>
      <c r="Q290" s="536"/>
      <c r="R290" s="1524"/>
      <c r="S290" s="521"/>
      <c r="T290" s="532"/>
      <c r="W290" s="527"/>
      <c r="X290" s="102"/>
      <c r="Y290" s="102"/>
    </row>
    <row r="291" spans="1:25">
      <c r="A291" s="2993"/>
      <c r="B291" s="2345"/>
      <c r="C291" s="2357"/>
      <c r="D291" s="2357"/>
      <c r="E291" s="2357"/>
      <c r="F291" s="2357"/>
      <c r="G291" s="2346"/>
      <c r="H291" s="1493"/>
      <c r="I291" s="516" t="s">
        <v>1098</v>
      </c>
      <c r="S291" s="1659" t="s">
        <v>1099</v>
      </c>
      <c r="T291" s="532"/>
      <c r="W291" s="527"/>
      <c r="X291" s="102"/>
      <c r="Y291" s="102"/>
    </row>
    <row r="292" spans="1:25" s="100" customFormat="1">
      <c r="A292" s="2993"/>
      <c r="B292" s="2345"/>
      <c r="C292" s="2357"/>
      <c r="D292" s="2357"/>
      <c r="E292" s="2357"/>
      <c r="F292" s="2357"/>
      <c r="G292" s="2346"/>
      <c r="H292" s="1493"/>
      <c r="I292" s="516" t="s">
        <v>1100</v>
      </c>
      <c r="J292" s="516"/>
      <c r="K292" s="516"/>
      <c r="L292" s="516"/>
      <c r="M292" s="516"/>
      <c r="N292" s="516"/>
      <c r="O292" s="516"/>
      <c r="P292" s="516"/>
      <c r="Q292" s="1489"/>
      <c r="R292" s="1489"/>
      <c r="S292" s="1489">
        <v>998</v>
      </c>
      <c r="T292" s="532"/>
      <c r="U292" s="516"/>
      <c r="V292" s="1546"/>
      <c r="W292" s="527"/>
      <c r="X292" s="102"/>
      <c r="Y292" s="102"/>
    </row>
    <row r="293" spans="1:25" s="100" customFormat="1">
      <c r="A293" s="2994"/>
      <c r="B293" s="3003"/>
      <c r="C293" s="3004"/>
      <c r="D293" s="3004"/>
      <c r="E293" s="3004"/>
      <c r="F293" s="3004"/>
      <c r="G293" s="3005"/>
      <c r="H293" s="1504"/>
      <c r="I293" s="528"/>
      <c r="J293" s="528"/>
      <c r="K293" s="528"/>
      <c r="L293" s="528"/>
      <c r="M293" s="528"/>
      <c r="N293" s="528"/>
      <c r="O293" s="528"/>
      <c r="P293" s="528"/>
      <c r="Q293" s="518"/>
      <c r="R293" s="518"/>
      <c r="S293" s="518"/>
      <c r="T293" s="519"/>
      <c r="U293" s="528"/>
      <c r="V293" s="550"/>
      <c r="W293" s="529"/>
      <c r="X293" s="102"/>
      <c r="Y293" s="102"/>
    </row>
    <row r="294" spans="1:25" s="100" customFormat="1">
      <c r="A294" s="3001">
        <f>A289-0.01</f>
        <v>-9.4799999999999898</v>
      </c>
      <c r="B294" s="2355" t="s">
        <v>1101</v>
      </c>
      <c r="C294" s="3002"/>
      <c r="D294" s="3002"/>
      <c r="E294" s="3002"/>
      <c r="F294" s="3002"/>
      <c r="G294" s="2356"/>
      <c r="H294" s="1492"/>
      <c r="I294" s="531"/>
      <c r="J294" s="531"/>
      <c r="K294" s="531"/>
      <c r="L294" s="531"/>
      <c r="M294" s="531"/>
      <c r="N294" s="531"/>
      <c r="O294" s="531"/>
      <c r="P294" s="531"/>
      <c r="Q294" s="520"/>
      <c r="R294" s="520"/>
      <c r="S294" s="520"/>
      <c r="T294" s="530"/>
      <c r="U294" s="531"/>
      <c r="V294" s="551"/>
      <c r="W294" s="526"/>
      <c r="X294" s="102"/>
      <c r="Y294" s="102"/>
    </row>
    <row r="295" spans="1:25" s="100" customFormat="1">
      <c r="A295" s="2993"/>
      <c r="B295" s="2345"/>
      <c r="C295" s="2357"/>
      <c r="D295" s="2357"/>
      <c r="E295" s="2357"/>
      <c r="F295" s="2357"/>
      <c r="G295" s="2346"/>
      <c r="H295" s="1493"/>
      <c r="I295" s="516" t="s">
        <v>1102</v>
      </c>
      <c r="J295" s="516"/>
      <c r="K295" s="516"/>
      <c r="L295" s="516"/>
      <c r="M295" s="516"/>
      <c r="N295" s="516"/>
      <c r="O295" s="516"/>
      <c r="P295" s="516"/>
      <c r="Q295" s="1489"/>
      <c r="R295" s="1489"/>
      <c r="S295" s="1489">
        <v>1</v>
      </c>
      <c r="T295" s="532"/>
      <c r="U295" s="516"/>
      <c r="V295" s="1546"/>
      <c r="W295" s="527"/>
      <c r="X295" s="102"/>
      <c r="Y295" s="102"/>
    </row>
    <row r="296" spans="1:25" s="100" customFormat="1">
      <c r="A296" s="2993"/>
      <c r="B296" s="2345"/>
      <c r="C296" s="2357"/>
      <c r="D296" s="2357"/>
      <c r="E296" s="2357"/>
      <c r="F296" s="2357"/>
      <c r="G296" s="2346"/>
      <c r="H296" s="1493"/>
      <c r="I296" s="516" t="s">
        <v>1103</v>
      </c>
      <c r="J296" s="516"/>
      <c r="K296" s="516"/>
      <c r="L296" s="516"/>
      <c r="M296" s="516"/>
      <c r="N296" s="516"/>
      <c r="O296" s="516"/>
      <c r="P296" s="516"/>
      <c r="Q296" s="1489"/>
      <c r="R296" s="1489"/>
      <c r="S296" s="1489">
        <v>2</v>
      </c>
      <c r="T296" s="532"/>
      <c r="U296" s="516"/>
      <c r="V296" s="1546"/>
      <c r="W296" s="527"/>
      <c r="X296" s="102"/>
      <c r="Y296" s="102"/>
    </row>
    <row r="297" spans="1:25" s="100" customFormat="1">
      <c r="A297" s="2993"/>
      <c r="B297" s="2345"/>
      <c r="C297" s="2357"/>
      <c r="D297" s="2357"/>
      <c r="E297" s="2357"/>
      <c r="F297" s="2357"/>
      <c r="G297" s="2346"/>
      <c r="H297" s="1493"/>
      <c r="I297" s="516" t="s">
        <v>1104</v>
      </c>
      <c r="J297" s="516"/>
      <c r="K297" s="516"/>
      <c r="L297" s="516"/>
      <c r="M297" s="516"/>
      <c r="N297" s="516"/>
      <c r="O297" s="516"/>
      <c r="P297" s="516"/>
      <c r="Q297" s="1489"/>
      <c r="R297" s="1489"/>
      <c r="S297" s="1489">
        <v>3</v>
      </c>
      <c r="T297" s="532"/>
      <c r="U297" s="516"/>
      <c r="V297" s="1546"/>
      <c r="W297" s="527"/>
      <c r="X297" s="102"/>
      <c r="Y297" s="102"/>
    </row>
    <row r="298" spans="1:25" s="100" customFormat="1">
      <c r="A298" s="2994"/>
      <c r="B298" s="3003"/>
      <c r="C298" s="3004"/>
      <c r="D298" s="3004"/>
      <c r="E298" s="3004"/>
      <c r="F298" s="3004"/>
      <c r="G298" s="3005"/>
      <c r="H298" s="1504"/>
      <c r="I298" s="528"/>
      <c r="J298" s="528"/>
      <c r="K298" s="528"/>
      <c r="L298" s="528"/>
      <c r="M298" s="528"/>
      <c r="N298" s="528"/>
      <c r="O298" s="528"/>
      <c r="P298" s="528"/>
      <c r="Q298" s="518"/>
      <c r="R298" s="518"/>
      <c r="S298" s="518"/>
      <c r="T298" s="519"/>
      <c r="U298" s="528"/>
      <c r="V298" s="550"/>
      <c r="W298" s="529"/>
      <c r="X298" s="102"/>
      <c r="Y298" s="102"/>
    </row>
    <row r="299" spans="1:25" s="100" customFormat="1">
      <c r="A299" s="3035">
        <f>A294-0.01</f>
        <v>-9.4899999999999896</v>
      </c>
      <c r="B299" s="3064" t="s">
        <v>1105</v>
      </c>
      <c r="C299" s="2357"/>
      <c r="D299" s="2357"/>
      <c r="E299" s="2357"/>
      <c r="F299" s="2357"/>
      <c r="G299" s="3065"/>
      <c r="H299" s="540"/>
      <c r="I299" s="516"/>
      <c r="J299" s="516"/>
      <c r="K299" s="516"/>
      <c r="L299" s="516"/>
      <c r="M299" s="516"/>
      <c r="N299" s="516"/>
      <c r="O299" s="516"/>
      <c r="P299" s="516"/>
      <c r="Q299" s="516"/>
      <c r="R299" s="516"/>
      <c r="S299" s="1489"/>
      <c r="T299" s="545"/>
      <c r="U299" s="540"/>
      <c r="V299" s="1546"/>
      <c r="W299" s="527"/>
      <c r="X299" s="102"/>
      <c r="Y299" s="102"/>
    </row>
    <row r="300" spans="1:25" s="100" customFormat="1">
      <c r="A300" s="3035"/>
      <c r="B300" s="3064"/>
      <c r="C300" s="2357"/>
      <c r="D300" s="2357"/>
      <c r="E300" s="2357"/>
      <c r="F300" s="2357"/>
      <c r="G300" s="3065"/>
      <c r="H300" s="540"/>
      <c r="I300" s="516"/>
      <c r="J300" s="516"/>
      <c r="K300" s="516"/>
      <c r="L300" s="516"/>
      <c r="M300" s="516"/>
      <c r="N300" s="516"/>
      <c r="O300" s="1487" t="s">
        <v>1106</v>
      </c>
      <c r="P300" s="516"/>
      <c r="Q300" s="536"/>
      <c r="R300" s="1524"/>
      <c r="S300" s="521"/>
      <c r="T300" s="545"/>
      <c r="U300" s="516"/>
      <c r="V300" s="549"/>
      <c r="W300" s="1055"/>
      <c r="X300" s="102"/>
      <c r="Y300" s="102"/>
    </row>
    <row r="301" spans="1:25" s="100" customFormat="1">
      <c r="A301" s="3036"/>
      <c r="B301" s="3072"/>
      <c r="C301" s="3073"/>
      <c r="D301" s="3073"/>
      <c r="E301" s="3073"/>
      <c r="F301" s="3073"/>
      <c r="G301" s="3074"/>
      <c r="H301" s="1494"/>
      <c r="I301" s="1495"/>
      <c r="J301" s="1495"/>
      <c r="K301" s="1495"/>
      <c r="L301" s="1495"/>
      <c r="M301" s="1495"/>
      <c r="N301" s="1495"/>
      <c r="O301" s="1495"/>
      <c r="P301" s="1495"/>
      <c r="Q301" s="1495"/>
      <c r="R301" s="1495"/>
      <c r="S301" s="1496"/>
      <c r="T301" s="1497"/>
      <c r="U301" s="1494"/>
      <c r="V301" s="1554"/>
      <c r="W301" s="1498"/>
      <c r="X301" s="102"/>
      <c r="Y301" s="102"/>
    </row>
    <row r="302" spans="1:25" s="100" customFormat="1">
      <c r="A302" s="3145">
        <f>+A299-0.01</f>
        <v>-9.4999999999999893</v>
      </c>
      <c r="B302" s="3146" t="s">
        <v>1107</v>
      </c>
      <c r="C302" s="3146"/>
      <c r="D302" s="3146"/>
      <c r="E302" s="3146"/>
      <c r="F302" s="3146"/>
      <c r="G302" s="3147"/>
      <c r="H302" s="1492"/>
      <c r="I302" s="531"/>
      <c r="J302" s="531"/>
      <c r="K302" s="531"/>
      <c r="L302" s="531"/>
      <c r="M302" s="531"/>
      <c r="N302" s="531"/>
      <c r="O302" s="531"/>
      <c r="P302" s="531"/>
      <c r="Q302" s="531"/>
      <c r="R302" s="531"/>
      <c r="S302" s="520"/>
      <c r="T302" s="530"/>
      <c r="U302" s="531"/>
      <c r="V302" s="551"/>
      <c r="W302" s="526"/>
      <c r="X302" s="102"/>
      <c r="Y302" s="102"/>
    </row>
    <row r="303" spans="1:25" s="100" customFormat="1">
      <c r="A303" s="3145"/>
      <c r="B303" s="3146"/>
      <c r="C303" s="3146"/>
      <c r="D303" s="3146"/>
      <c r="E303" s="3146"/>
      <c r="F303" s="3146"/>
      <c r="G303" s="3147"/>
      <c r="H303" s="1493"/>
      <c r="I303" s="516" t="s">
        <v>1108</v>
      </c>
      <c r="J303" s="516"/>
      <c r="K303" s="516"/>
      <c r="L303" s="516"/>
      <c r="M303" s="516"/>
      <c r="N303" s="516"/>
      <c r="O303" s="516"/>
      <c r="P303" s="516"/>
      <c r="Q303" s="516"/>
      <c r="R303" s="516"/>
      <c r="S303" s="1489">
        <v>1</v>
      </c>
      <c r="T303" s="532"/>
      <c r="U303" s="516"/>
      <c r="V303" s="1546"/>
      <c r="W303" s="527"/>
      <c r="X303" s="102"/>
      <c r="Y303" s="102"/>
    </row>
    <row r="304" spans="1:25" s="100" customFormat="1">
      <c r="A304" s="3145"/>
      <c r="B304" s="3146"/>
      <c r="C304" s="3146"/>
      <c r="D304" s="3146"/>
      <c r="E304" s="3146"/>
      <c r="F304" s="3146"/>
      <c r="G304" s="3147"/>
      <c r="H304" s="1493"/>
      <c r="I304" s="1490" t="s">
        <v>1109</v>
      </c>
      <c r="J304" s="516"/>
      <c r="K304" s="516"/>
      <c r="L304" s="516"/>
      <c r="M304" s="516"/>
      <c r="N304" s="516"/>
      <c r="O304" s="516"/>
      <c r="P304" s="516"/>
      <c r="Q304" s="516"/>
      <c r="R304" s="516"/>
      <c r="S304" s="1489">
        <v>2</v>
      </c>
      <c r="T304" s="532"/>
      <c r="U304" s="516"/>
      <c r="V304" s="1546"/>
      <c r="W304" s="527"/>
      <c r="X304" s="102"/>
      <c r="Y304" s="102"/>
    </row>
    <row r="305" spans="1:25" s="100" customFormat="1">
      <c r="A305" s="3145"/>
      <c r="B305" s="3146"/>
      <c r="C305" s="3146"/>
      <c r="D305" s="3146"/>
      <c r="E305" s="3146"/>
      <c r="F305" s="3146"/>
      <c r="G305" s="3147"/>
      <c r="H305" s="1493"/>
      <c r="I305" s="541" t="s">
        <v>1110</v>
      </c>
      <c r="J305" s="516"/>
      <c r="K305" s="516"/>
      <c r="L305" s="516"/>
      <c r="M305" s="516"/>
      <c r="N305" s="516"/>
      <c r="O305" s="516"/>
      <c r="P305" s="516"/>
      <c r="Q305" s="516"/>
      <c r="R305" s="516"/>
      <c r="S305" s="1489"/>
      <c r="T305" s="532"/>
      <c r="U305" s="516"/>
      <c r="V305" s="1546"/>
      <c r="W305" s="527"/>
      <c r="X305" s="102"/>
      <c r="Y305" s="102"/>
    </row>
    <row r="306" spans="1:25" s="100" customFormat="1">
      <c r="A306" s="3145"/>
      <c r="B306" s="3146"/>
      <c r="C306" s="3146"/>
      <c r="D306" s="3146"/>
      <c r="E306" s="3146"/>
      <c r="F306" s="3146"/>
      <c r="G306" s="3147"/>
      <c r="H306" s="1493"/>
      <c r="I306" s="1658" t="s">
        <v>1111</v>
      </c>
      <c r="J306" s="516"/>
      <c r="K306" s="516"/>
      <c r="L306" s="516"/>
      <c r="M306" s="516"/>
      <c r="N306" s="516"/>
      <c r="O306" s="516"/>
      <c r="P306" s="516"/>
      <c r="Q306" s="516"/>
      <c r="R306" s="516"/>
      <c r="S306" s="1489">
        <v>3</v>
      </c>
      <c r="T306" s="532"/>
      <c r="U306" s="516"/>
      <c r="V306" s="1546"/>
      <c r="W306" s="527"/>
      <c r="X306" s="102"/>
      <c r="Y306" s="102"/>
    </row>
    <row r="307" spans="1:25" s="100" customFormat="1">
      <c r="A307" s="3145"/>
      <c r="B307" s="3146"/>
      <c r="C307" s="3146"/>
      <c r="D307" s="3146"/>
      <c r="E307" s="3146"/>
      <c r="F307" s="3146"/>
      <c r="G307" s="3147"/>
      <c r="H307" s="1493"/>
      <c r="I307" s="1658" t="s">
        <v>1112</v>
      </c>
      <c r="J307" s="516"/>
      <c r="K307" s="516"/>
      <c r="L307" s="516"/>
      <c r="M307" s="516"/>
      <c r="N307" s="516"/>
      <c r="O307" s="516"/>
      <c r="P307" s="516"/>
      <c r="Q307" s="516"/>
      <c r="R307" s="516"/>
      <c r="S307" s="1489">
        <v>4</v>
      </c>
      <c r="T307" s="532"/>
      <c r="U307" s="516"/>
      <c r="V307" s="1546"/>
      <c r="W307" s="527"/>
      <c r="X307" s="102"/>
      <c r="Y307" s="102"/>
    </row>
    <row r="308" spans="1:25" s="100" customFormat="1">
      <c r="A308" s="3145"/>
      <c r="B308" s="3146"/>
      <c r="C308" s="3146"/>
      <c r="D308" s="3146"/>
      <c r="E308" s="3146"/>
      <c r="F308" s="3146"/>
      <c r="G308" s="3147"/>
      <c r="H308" s="1493"/>
      <c r="I308" s="516"/>
      <c r="J308" s="516"/>
      <c r="K308" s="516"/>
      <c r="L308" s="516"/>
      <c r="M308" s="516"/>
      <c r="N308" s="516"/>
      <c r="O308" s="516"/>
      <c r="P308" s="516"/>
      <c r="Q308" s="516"/>
      <c r="R308" s="516"/>
      <c r="S308" s="1489"/>
      <c r="T308" s="532"/>
      <c r="U308" s="516"/>
      <c r="V308" s="1546"/>
      <c r="W308" s="527"/>
    </row>
    <row r="309" spans="1:25" s="100" customFormat="1">
      <c r="A309" s="3145"/>
      <c r="B309" s="3146"/>
      <c r="C309" s="3146"/>
      <c r="D309" s="3146"/>
      <c r="E309" s="3146"/>
      <c r="F309" s="3146"/>
      <c r="G309" s="3147"/>
      <c r="H309" s="1242"/>
      <c r="I309" s="1660" t="s">
        <v>1113</v>
      </c>
      <c r="J309" s="1660"/>
      <c r="K309" s="1660"/>
      <c r="L309" s="1660"/>
      <c r="M309" s="1660"/>
      <c r="N309" s="1660"/>
      <c r="O309" s="1660"/>
      <c r="P309" s="1660"/>
      <c r="Q309" s="1660"/>
      <c r="R309" s="1660"/>
      <c r="S309" s="1489">
        <v>5</v>
      </c>
      <c r="T309" s="532"/>
      <c r="U309" s="516"/>
      <c r="V309" s="1546"/>
      <c r="W309" s="527"/>
    </row>
    <row r="310" spans="1:25" s="100" customFormat="1">
      <c r="A310" s="3145"/>
      <c r="B310" s="3146"/>
      <c r="C310" s="3146"/>
      <c r="D310" s="3146"/>
      <c r="E310" s="3146"/>
      <c r="F310" s="3146"/>
      <c r="G310" s="3147"/>
      <c r="H310" s="1493"/>
      <c r="I310" s="516" t="s">
        <v>1114</v>
      </c>
      <c r="J310" s="516"/>
      <c r="K310" s="516"/>
      <c r="L310" s="516"/>
      <c r="M310" s="516"/>
      <c r="N310" s="516"/>
      <c r="O310" s="516"/>
      <c r="P310" s="516"/>
      <c r="Q310" s="516"/>
      <c r="R310" s="516"/>
      <c r="S310" s="1489">
        <v>6</v>
      </c>
      <c r="T310" s="532"/>
      <c r="U310" s="516"/>
      <c r="V310" s="1546"/>
      <c r="W310" s="527"/>
      <c r="X310" s="102"/>
      <c r="Y310" s="102"/>
    </row>
    <row r="311" spans="1:25" s="100" customFormat="1">
      <c r="A311" s="3145"/>
      <c r="B311" s="3146"/>
      <c r="C311" s="3146"/>
      <c r="D311" s="3146"/>
      <c r="E311" s="3146"/>
      <c r="F311" s="3146"/>
      <c r="G311" s="3147"/>
      <c r="H311" s="1493"/>
      <c r="I311" s="516"/>
      <c r="J311" s="516"/>
      <c r="K311" s="516"/>
      <c r="L311" s="516"/>
      <c r="M311" s="516"/>
      <c r="N311" s="516"/>
      <c r="O311" s="516"/>
      <c r="P311" s="516"/>
      <c r="Q311" s="516"/>
      <c r="R311" s="516"/>
      <c r="S311" s="1489"/>
      <c r="T311" s="532"/>
      <c r="U311" s="516"/>
      <c r="V311" s="1546"/>
      <c r="W311" s="527"/>
      <c r="X311" s="102"/>
      <c r="Y311" s="102"/>
    </row>
    <row r="312" spans="1:25" s="100" customFormat="1">
      <c r="A312" s="3145"/>
      <c r="B312" s="3146"/>
      <c r="C312" s="3146"/>
      <c r="D312" s="3146"/>
      <c r="E312" s="3146"/>
      <c r="F312" s="3146"/>
      <c r="G312" s="3147"/>
      <c r="H312" s="1493"/>
      <c r="I312" s="1490" t="s">
        <v>1115</v>
      </c>
      <c r="J312" s="516"/>
      <c r="K312" s="516"/>
      <c r="L312" s="516"/>
      <c r="M312" s="516"/>
      <c r="N312" s="516"/>
      <c r="O312" s="516"/>
      <c r="P312" s="516"/>
      <c r="Q312" s="516"/>
      <c r="R312" s="516"/>
      <c r="S312" s="1489">
        <v>7</v>
      </c>
      <c r="T312" s="532"/>
      <c r="U312" s="516"/>
      <c r="V312" s="1546"/>
      <c r="W312" s="527"/>
      <c r="X312" s="102"/>
      <c r="Y312" s="102"/>
    </row>
    <row r="313" spans="1:25" s="100" customFormat="1">
      <c r="A313" s="3145"/>
      <c r="B313" s="3146"/>
      <c r="C313" s="3146"/>
      <c r="D313" s="3146"/>
      <c r="E313" s="3146"/>
      <c r="F313" s="3146"/>
      <c r="G313" s="3147"/>
      <c r="H313" s="1493"/>
      <c r="I313" s="1490" t="s">
        <v>1116</v>
      </c>
      <c r="J313" s="516"/>
      <c r="K313" s="516"/>
      <c r="L313" s="516"/>
      <c r="M313" s="516"/>
      <c r="N313" s="516"/>
      <c r="O313" s="516"/>
      <c r="P313" s="516"/>
      <c r="Q313" s="516"/>
      <c r="R313" s="516"/>
      <c r="S313" s="1489">
        <v>8</v>
      </c>
      <c r="T313" s="532"/>
      <c r="U313" s="516"/>
      <c r="V313" s="1546"/>
      <c r="W313" s="527"/>
      <c r="X313" s="102"/>
      <c r="Y313" s="102"/>
    </row>
    <row r="314" spans="1:25" s="100" customFormat="1">
      <c r="A314" s="3145"/>
      <c r="B314" s="3146"/>
      <c r="C314" s="3146"/>
      <c r="D314" s="3146"/>
      <c r="E314" s="3146"/>
      <c r="F314" s="3146"/>
      <c r="G314" s="3147"/>
      <c r="H314" s="1493"/>
      <c r="I314" s="516"/>
      <c r="J314" s="516"/>
      <c r="K314" s="516"/>
      <c r="L314" s="516"/>
      <c r="M314" s="516"/>
      <c r="N314" s="516"/>
      <c r="O314" s="516"/>
      <c r="P314" s="516"/>
      <c r="Q314" s="516"/>
      <c r="R314" s="516"/>
      <c r="S314" s="1489"/>
      <c r="T314" s="532"/>
      <c r="U314" s="516"/>
      <c r="V314" s="1546"/>
      <c r="W314" s="527"/>
      <c r="X314" s="102"/>
      <c r="Y314" s="102"/>
    </row>
    <row r="315" spans="1:25" s="100" customFormat="1">
      <c r="A315" s="3145"/>
      <c r="B315" s="3146"/>
      <c r="C315" s="3146"/>
      <c r="D315" s="3146"/>
      <c r="E315" s="3146"/>
      <c r="F315" s="3146"/>
      <c r="G315" s="3147"/>
      <c r="H315" s="1493"/>
      <c r="I315" s="516" t="s">
        <v>1117</v>
      </c>
      <c r="J315" s="516"/>
      <c r="K315" s="516"/>
      <c r="L315" s="516"/>
      <c r="M315" s="516"/>
      <c r="N315" s="516"/>
      <c r="O315" s="516"/>
      <c r="P315" s="516"/>
      <c r="Q315" s="516"/>
      <c r="R315" s="516"/>
      <c r="S315" s="1489">
        <v>9</v>
      </c>
      <c r="T315" s="532"/>
      <c r="U315" s="516"/>
      <c r="V315" s="1546"/>
      <c r="W315" s="527"/>
      <c r="X315" s="102"/>
      <c r="Y315" s="102"/>
    </row>
    <row r="316" spans="1:25">
      <c r="A316" s="3145"/>
      <c r="B316" s="3146"/>
      <c r="C316" s="3146"/>
      <c r="D316" s="3146"/>
      <c r="E316" s="3146"/>
      <c r="F316" s="3146"/>
      <c r="G316" s="3147"/>
      <c r="H316" s="1493"/>
      <c r="T316" s="532"/>
      <c r="W316" s="527"/>
      <c r="X316" s="102"/>
      <c r="Y316" s="102"/>
    </row>
    <row r="317" spans="1:25">
      <c r="A317" s="3145"/>
      <c r="B317" s="3146"/>
      <c r="C317" s="3146"/>
      <c r="D317" s="3146"/>
      <c r="E317" s="3146"/>
      <c r="F317" s="3146"/>
      <c r="G317" s="3147"/>
      <c r="H317" s="1493"/>
      <c r="I317" s="516" t="s">
        <v>935</v>
      </c>
      <c r="P317" s="1487"/>
      <c r="Q317" s="1487"/>
      <c r="S317" s="1489">
        <v>10</v>
      </c>
      <c r="T317" s="532"/>
      <c r="W317" s="527"/>
      <c r="X317" s="102"/>
      <c r="Y317" s="102"/>
    </row>
    <row r="318" spans="1:25">
      <c r="A318" s="3145"/>
      <c r="B318" s="3146"/>
      <c r="C318" s="3146"/>
      <c r="D318" s="3146"/>
      <c r="E318" s="3146"/>
      <c r="F318" s="3146"/>
      <c r="G318" s="3147"/>
      <c r="H318" s="1504"/>
      <c r="I318" s="528"/>
      <c r="J318" s="528"/>
      <c r="K318" s="528"/>
      <c r="L318" s="528"/>
      <c r="M318" s="528"/>
      <c r="N318" s="528"/>
      <c r="O318" s="528"/>
      <c r="P318" s="528"/>
      <c r="Q318" s="528"/>
      <c r="R318" s="528"/>
      <c r="S318" s="518"/>
      <c r="T318" s="519"/>
      <c r="U318" s="528"/>
      <c r="V318" s="550"/>
      <c r="W318" s="529"/>
      <c r="X318" s="102"/>
      <c r="Y318" s="102"/>
    </row>
    <row r="319" spans="1:25">
      <c r="A319" s="3061">
        <f>+A302-0.01</f>
        <v>-9.5099999999999891</v>
      </c>
      <c r="B319" s="3062" t="s">
        <v>1118</v>
      </c>
      <c r="C319" s="3002"/>
      <c r="D319" s="3002"/>
      <c r="E319" s="3002"/>
      <c r="F319" s="3002"/>
      <c r="G319" s="3063"/>
      <c r="H319" s="543"/>
      <c r="I319" s="531"/>
      <c r="J319" s="531"/>
      <c r="K319" s="531"/>
      <c r="L319" s="531"/>
      <c r="M319" s="531"/>
      <c r="N319" s="531"/>
      <c r="O319" s="531"/>
      <c r="P319" s="531"/>
      <c r="Q319" s="531"/>
      <c r="R319" s="531"/>
      <c r="S319" s="520"/>
      <c r="T319" s="530"/>
      <c r="U319" s="531"/>
      <c r="V319" s="551"/>
      <c r="W319" s="526"/>
      <c r="X319" s="102"/>
      <c r="Y319" s="102"/>
    </row>
    <row r="320" spans="1:25">
      <c r="A320" s="3035"/>
      <c r="B320" s="3064"/>
      <c r="C320" s="2357"/>
      <c r="D320" s="2357"/>
      <c r="E320" s="2357"/>
      <c r="F320" s="2357"/>
      <c r="G320" s="3065"/>
      <c r="H320" s="540"/>
      <c r="I320" s="516" t="s">
        <v>1119</v>
      </c>
      <c r="S320" s="1489">
        <v>1</v>
      </c>
      <c r="T320" s="532"/>
      <c r="W320" s="527"/>
      <c r="X320" s="102"/>
      <c r="Y320" s="102"/>
    </row>
    <row r="321" spans="1:25">
      <c r="A321" s="3035"/>
      <c r="B321" s="3064"/>
      <c r="C321" s="2357"/>
      <c r="D321" s="2357"/>
      <c r="E321" s="2357"/>
      <c r="F321" s="2357"/>
      <c r="G321" s="3065"/>
      <c r="H321" s="540"/>
      <c r="I321" s="516" t="s">
        <v>1120</v>
      </c>
      <c r="S321" s="1489">
        <v>2</v>
      </c>
      <c r="T321" s="532"/>
      <c r="W321" s="527"/>
      <c r="X321" s="102"/>
      <c r="Y321" s="102"/>
    </row>
    <row r="322" spans="1:25">
      <c r="A322" s="3068"/>
      <c r="B322" s="3066"/>
      <c r="C322" s="3004"/>
      <c r="D322" s="3004"/>
      <c r="E322" s="3004"/>
      <c r="F322" s="3004"/>
      <c r="G322" s="3067"/>
      <c r="H322" s="542"/>
      <c r="I322" s="528"/>
      <c r="J322" s="528"/>
      <c r="K322" s="528"/>
      <c r="L322" s="528"/>
      <c r="M322" s="528"/>
      <c r="N322" s="528"/>
      <c r="O322" s="528"/>
      <c r="P322" s="528"/>
      <c r="Q322" s="528"/>
      <c r="R322" s="528"/>
      <c r="S322" s="518"/>
      <c r="T322" s="519"/>
      <c r="U322" s="528"/>
      <c r="V322" s="550"/>
      <c r="W322" s="529"/>
      <c r="X322" s="102"/>
      <c r="Y322" s="102"/>
    </row>
    <row r="323" spans="1:25">
      <c r="A323" s="3001">
        <f>A319-0.01</f>
        <v>-9.5199999999999889</v>
      </c>
      <c r="B323" s="2355" t="s">
        <v>1121</v>
      </c>
      <c r="C323" s="3002"/>
      <c r="D323" s="3002"/>
      <c r="E323" s="3002"/>
      <c r="F323" s="3002"/>
      <c r="G323" s="2356"/>
      <c r="H323" s="1492"/>
      <c r="I323" s="531"/>
      <c r="J323" s="531"/>
      <c r="K323" s="531"/>
      <c r="L323" s="531"/>
      <c r="M323" s="531"/>
      <c r="N323" s="531"/>
      <c r="O323" s="531"/>
      <c r="P323" s="531"/>
      <c r="Q323" s="531"/>
      <c r="R323" s="531"/>
      <c r="S323" s="520"/>
      <c r="T323" s="530"/>
      <c r="U323" s="531"/>
      <c r="V323" s="551"/>
      <c r="W323" s="526"/>
      <c r="X323" s="102"/>
      <c r="Y323" s="102"/>
    </row>
    <row r="324" spans="1:25">
      <c r="A324" s="2993"/>
      <c r="B324" s="2345"/>
      <c r="C324" s="2357"/>
      <c r="D324" s="2357"/>
      <c r="E324" s="2357"/>
      <c r="F324" s="2357"/>
      <c r="G324" s="2346"/>
      <c r="H324" s="1493"/>
      <c r="I324" s="516" t="s">
        <v>1094</v>
      </c>
      <c r="S324" s="1489">
        <v>1</v>
      </c>
      <c r="T324" s="532"/>
      <c r="W324" s="527"/>
      <c r="X324" s="102"/>
      <c r="Y324" s="102"/>
    </row>
    <row r="325" spans="1:25">
      <c r="A325" s="2993"/>
      <c r="B325" s="2345"/>
      <c r="C325" s="2357"/>
      <c r="D325" s="2357"/>
      <c r="E325" s="2357"/>
      <c r="F325" s="2357"/>
      <c r="G325" s="2346"/>
      <c r="H325" s="1493"/>
      <c r="I325" s="516" t="s">
        <v>1095</v>
      </c>
      <c r="S325" s="1489">
        <v>2</v>
      </c>
      <c r="T325" s="532"/>
      <c r="W325" s="527"/>
      <c r="X325" s="102"/>
      <c r="Y325" s="102"/>
    </row>
    <row r="326" spans="1:25">
      <c r="A326" s="2993"/>
      <c r="B326" s="2345"/>
      <c r="C326" s="2357"/>
      <c r="D326" s="2357"/>
      <c r="E326" s="2357"/>
      <c r="F326" s="2357"/>
      <c r="G326" s="2346"/>
      <c r="H326" s="1493"/>
      <c r="I326" s="516" t="s">
        <v>1096</v>
      </c>
      <c r="S326" s="1489">
        <v>3</v>
      </c>
      <c r="T326" s="532"/>
      <c r="W326" s="527"/>
      <c r="X326" s="102"/>
      <c r="Y326" s="102"/>
    </row>
    <row r="327" spans="1:25">
      <c r="A327" s="2994"/>
      <c r="B327" s="3003"/>
      <c r="C327" s="3004"/>
      <c r="D327" s="3004"/>
      <c r="E327" s="3004"/>
      <c r="F327" s="3004"/>
      <c r="G327" s="3005"/>
      <c r="H327" s="1504"/>
      <c r="I327" s="528"/>
      <c r="J327" s="528"/>
      <c r="K327" s="528"/>
      <c r="L327" s="528"/>
      <c r="M327" s="528"/>
      <c r="N327" s="528"/>
      <c r="O327" s="528"/>
      <c r="P327" s="528"/>
      <c r="Q327" s="528"/>
      <c r="R327" s="528"/>
      <c r="S327" s="518"/>
      <c r="T327" s="519"/>
      <c r="U327" s="528"/>
      <c r="V327" s="550"/>
      <c r="W327" s="529"/>
      <c r="X327" s="102"/>
      <c r="Y327" s="102"/>
    </row>
    <row r="328" spans="1:25">
      <c r="A328" s="3145">
        <f>+A323-0.01</f>
        <v>-9.5299999999999887</v>
      </c>
      <c r="B328" s="3146" t="s">
        <v>1122</v>
      </c>
      <c r="C328" s="3146"/>
      <c r="D328" s="3146"/>
      <c r="E328" s="3146"/>
      <c r="F328" s="3146"/>
      <c r="G328" s="3147"/>
      <c r="H328" s="1492"/>
      <c r="I328" s="531"/>
      <c r="J328" s="531"/>
      <c r="K328" s="531"/>
      <c r="L328" s="531"/>
      <c r="M328" s="531"/>
      <c r="N328" s="531"/>
      <c r="O328" s="531"/>
      <c r="P328" s="531"/>
      <c r="Q328" s="531"/>
      <c r="R328" s="531"/>
      <c r="S328" s="520"/>
      <c r="T328" s="530"/>
      <c r="U328" s="531"/>
      <c r="V328" s="551"/>
      <c r="W328" s="526"/>
      <c r="X328" s="102"/>
      <c r="Y328" s="102"/>
    </row>
    <row r="329" spans="1:25">
      <c r="A329" s="3145"/>
      <c r="B329" s="3146"/>
      <c r="C329" s="3146"/>
      <c r="D329" s="3146"/>
      <c r="E329" s="3146"/>
      <c r="F329" s="3146"/>
      <c r="G329" s="3147"/>
      <c r="H329" s="1493"/>
      <c r="I329" s="516" t="s">
        <v>1123</v>
      </c>
      <c r="S329" s="1489">
        <v>1</v>
      </c>
      <c r="T329" s="532"/>
      <c r="W329" s="527"/>
      <c r="X329" s="102"/>
      <c r="Y329" s="102"/>
    </row>
    <row r="330" spans="1:25">
      <c r="A330" s="3145"/>
      <c r="B330" s="3146"/>
      <c r="C330" s="3146"/>
      <c r="D330" s="3146"/>
      <c r="E330" s="3146"/>
      <c r="F330" s="3146"/>
      <c r="G330" s="3147"/>
      <c r="H330" s="1493"/>
      <c r="I330" s="516" t="s">
        <v>1124</v>
      </c>
      <c r="S330" s="1489">
        <v>2</v>
      </c>
      <c r="T330" s="532"/>
      <c r="W330" s="527"/>
      <c r="X330" s="102"/>
      <c r="Y330" s="102"/>
    </row>
    <row r="331" spans="1:25">
      <c r="A331" s="3145"/>
      <c r="B331" s="3146"/>
      <c r="C331" s="3146"/>
      <c r="D331" s="3146"/>
      <c r="E331" s="3146"/>
      <c r="F331" s="3146"/>
      <c r="G331" s="3147"/>
      <c r="H331" s="1493"/>
      <c r="I331" s="516" t="s">
        <v>1125</v>
      </c>
      <c r="S331" s="1489">
        <v>3</v>
      </c>
      <c r="T331" s="532"/>
      <c r="W331" s="527"/>
      <c r="X331" s="102"/>
      <c r="Y331" s="102"/>
    </row>
    <row r="332" spans="1:25">
      <c r="A332" s="3145"/>
      <c r="B332" s="3146"/>
      <c r="C332" s="3146"/>
      <c r="D332" s="3146"/>
      <c r="E332" s="3146"/>
      <c r="F332" s="3146"/>
      <c r="G332" s="3147"/>
      <c r="H332" s="1493"/>
      <c r="I332" s="516" t="s">
        <v>1126</v>
      </c>
      <c r="S332" s="1489">
        <v>4</v>
      </c>
      <c r="T332" s="532"/>
      <c r="W332" s="527"/>
      <c r="X332" s="102"/>
      <c r="Y332" s="102"/>
    </row>
    <row r="333" spans="1:25">
      <c r="A333" s="3145"/>
      <c r="B333" s="3146"/>
      <c r="C333" s="3146"/>
      <c r="D333" s="3146"/>
      <c r="E333" s="3146"/>
      <c r="F333" s="3146"/>
      <c r="G333" s="3147"/>
      <c r="H333" s="1493"/>
      <c r="I333" s="516" t="s">
        <v>935</v>
      </c>
      <c r="P333" s="1487"/>
      <c r="Q333" s="1487"/>
      <c r="S333" s="1489">
        <v>5</v>
      </c>
      <c r="T333" s="532"/>
      <c r="W333" s="527"/>
      <c r="X333" s="102"/>
      <c r="Y333" s="102"/>
    </row>
    <row r="334" spans="1:25">
      <c r="A334" s="3145"/>
      <c r="B334" s="3146"/>
      <c r="C334" s="3146"/>
      <c r="D334" s="3146"/>
      <c r="E334" s="3146"/>
      <c r="F334" s="3146"/>
      <c r="G334" s="3147"/>
      <c r="H334" s="1504"/>
      <c r="I334" s="528"/>
      <c r="J334" s="528"/>
      <c r="K334" s="528"/>
      <c r="L334" s="528"/>
      <c r="M334" s="528"/>
      <c r="N334" s="528"/>
      <c r="O334" s="528"/>
      <c r="P334" s="528"/>
      <c r="Q334" s="528"/>
      <c r="R334" s="528"/>
      <c r="S334" s="518"/>
      <c r="T334" s="519"/>
      <c r="U334" s="528"/>
      <c r="V334" s="550"/>
      <c r="W334" s="529"/>
      <c r="X334" s="102"/>
      <c r="Y334" s="102"/>
    </row>
    <row r="335" spans="1:25">
      <c r="A335" s="3001">
        <f>+A328-0.01</f>
        <v>-9.5399999999999885</v>
      </c>
      <c r="B335" s="3146" t="s">
        <v>1127</v>
      </c>
      <c r="C335" s="3146"/>
      <c r="D335" s="3146"/>
      <c r="E335" s="3146"/>
      <c r="F335" s="3146"/>
      <c r="G335" s="3147"/>
      <c r="H335" s="1492"/>
      <c r="I335" s="531"/>
      <c r="J335" s="531"/>
      <c r="K335" s="531"/>
      <c r="L335" s="531"/>
      <c r="M335" s="531"/>
      <c r="N335" s="531"/>
      <c r="O335" s="531"/>
      <c r="P335" s="531"/>
      <c r="Q335" s="531"/>
      <c r="R335" s="531"/>
      <c r="S335" s="520"/>
      <c r="T335" s="530"/>
      <c r="U335" s="531"/>
      <c r="V335" s="551"/>
      <c r="W335" s="526"/>
      <c r="X335" s="102"/>
      <c r="Y335" s="102"/>
    </row>
    <row r="336" spans="1:25">
      <c r="A336" s="2993"/>
      <c r="B336" s="3146"/>
      <c r="C336" s="3146"/>
      <c r="D336" s="3146"/>
      <c r="E336" s="3146"/>
      <c r="F336" s="3146"/>
      <c r="G336" s="3147"/>
      <c r="H336" s="1493"/>
      <c r="I336" s="516" t="s">
        <v>1128</v>
      </c>
      <c r="S336" s="1489">
        <v>1</v>
      </c>
      <c r="T336" s="532"/>
      <c r="W336" s="527"/>
      <c r="X336" s="102"/>
      <c r="Y336" s="102"/>
    </row>
    <row r="337" spans="1:25">
      <c r="A337" s="2993"/>
      <c r="B337" s="3146"/>
      <c r="C337" s="3146"/>
      <c r="D337" s="3146"/>
      <c r="E337" s="3146"/>
      <c r="F337" s="3146"/>
      <c r="G337" s="3147"/>
      <c r="H337" s="1493"/>
      <c r="I337" s="516" t="s">
        <v>1129</v>
      </c>
      <c r="S337" s="1489">
        <v>2</v>
      </c>
      <c r="T337" s="532"/>
      <c r="W337" s="527"/>
      <c r="X337" s="102"/>
      <c r="Y337" s="102"/>
    </row>
    <row r="338" spans="1:25">
      <c r="A338" s="2993"/>
      <c r="B338" s="3146"/>
      <c r="C338" s="3146"/>
      <c r="D338" s="3146"/>
      <c r="E338" s="3146"/>
      <c r="F338" s="3146"/>
      <c r="G338" s="3147"/>
      <c r="H338" s="1493"/>
      <c r="I338" s="516" t="s">
        <v>1130</v>
      </c>
      <c r="S338" s="1489">
        <v>3</v>
      </c>
      <c r="T338" s="532"/>
      <c r="W338" s="527"/>
      <c r="X338" s="102"/>
      <c r="Y338" s="102"/>
    </row>
    <row r="339" spans="1:25">
      <c r="A339" s="2993"/>
      <c r="B339" s="3177"/>
      <c r="C339" s="3177"/>
      <c r="D339" s="3177"/>
      <c r="E339" s="3177"/>
      <c r="F339" s="3177"/>
      <c r="G339" s="3178"/>
      <c r="H339" s="1493"/>
      <c r="I339" s="516" t="s">
        <v>935</v>
      </c>
      <c r="S339" s="1489">
        <v>4</v>
      </c>
      <c r="T339" s="532"/>
      <c r="W339" s="527"/>
      <c r="X339" s="102"/>
      <c r="Y339" s="102"/>
    </row>
    <row r="340" spans="1:25">
      <c r="A340" s="2994"/>
      <c r="B340" s="3179"/>
      <c r="C340" s="3180"/>
      <c r="D340" s="3180"/>
      <c r="E340" s="3180"/>
      <c r="F340" s="3180"/>
      <c r="G340" s="3181"/>
      <c r="H340" s="528"/>
      <c r="I340" s="528"/>
      <c r="J340" s="528"/>
      <c r="K340" s="528"/>
      <c r="L340" s="528"/>
      <c r="M340" s="528"/>
      <c r="N340" s="528"/>
      <c r="O340" s="528"/>
      <c r="P340" s="528"/>
      <c r="Q340" s="528"/>
      <c r="R340" s="528"/>
      <c r="S340" s="518"/>
      <c r="T340" s="519"/>
      <c r="U340" s="528"/>
      <c r="V340" s="550"/>
      <c r="W340" s="529"/>
      <c r="X340" s="102"/>
      <c r="Y340" s="102"/>
    </row>
    <row r="341" spans="1:25">
      <c r="A341" s="3182">
        <f>+A335-0.01</f>
        <v>-9.5499999999999883</v>
      </c>
      <c r="B341" s="3151" t="s">
        <v>1131</v>
      </c>
      <c r="C341" s="3152"/>
      <c r="D341" s="3152"/>
      <c r="E341" s="3152"/>
      <c r="F341" s="3152"/>
      <c r="G341" s="3153"/>
      <c r="H341" s="1525"/>
      <c r="I341" s="1525"/>
      <c r="J341" s="1525"/>
      <c r="K341" s="1525"/>
      <c r="L341" s="1525"/>
      <c r="M341" s="1525"/>
      <c r="N341" s="1525"/>
      <c r="O341" s="1525"/>
      <c r="P341" s="1525"/>
      <c r="Q341" s="1525"/>
      <c r="R341" s="1525"/>
      <c r="S341" s="1526"/>
      <c r="T341" s="1527"/>
      <c r="U341" s="1525"/>
      <c r="V341" s="1559"/>
      <c r="W341" s="1528"/>
      <c r="X341" s="102"/>
      <c r="Y341" s="102"/>
    </row>
    <row r="342" spans="1:25">
      <c r="A342" s="3183"/>
      <c r="B342" s="3154"/>
      <c r="C342" s="3155"/>
      <c r="D342" s="3155"/>
      <c r="E342" s="3155"/>
      <c r="F342" s="3155"/>
      <c r="G342" s="3156"/>
      <c r="H342" s="1662"/>
      <c r="I342" s="1663" t="s">
        <v>1132</v>
      </c>
      <c r="J342" s="1662"/>
      <c r="K342" s="1662"/>
      <c r="L342" s="1662"/>
      <c r="M342" s="1662"/>
      <c r="N342" s="1662"/>
      <c r="O342" s="1662"/>
      <c r="P342" s="1662"/>
      <c r="Q342" s="1662"/>
      <c r="R342" s="1662"/>
      <c r="S342" s="1664"/>
      <c r="T342" s="1529"/>
      <c r="U342" s="1662"/>
      <c r="V342" s="1665"/>
      <c r="W342" s="1530"/>
      <c r="X342" s="102"/>
      <c r="Y342" s="102"/>
    </row>
    <row r="343" spans="1:25">
      <c r="A343" s="3183"/>
      <c r="B343" s="3154"/>
      <c r="C343" s="3155"/>
      <c r="D343" s="3155"/>
      <c r="E343" s="3155"/>
      <c r="F343" s="3155"/>
      <c r="G343" s="3156"/>
      <c r="H343" s="1662"/>
      <c r="I343" s="1662" t="s">
        <v>1133</v>
      </c>
      <c r="J343" s="1662"/>
      <c r="K343" s="1662"/>
      <c r="L343" s="1662"/>
      <c r="M343" s="1662"/>
      <c r="N343" s="1662"/>
      <c r="O343" s="1662"/>
      <c r="P343" s="1662"/>
      <c r="Q343" s="1662"/>
      <c r="R343" s="1662"/>
      <c r="S343" s="1664"/>
      <c r="T343" s="1529"/>
      <c r="U343" s="1662"/>
      <c r="V343" s="1665"/>
      <c r="W343" s="1530"/>
    </row>
    <row r="344" spans="1:25">
      <c r="A344" s="3183"/>
      <c r="B344" s="3154"/>
      <c r="C344" s="3155"/>
      <c r="D344" s="3155"/>
      <c r="E344" s="3155"/>
      <c r="F344" s="3155"/>
      <c r="G344" s="3156"/>
      <c r="H344" s="1662"/>
      <c r="I344" s="1666" t="s">
        <v>1134</v>
      </c>
      <c r="J344" s="1662"/>
      <c r="K344" s="1662"/>
      <c r="L344" s="1662"/>
      <c r="M344" s="1662"/>
      <c r="N344" s="1662"/>
      <c r="O344" s="1662"/>
      <c r="P344" s="1662"/>
      <c r="Q344" s="1662"/>
      <c r="R344" s="1662"/>
      <c r="S344" s="1664">
        <v>1</v>
      </c>
      <c r="T344" s="1529"/>
      <c r="U344" s="1662"/>
      <c r="V344" s="1665"/>
      <c r="W344" s="1530"/>
    </row>
    <row r="345" spans="1:25">
      <c r="A345" s="3183"/>
      <c r="B345" s="3154"/>
      <c r="C345" s="3155"/>
      <c r="D345" s="3155"/>
      <c r="E345" s="3155"/>
      <c r="F345" s="3155"/>
      <c r="G345" s="3156"/>
      <c r="H345" s="1662"/>
      <c r="I345" s="1666" t="s">
        <v>1135</v>
      </c>
      <c r="J345" s="1662"/>
      <c r="K345" s="1662"/>
      <c r="L345" s="1662"/>
      <c r="M345" s="1662"/>
      <c r="N345" s="1662"/>
      <c r="O345" s="1662"/>
      <c r="P345" s="1662"/>
      <c r="Q345" s="1662"/>
      <c r="R345" s="1662"/>
      <c r="S345" s="1664">
        <v>2</v>
      </c>
      <c r="T345" s="1529"/>
      <c r="U345" s="1662"/>
      <c r="V345" s="1665"/>
      <c r="W345" s="1530"/>
    </row>
    <row r="346" spans="1:25">
      <c r="A346" s="3183"/>
      <c r="B346" s="3154"/>
      <c r="C346" s="3155"/>
      <c r="D346" s="3155"/>
      <c r="E346" s="3155"/>
      <c r="F346" s="3155"/>
      <c r="G346" s="3156"/>
      <c r="H346" s="1662"/>
      <c r="I346" s="2983" t="s">
        <v>1136</v>
      </c>
      <c r="J346" s="2983"/>
      <c r="K346" s="2983"/>
      <c r="L346" s="2983"/>
      <c r="M346" s="2983"/>
      <c r="N346" s="2983"/>
      <c r="O346" s="2983"/>
      <c r="P346" s="2983"/>
      <c r="Q346" s="2983"/>
      <c r="R346" s="2983"/>
      <c r="S346" s="2984">
        <v>3</v>
      </c>
      <c r="T346" s="1529"/>
      <c r="U346" s="1662"/>
      <c r="V346" s="1665"/>
      <c r="W346" s="1530"/>
    </row>
    <row r="347" spans="1:25">
      <c r="A347" s="3183"/>
      <c r="B347" s="3154"/>
      <c r="C347" s="3155"/>
      <c r="D347" s="3155"/>
      <c r="E347" s="3155"/>
      <c r="F347" s="3155"/>
      <c r="G347" s="3156"/>
      <c r="H347" s="1662"/>
      <c r="I347" s="2983"/>
      <c r="J347" s="2983"/>
      <c r="K347" s="2983"/>
      <c r="L347" s="2983"/>
      <c r="M347" s="2983"/>
      <c r="N347" s="2983"/>
      <c r="O347" s="2983"/>
      <c r="P347" s="2983"/>
      <c r="Q347" s="2983"/>
      <c r="R347" s="2983"/>
      <c r="S347" s="2984"/>
      <c r="T347" s="1529"/>
      <c r="U347" s="1662"/>
      <c r="V347" s="1665"/>
      <c r="W347" s="1530"/>
    </row>
    <row r="348" spans="1:25">
      <c r="A348" s="3183"/>
      <c r="B348" s="3154"/>
      <c r="C348" s="3155"/>
      <c r="D348" s="3155"/>
      <c r="E348" s="3155"/>
      <c r="F348" s="3155"/>
      <c r="G348" s="3156"/>
      <c r="H348" s="1662"/>
      <c r="I348" s="1663" t="s">
        <v>1137</v>
      </c>
      <c r="J348" s="1662"/>
      <c r="K348" s="1662"/>
      <c r="L348" s="1662"/>
      <c r="M348" s="1662"/>
      <c r="N348" s="1662"/>
      <c r="O348" s="1662"/>
      <c r="P348" s="1662"/>
      <c r="Q348" s="1662"/>
      <c r="R348" s="1662"/>
      <c r="S348" s="1664"/>
      <c r="T348" s="1529"/>
      <c r="U348" s="1662"/>
      <c r="V348" s="1665"/>
      <c r="W348" s="1530"/>
    </row>
    <row r="349" spans="1:25">
      <c r="A349" s="3183"/>
      <c r="B349" s="3154"/>
      <c r="C349" s="3155"/>
      <c r="D349" s="3155"/>
      <c r="E349" s="3155"/>
      <c r="F349" s="3155"/>
      <c r="G349" s="3156"/>
      <c r="H349" s="1662"/>
      <c r="I349" s="2985" t="s">
        <v>1138</v>
      </c>
      <c r="J349" s="2985"/>
      <c r="K349" s="2985"/>
      <c r="L349" s="2985"/>
      <c r="M349" s="2985"/>
      <c r="N349" s="2985"/>
      <c r="O349" s="2985"/>
      <c r="P349" s="2985"/>
      <c r="Q349" s="2985"/>
      <c r="R349" s="2985"/>
      <c r="S349" s="2984">
        <v>4</v>
      </c>
      <c r="T349" s="1529"/>
      <c r="U349" s="1662" t="s">
        <v>91</v>
      </c>
      <c r="V349" s="1667">
        <f>A362</f>
        <v>-9.5799999999999876</v>
      </c>
      <c r="W349" s="1530"/>
    </row>
    <row r="350" spans="1:25">
      <c r="A350" s="3183"/>
      <c r="B350" s="3154"/>
      <c r="C350" s="3155"/>
      <c r="D350" s="3155"/>
      <c r="E350" s="3155"/>
      <c r="F350" s="3155"/>
      <c r="G350" s="3156"/>
      <c r="H350" s="1662"/>
      <c r="I350" s="2985"/>
      <c r="J350" s="2985"/>
      <c r="K350" s="2985"/>
      <c r="L350" s="2985"/>
      <c r="M350" s="2985"/>
      <c r="N350" s="2985"/>
      <c r="O350" s="2985"/>
      <c r="P350" s="2985"/>
      <c r="Q350" s="2985"/>
      <c r="R350" s="2985"/>
      <c r="S350" s="2984"/>
      <c r="T350" s="1529"/>
      <c r="U350" s="1662"/>
      <c r="V350" s="1667"/>
      <c r="W350" s="1530"/>
    </row>
    <row r="351" spans="1:25">
      <c r="A351" s="3183"/>
      <c r="B351" s="3154"/>
      <c r="C351" s="3155"/>
      <c r="D351" s="3155"/>
      <c r="E351" s="3155"/>
      <c r="F351" s="3155"/>
      <c r="G351" s="3156"/>
      <c r="H351" s="1662"/>
      <c r="I351" s="1662" t="s">
        <v>1139</v>
      </c>
      <c r="J351" s="1662"/>
      <c r="K351" s="1662"/>
      <c r="L351" s="1662"/>
      <c r="M351" s="1662"/>
      <c r="N351" s="1662"/>
      <c r="O351" s="1662"/>
      <c r="P351" s="1662"/>
      <c r="Q351" s="1664"/>
      <c r="R351" s="1664"/>
      <c r="S351" s="1664">
        <v>5</v>
      </c>
      <c r="T351" s="1529"/>
      <c r="U351" s="1662" t="s">
        <v>91</v>
      </c>
      <c r="V351" s="1667">
        <f>A362</f>
        <v>-9.5799999999999876</v>
      </c>
      <c r="W351" s="1530"/>
    </row>
    <row r="352" spans="1:25">
      <c r="A352" s="3183"/>
      <c r="B352" s="3154"/>
      <c r="C352" s="3155"/>
      <c r="D352" s="3155"/>
      <c r="E352" s="3155"/>
      <c r="F352" s="3155"/>
      <c r="G352" s="3156"/>
      <c r="H352" s="1662"/>
      <c r="I352" s="1668" t="s">
        <v>935</v>
      </c>
      <c r="J352" s="1668"/>
      <c r="K352" s="1668"/>
      <c r="L352" s="1668"/>
      <c r="M352" s="1668"/>
      <c r="N352" s="1668"/>
      <c r="O352" s="1668"/>
      <c r="P352" s="1669"/>
      <c r="Q352" s="1669"/>
      <c r="R352" s="1668"/>
      <c r="S352" s="1664">
        <v>6</v>
      </c>
      <c r="T352" s="1529"/>
      <c r="U352" s="1662" t="s">
        <v>91</v>
      </c>
      <c r="V352" s="1667">
        <f>A362</f>
        <v>-9.5799999999999876</v>
      </c>
      <c r="W352" s="1530"/>
    </row>
    <row r="353" spans="1:23">
      <c r="A353" s="3184"/>
      <c r="B353" s="3185"/>
      <c r="C353" s="3165"/>
      <c r="D353" s="3165"/>
      <c r="E353" s="3165"/>
      <c r="F353" s="3165"/>
      <c r="G353" s="3186"/>
      <c r="H353" s="1531"/>
      <c r="I353" s="1531"/>
      <c r="J353" s="1531"/>
      <c r="K353" s="1531"/>
      <c r="L353" s="1531"/>
      <c r="M353" s="1531"/>
      <c r="N353" s="1531"/>
      <c r="O353" s="1531"/>
      <c r="P353" s="1531"/>
      <c r="Q353" s="1531"/>
      <c r="R353" s="1531"/>
      <c r="S353" s="1532"/>
      <c r="T353" s="1533"/>
      <c r="U353" s="1531"/>
      <c r="V353" s="1560"/>
      <c r="W353" s="1561"/>
    </row>
    <row r="354" spans="1:23">
      <c r="A354" s="3148">
        <f>+A341-0.01</f>
        <v>-9.5599999999999881</v>
      </c>
      <c r="B354" s="3151" t="s">
        <v>1140</v>
      </c>
      <c r="C354" s="3152"/>
      <c r="D354" s="3152"/>
      <c r="E354" s="3152"/>
      <c r="F354" s="3152"/>
      <c r="G354" s="3153"/>
      <c r="H354" s="1534"/>
      <c r="I354" s="1525"/>
      <c r="J354" s="1525"/>
      <c r="K354" s="1525"/>
      <c r="L354" s="1525"/>
      <c r="M354" s="1525"/>
      <c r="N354" s="1525"/>
      <c r="O354" s="1525"/>
      <c r="P354" s="1525"/>
      <c r="Q354" s="1525"/>
      <c r="R354" s="1525"/>
      <c r="S354" s="1526"/>
      <c r="T354" s="1527"/>
      <c r="U354" s="1525"/>
      <c r="V354" s="1559"/>
      <c r="W354" s="1528"/>
    </row>
    <row r="355" spans="1:23">
      <c r="A355" s="3149"/>
      <c r="B355" s="3154"/>
      <c r="C355" s="3155"/>
      <c r="D355" s="3155"/>
      <c r="E355" s="3155"/>
      <c r="F355" s="3155"/>
      <c r="G355" s="3156"/>
      <c r="H355" s="1535"/>
      <c r="I355" s="1662" t="s">
        <v>1141</v>
      </c>
      <c r="J355" s="1662"/>
      <c r="K355" s="1662"/>
      <c r="L355" s="1662"/>
      <c r="M355" s="1662"/>
      <c r="N355" s="1662"/>
      <c r="O355" s="1662"/>
      <c r="P355" s="1662"/>
      <c r="Q355" s="1662"/>
      <c r="R355" s="1664"/>
      <c r="S355" s="1664">
        <v>1</v>
      </c>
      <c r="T355" s="1529"/>
      <c r="U355" s="1662"/>
      <c r="V355" s="1665"/>
      <c r="W355" s="1530"/>
    </row>
    <row r="356" spans="1:23">
      <c r="A356" s="3149"/>
      <c r="B356" s="3154"/>
      <c r="C356" s="3155"/>
      <c r="D356" s="3155"/>
      <c r="E356" s="3155"/>
      <c r="F356" s="3155"/>
      <c r="G356" s="3156"/>
      <c r="H356" s="1535"/>
      <c r="I356" s="1662" t="s">
        <v>1142</v>
      </c>
      <c r="J356" s="1662"/>
      <c r="K356" s="1662"/>
      <c r="L356" s="1662"/>
      <c r="M356" s="1662"/>
      <c r="N356" s="1662"/>
      <c r="O356" s="1662"/>
      <c r="P356" s="1662"/>
      <c r="Q356" s="1664"/>
      <c r="R356" s="1664"/>
      <c r="S356" s="1664">
        <v>2</v>
      </c>
      <c r="T356" s="1529"/>
      <c r="U356" s="1662"/>
      <c r="V356" s="1665"/>
      <c r="W356" s="1530"/>
    </row>
    <row r="357" spans="1:23">
      <c r="A357" s="3150"/>
      <c r="B357" s="3185"/>
      <c r="C357" s="3165"/>
      <c r="D357" s="3165"/>
      <c r="E357" s="3165"/>
      <c r="F357" s="3165"/>
      <c r="G357" s="3186"/>
      <c r="H357" s="1536"/>
      <c r="I357" s="1531"/>
      <c r="J357" s="1531"/>
      <c r="K357" s="1531"/>
      <c r="L357" s="1531"/>
      <c r="M357" s="1531"/>
      <c r="N357" s="1531"/>
      <c r="O357" s="1531"/>
      <c r="P357" s="1531"/>
      <c r="Q357" s="1531"/>
      <c r="R357" s="1531"/>
      <c r="S357" s="1532"/>
      <c r="T357" s="1533"/>
      <c r="U357" s="1531"/>
      <c r="V357" s="1560"/>
      <c r="W357" s="1561"/>
    </row>
    <row r="358" spans="1:23">
      <c r="A358" s="3157">
        <f>+A354-0.01</f>
        <v>-9.5699999999999878</v>
      </c>
      <c r="B358" s="3160" t="s">
        <v>1143</v>
      </c>
      <c r="C358" s="3152"/>
      <c r="D358" s="3152"/>
      <c r="E358" s="3152"/>
      <c r="F358" s="3152"/>
      <c r="G358" s="3161"/>
      <c r="H358" s="1537"/>
      <c r="I358" s="1525"/>
      <c r="J358" s="1525"/>
      <c r="K358" s="1525"/>
      <c r="L358" s="1525"/>
      <c r="M358" s="1525"/>
      <c r="N358" s="1525"/>
      <c r="O358" s="1525"/>
      <c r="P358" s="1525"/>
      <c r="Q358" s="1525"/>
      <c r="R358" s="1525"/>
      <c r="S358" s="1526"/>
      <c r="T358" s="1529"/>
      <c r="U358" s="1662"/>
      <c r="V358" s="1665"/>
      <c r="W358" s="1530"/>
    </row>
    <row r="359" spans="1:23">
      <c r="A359" s="3158"/>
      <c r="B359" s="3162"/>
      <c r="C359" s="3155"/>
      <c r="D359" s="3155"/>
      <c r="E359" s="3155"/>
      <c r="F359" s="3155"/>
      <c r="G359" s="3163"/>
      <c r="H359" s="1538"/>
      <c r="I359" s="1662" t="s">
        <v>1144</v>
      </c>
      <c r="J359" s="1662"/>
      <c r="K359" s="1662"/>
      <c r="L359" s="1662"/>
      <c r="M359" s="1662"/>
      <c r="N359" s="1662"/>
      <c r="O359" s="1662"/>
      <c r="P359" s="1662"/>
      <c r="Q359" s="1662"/>
      <c r="R359" s="1662"/>
      <c r="S359" s="1664">
        <v>1</v>
      </c>
      <c r="T359" s="1529"/>
      <c r="U359" s="1662" t="s">
        <v>91</v>
      </c>
      <c r="V359" s="1667">
        <f>A370</f>
        <v>-9.5999999999999872</v>
      </c>
      <c r="W359" s="1530"/>
    </row>
    <row r="360" spans="1:23">
      <c r="A360" s="3158"/>
      <c r="B360" s="3162"/>
      <c r="C360" s="3155"/>
      <c r="D360" s="3155"/>
      <c r="E360" s="3155"/>
      <c r="F360" s="3155"/>
      <c r="G360" s="3163"/>
      <c r="H360" s="1538"/>
      <c r="I360" s="1662" t="s">
        <v>1145</v>
      </c>
      <c r="J360" s="1662"/>
      <c r="K360" s="1662"/>
      <c r="L360" s="1662"/>
      <c r="M360" s="1662"/>
      <c r="N360" s="1662"/>
      <c r="O360" s="1662"/>
      <c r="P360" s="1662"/>
      <c r="Q360" s="1662"/>
      <c r="R360" s="1662"/>
      <c r="S360" s="1664">
        <v>2</v>
      </c>
      <c r="T360" s="1529"/>
      <c r="U360" s="1662"/>
      <c r="V360" s="1665"/>
      <c r="W360" s="1530"/>
    </row>
    <row r="361" spans="1:23">
      <c r="A361" s="3159"/>
      <c r="B361" s="3164"/>
      <c r="C361" s="3165"/>
      <c r="D361" s="3165"/>
      <c r="E361" s="3165"/>
      <c r="F361" s="3165"/>
      <c r="G361" s="3166"/>
      <c r="H361" s="1539"/>
      <c r="I361" s="1531"/>
      <c r="J361" s="1531"/>
      <c r="K361" s="1531"/>
      <c r="L361" s="1531"/>
      <c r="M361" s="1531"/>
      <c r="N361" s="1531"/>
      <c r="O361" s="1531"/>
      <c r="P361" s="1531"/>
      <c r="Q361" s="1531"/>
      <c r="R361" s="1531"/>
      <c r="S361" s="1532"/>
      <c r="T361" s="1533"/>
      <c r="U361" s="1531"/>
      <c r="V361" s="1560"/>
      <c r="W361" s="1561"/>
    </row>
    <row r="362" spans="1:23">
      <c r="A362" s="3167">
        <f>+A358-0.01</f>
        <v>-9.5799999999999876</v>
      </c>
      <c r="B362" s="3170" t="s">
        <v>1146</v>
      </c>
      <c r="C362" s="2318"/>
      <c r="D362" s="2318"/>
      <c r="E362" s="2318"/>
      <c r="F362" s="2318"/>
      <c r="G362" s="3171"/>
      <c r="H362" s="1540"/>
      <c r="I362" s="119"/>
      <c r="J362" s="119"/>
      <c r="K362" s="119"/>
      <c r="L362" s="119"/>
      <c r="M362" s="119"/>
      <c r="N362" s="119"/>
      <c r="O362" s="119"/>
      <c r="P362" s="119"/>
      <c r="Q362" s="119"/>
      <c r="R362" s="119"/>
      <c r="S362" s="1541"/>
      <c r="T362" s="1542"/>
      <c r="U362" s="100"/>
      <c r="V362" s="1670"/>
      <c r="W362" s="123"/>
    </row>
    <row r="363" spans="1:23">
      <c r="A363" s="3168"/>
      <c r="B363" s="3172"/>
      <c r="C363" s="2026"/>
      <c r="D363" s="2026"/>
      <c r="E363" s="2026"/>
      <c r="F363" s="2026"/>
      <c r="G363" s="3173"/>
      <c r="H363" s="1482"/>
      <c r="I363" s="100" t="s">
        <v>1147</v>
      </c>
      <c r="J363" s="100"/>
      <c r="K363" s="100"/>
      <c r="L363" s="100"/>
      <c r="M363" s="100"/>
      <c r="N363" s="100"/>
      <c r="O363" s="100"/>
      <c r="P363" s="100"/>
      <c r="Q363" s="100"/>
      <c r="R363" s="100"/>
      <c r="S363" s="1671">
        <v>1</v>
      </c>
      <c r="T363" s="1542"/>
      <c r="U363" s="100"/>
      <c r="V363" s="1672"/>
      <c r="W363" s="1544"/>
    </row>
    <row r="364" spans="1:23">
      <c r="A364" s="3168"/>
      <c r="B364" s="3172"/>
      <c r="C364" s="2026"/>
      <c r="D364" s="2026"/>
      <c r="E364" s="2026"/>
      <c r="F364" s="2026"/>
      <c r="G364" s="3173"/>
      <c r="H364" s="1482"/>
      <c r="I364" s="100" t="s">
        <v>1148</v>
      </c>
      <c r="J364" s="100"/>
      <c r="K364" s="100"/>
      <c r="L364" s="100"/>
      <c r="M364" s="100"/>
      <c r="N364" s="100"/>
      <c r="O364" s="100"/>
      <c r="P364" s="100"/>
      <c r="Q364" s="100"/>
      <c r="R364" s="100"/>
      <c r="S364" s="1671">
        <v>2</v>
      </c>
      <c r="T364" s="1542"/>
      <c r="U364" s="100" t="s">
        <v>91</v>
      </c>
      <c r="V364" s="1673">
        <v>-9.59</v>
      </c>
      <c r="W364" s="1544"/>
    </row>
    <row r="365" spans="1:23">
      <c r="A365" s="3169"/>
      <c r="B365" s="3174"/>
      <c r="C365" s="3175"/>
      <c r="D365" s="3175"/>
      <c r="E365" s="3175"/>
      <c r="F365" s="3175"/>
      <c r="G365" s="3176"/>
      <c r="H365" s="1483"/>
      <c r="I365" s="124"/>
      <c r="J365" s="124"/>
      <c r="K365" s="124"/>
      <c r="L365" s="124"/>
      <c r="M365" s="124"/>
      <c r="N365" s="124"/>
      <c r="O365" s="124"/>
      <c r="P365" s="124"/>
      <c r="Q365" s="124"/>
      <c r="R365" s="124"/>
      <c r="S365" s="1484"/>
      <c r="T365" s="1485"/>
      <c r="U365" s="124"/>
      <c r="V365" s="1562"/>
      <c r="W365" s="1543"/>
    </row>
    <row r="366" spans="1:23">
      <c r="A366" s="3167">
        <f>+A362-0.01</f>
        <v>-9.5899999999999874</v>
      </c>
      <c r="B366" s="3170" t="s">
        <v>1149</v>
      </c>
      <c r="C366" s="2318"/>
      <c r="D366" s="2318"/>
      <c r="E366" s="2318"/>
      <c r="F366" s="2318"/>
      <c r="G366" s="3171"/>
      <c r="H366" s="1540"/>
      <c r="I366" s="119"/>
      <c r="J366" s="119"/>
      <c r="K366" s="119"/>
      <c r="L366" s="119"/>
      <c r="M366" s="119"/>
      <c r="N366" s="119"/>
      <c r="O366" s="119"/>
      <c r="P366" s="119"/>
      <c r="Q366" s="119"/>
      <c r="R366" s="119"/>
      <c r="S366" s="1541"/>
      <c r="T366" s="1542"/>
      <c r="U366" s="100"/>
      <c r="V366" s="1670"/>
      <c r="W366" s="123"/>
    </row>
    <row r="367" spans="1:23">
      <c r="A367" s="3168"/>
      <c r="B367" s="3172"/>
      <c r="C367" s="2026"/>
      <c r="D367" s="2026"/>
      <c r="E367" s="2026"/>
      <c r="F367" s="2026"/>
      <c r="G367" s="3173"/>
      <c r="H367" s="1482"/>
      <c r="I367" s="100" t="s">
        <v>1150</v>
      </c>
      <c r="J367" s="100"/>
      <c r="K367" s="100"/>
      <c r="L367" s="100"/>
      <c r="M367" s="100"/>
      <c r="N367" s="100"/>
      <c r="O367" s="100"/>
      <c r="P367" s="100"/>
      <c r="Q367" s="100"/>
      <c r="R367" s="100"/>
      <c r="S367" s="1671">
        <v>1</v>
      </c>
      <c r="T367" s="1542"/>
      <c r="U367" s="100"/>
      <c r="V367" s="1670"/>
      <c r="W367" s="123"/>
    </row>
    <row r="368" spans="1:23">
      <c r="A368" s="3168"/>
      <c r="B368" s="3172"/>
      <c r="C368" s="2026"/>
      <c r="D368" s="2026"/>
      <c r="E368" s="2026"/>
      <c r="F368" s="2026"/>
      <c r="G368" s="3173"/>
      <c r="H368" s="1482"/>
      <c r="I368" s="100" t="s">
        <v>1151</v>
      </c>
      <c r="J368" s="100"/>
      <c r="K368" s="100"/>
      <c r="L368" s="100"/>
      <c r="M368" s="100"/>
      <c r="N368" s="100"/>
      <c r="O368" s="100"/>
      <c r="P368" s="100"/>
      <c r="Q368" s="100"/>
      <c r="R368" s="100"/>
      <c r="S368" s="1671">
        <v>2</v>
      </c>
      <c r="T368" s="1542"/>
      <c r="U368" s="100" t="s">
        <v>91</v>
      </c>
      <c r="V368" s="1673">
        <v>-9.59</v>
      </c>
      <c r="W368" s="1544"/>
    </row>
    <row r="369" spans="1:23">
      <c r="A369" s="3169"/>
      <c r="B369" s="3174"/>
      <c r="C369" s="3175"/>
      <c r="D369" s="3175"/>
      <c r="E369" s="3175"/>
      <c r="F369" s="3175"/>
      <c r="G369" s="3176"/>
      <c r="H369" s="1483"/>
      <c r="I369" s="124"/>
      <c r="J369" s="124"/>
      <c r="K369" s="124"/>
      <c r="L369" s="124"/>
      <c r="M369" s="124"/>
      <c r="N369" s="124"/>
      <c r="O369" s="124"/>
      <c r="P369" s="124"/>
      <c r="Q369" s="124"/>
      <c r="R369" s="124"/>
      <c r="S369" s="1484"/>
      <c r="T369" s="1485"/>
      <c r="U369" s="124"/>
      <c r="V369" s="1562"/>
      <c r="W369" s="1543"/>
    </row>
    <row r="370" spans="1:23">
      <c r="A370" s="3148">
        <f>+A366-0.01</f>
        <v>-9.5999999999999872</v>
      </c>
      <c r="B370" s="3151" t="s">
        <v>1152</v>
      </c>
      <c r="C370" s="3152"/>
      <c r="D370" s="3152"/>
      <c r="E370" s="3152"/>
      <c r="F370" s="3152"/>
      <c r="G370" s="3153"/>
      <c r="H370" s="1525"/>
      <c r="I370" s="1525"/>
      <c r="J370" s="1525"/>
      <c r="K370" s="1525"/>
      <c r="L370" s="1525"/>
      <c r="M370" s="1525"/>
      <c r="N370" s="1525"/>
      <c r="O370" s="1525"/>
      <c r="P370" s="1525"/>
      <c r="Q370" s="1525"/>
      <c r="R370" s="1525"/>
      <c r="S370" s="1526"/>
      <c r="T370" s="1527"/>
      <c r="U370" s="1534"/>
      <c r="V370" s="1559"/>
      <c r="W370" s="1528"/>
    </row>
    <row r="371" spans="1:23">
      <c r="A371" s="3149"/>
      <c r="B371" s="3154"/>
      <c r="C371" s="3155"/>
      <c r="D371" s="3155"/>
      <c r="E371" s="3155"/>
      <c r="F371" s="3155"/>
      <c r="G371" s="3156"/>
      <c r="H371" s="1662"/>
      <c r="I371" s="1662" t="s">
        <v>1153</v>
      </c>
      <c r="J371" s="1662"/>
      <c r="K371" s="1662"/>
      <c r="L371" s="1662"/>
      <c r="M371" s="1662"/>
      <c r="N371" s="1662"/>
      <c r="O371" s="1662"/>
      <c r="P371" s="1662"/>
      <c r="Q371" s="1662"/>
      <c r="R371" s="1662"/>
      <c r="S371" s="1664" t="s">
        <v>1154</v>
      </c>
      <c r="T371" s="1529"/>
      <c r="U371" s="1535"/>
      <c r="V371" s="1665"/>
      <c r="W371" s="1530"/>
    </row>
    <row r="372" spans="1:23">
      <c r="A372" s="3149"/>
      <c r="B372" s="3154"/>
      <c r="C372" s="3155"/>
      <c r="D372" s="3155"/>
      <c r="E372" s="3155"/>
      <c r="F372" s="3155"/>
      <c r="G372" s="3156"/>
      <c r="H372" s="1662"/>
      <c r="I372" s="2985" t="s">
        <v>1155</v>
      </c>
      <c r="J372" s="2985"/>
      <c r="K372" s="2985"/>
      <c r="L372" s="2985"/>
      <c r="M372" s="2985"/>
      <c r="N372" s="2985"/>
      <c r="O372" s="2985"/>
      <c r="P372" s="2985"/>
      <c r="Q372" s="2985"/>
      <c r="R372" s="2985"/>
      <c r="S372" s="2982" t="s">
        <v>1156</v>
      </c>
      <c r="T372" s="1529"/>
      <c r="U372" s="1535"/>
      <c r="V372" s="1674"/>
      <c r="W372" s="1220"/>
    </row>
    <row r="373" spans="1:23">
      <c r="A373" s="3149"/>
      <c r="B373" s="1348"/>
      <c r="C373" s="1661"/>
      <c r="D373" s="1661"/>
      <c r="E373" s="1661"/>
      <c r="F373" s="1661"/>
      <c r="G373" s="1349"/>
      <c r="H373" s="1662"/>
      <c r="I373" s="2985"/>
      <c r="J373" s="2985"/>
      <c r="K373" s="2985"/>
      <c r="L373" s="2985"/>
      <c r="M373" s="2985"/>
      <c r="N373" s="2985"/>
      <c r="O373" s="2985"/>
      <c r="P373" s="2985"/>
      <c r="Q373" s="2985"/>
      <c r="R373" s="2985"/>
      <c r="S373" s="2982"/>
      <c r="T373" s="1529"/>
      <c r="U373" s="1535"/>
      <c r="V373" s="1674"/>
      <c r="W373" s="1220"/>
    </row>
    <row r="374" spans="1:23">
      <c r="A374" s="3150"/>
      <c r="B374" s="1545"/>
      <c r="C374" s="1514"/>
      <c r="D374" s="1514"/>
      <c r="E374" s="1514"/>
      <c r="F374" s="1514"/>
      <c r="G374" s="1518"/>
      <c r="H374" s="1514"/>
      <c r="I374" s="1514"/>
      <c r="J374" s="1514"/>
      <c r="K374" s="1514"/>
      <c r="L374" s="1514"/>
      <c r="M374" s="1514"/>
      <c r="N374" s="1514"/>
      <c r="O374" s="1514"/>
      <c r="P374" s="1514"/>
      <c r="Q374" s="1514"/>
      <c r="R374" s="1514"/>
      <c r="S374" s="1516"/>
      <c r="T374" s="1517"/>
      <c r="U374" s="1545"/>
      <c r="V374" s="1557"/>
      <c r="W374" s="1518"/>
    </row>
  </sheetData>
  <mergeCells count="165">
    <mergeCell ref="B190:G193"/>
    <mergeCell ref="L256:N257"/>
    <mergeCell ref="A370:A374"/>
    <mergeCell ref="B370:G372"/>
    <mergeCell ref="A358:A361"/>
    <mergeCell ref="B358:G361"/>
    <mergeCell ref="A362:A365"/>
    <mergeCell ref="B362:G365"/>
    <mergeCell ref="A366:A369"/>
    <mergeCell ref="B366:G369"/>
    <mergeCell ref="A335:A340"/>
    <mergeCell ref="B335:G339"/>
    <mergeCell ref="B340:G340"/>
    <mergeCell ref="A341:A353"/>
    <mergeCell ref="B341:G353"/>
    <mergeCell ref="A354:A357"/>
    <mergeCell ref="B354:G357"/>
    <mergeCell ref="I372:R373"/>
    <mergeCell ref="S267:S268"/>
    <mergeCell ref="J264:R265"/>
    <mergeCell ref="S264:S265"/>
    <mergeCell ref="A319:A322"/>
    <mergeCell ref="B319:G322"/>
    <mergeCell ref="A323:A327"/>
    <mergeCell ref="B323:G327"/>
    <mergeCell ref="A328:A334"/>
    <mergeCell ref="B328:G334"/>
    <mergeCell ref="A294:A298"/>
    <mergeCell ref="B294:G298"/>
    <mergeCell ref="A299:A301"/>
    <mergeCell ref="B299:G301"/>
    <mergeCell ref="A302:A318"/>
    <mergeCell ref="B302:G318"/>
    <mergeCell ref="A241:A244"/>
    <mergeCell ref="B241:G244"/>
    <mergeCell ref="A245:W245"/>
    <mergeCell ref="A246:A249"/>
    <mergeCell ref="B246:G249"/>
    <mergeCell ref="L247:N248"/>
    <mergeCell ref="A218:A230"/>
    <mergeCell ref="B218:G230"/>
    <mergeCell ref="A231:A235"/>
    <mergeCell ref="B231:G235"/>
    <mergeCell ref="I226:R227"/>
    <mergeCell ref="S226:S227"/>
    <mergeCell ref="A236:A240"/>
    <mergeCell ref="B236:G240"/>
    <mergeCell ref="A187:A189"/>
    <mergeCell ref="B187:G189"/>
    <mergeCell ref="A194:A196"/>
    <mergeCell ref="B194:G196"/>
    <mergeCell ref="A197:W197"/>
    <mergeCell ref="A208:A217"/>
    <mergeCell ref="B208:G217"/>
    <mergeCell ref="V212:W212"/>
    <mergeCell ref="O153:S154"/>
    <mergeCell ref="A180:A183"/>
    <mergeCell ref="B180:G183"/>
    <mergeCell ref="L181:N182"/>
    <mergeCell ref="A184:A186"/>
    <mergeCell ref="B184:G186"/>
    <mergeCell ref="A176:A179"/>
    <mergeCell ref="B176:G179"/>
    <mergeCell ref="L177:N178"/>
    <mergeCell ref="A198:A207"/>
    <mergeCell ref="B198:G207"/>
    <mergeCell ref="A168:A175"/>
    <mergeCell ref="B168:G175"/>
    <mergeCell ref="A164:A167"/>
    <mergeCell ref="B164:G167"/>
    <mergeCell ref="A190:A193"/>
    <mergeCell ref="A148:A151"/>
    <mergeCell ref="B148:G151"/>
    <mergeCell ref="L149:N150"/>
    <mergeCell ref="A152:A155"/>
    <mergeCell ref="B152:G155"/>
    <mergeCell ref="K153:N154"/>
    <mergeCell ref="A160:A163"/>
    <mergeCell ref="B160:G163"/>
    <mergeCell ref="A140:A143"/>
    <mergeCell ref="B140:G143"/>
    <mergeCell ref="L141:N142"/>
    <mergeCell ref="A144:A147"/>
    <mergeCell ref="B144:G147"/>
    <mergeCell ref="L145:N146"/>
    <mergeCell ref="A120:A122"/>
    <mergeCell ref="B120:G122"/>
    <mergeCell ref="V121:W121"/>
    <mergeCell ref="A123:A129"/>
    <mergeCell ref="B123:G129"/>
    <mergeCell ref="A130:A139"/>
    <mergeCell ref="B130:G139"/>
    <mergeCell ref="A106:A115"/>
    <mergeCell ref="B106:G115"/>
    <mergeCell ref="V110:W110"/>
    <mergeCell ref="A116:A119"/>
    <mergeCell ref="B116:G119"/>
    <mergeCell ref="V117:W117"/>
    <mergeCell ref="V93:W94"/>
    <mergeCell ref="A96:A105"/>
    <mergeCell ref="B96:G105"/>
    <mergeCell ref="V100:W100"/>
    <mergeCell ref="A84:A87"/>
    <mergeCell ref="B84:G87"/>
    <mergeCell ref="V85:W85"/>
    <mergeCell ref="A88:A91"/>
    <mergeCell ref="B88:G91"/>
    <mergeCell ref="V89:W89"/>
    <mergeCell ref="A51:A59"/>
    <mergeCell ref="B51:G59"/>
    <mergeCell ref="A60:A68"/>
    <mergeCell ref="B60:G68"/>
    <mergeCell ref="A69:A75"/>
    <mergeCell ref="B69:G75"/>
    <mergeCell ref="I55:R56"/>
    <mergeCell ref="A92:A95"/>
    <mergeCell ref="B92:G95"/>
    <mergeCell ref="A6:A9"/>
    <mergeCell ref="B6:G9"/>
    <mergeCell ref="A76:W76"/>
    <mergeCell ref="A156:A159"/>
    <mergeCell ref="B156:G159"/>
    <mergeCell ref="V22:W22"/>
    <mergeCell ref="A27:A28"/>
    <mergeCell ref="B27:G29"/>
    <mergeCell ref="A30:A37"/>
    <mergeCell ref="B30:G37"/>
    <mergeCell ref="A38:A50"/>
    <mergeCell ref="B38:G50"/>
    <mergeCell ref="A10:A12"/>
    <mergeCell ref="B10:G12"/>
    <mergeCell ref="A13:A16"/>
    <mergeCell ref="B13:G16"/>
    <mergeCell ref="A17:A26"/>
    <mergeCell ref="B17:G26"/>
    <mergeCell ref="A77:A79"/>
    <mergeCell ref="B77:G79"/>
    <mergeCell ref="V78:W78"/>
    <mergeCell ref="A80:A83"/>
    <mergeCell ref="B80:G83"/>
    <mergeCell ref="V81:W81"/>
    <mergeCell ref="S372:S373"/>
    <mergeCell ref="I346:R347"/>
    <mergeCell ref="S346:S347"/>
    <mergeCell ref="I349:R350"/>
    <mergeCell ref="S349:S350"/>
    <mergeCell ref="I280:R281"/>
    <mergeCell ref="S280:S281"/>
    <mergeCell ref="B4:G4"/>
    <mergeCell ref="H4:S4"/>
    <mergeCell ref="A260:W260"/>
    <mergeCell ref="A261:A283"/>
    <mergeCell ref="B261:G283"/>
    <mergeCell ref="A284:A288"/>
    <mergeCell ref="B284:G288"/>
    <mergeCell ref="A289:A293"/>
    <mergeCell ref="B289:G293"/>
    <mergeCell ref="A250:A253"/>
    <mergeCell ref="B250:G253"/>
    <mergeCell ref="L251:N252"/>
    <mergeCell ref="A254:A259"/>
    <mergeCell ref="B254:G259"/>
    <mergeCell ref="J267:R268"/>
    <mergeCell ref="U4:W4"/>
    <mergeCell ref="A5:W5"/>
  </mergeCells>
  <pageMargins left="0.45" right="0.45" top="0.75" bottom="0.5" header="0.3" footer="0.3"/>
  <pageSetup paperSize="9" scale="80" fitToHeight="0" orientation="portrait" r:id="rId1"/>
  <rowBreaks count="5" manualBreakCount="5">
    <brk id="75" max="22" man="1"/>
    <brk id="129" max="22" man="1"/>
    <brk id="196" max="22" man="1"/>
    <brk id="259" max="22" man="1"/>
    <brk id="322" max="22" man="1"/>
  </rowBreaks>
  <colBreaks count="1" manualBreakCount="1">
    <brk id="23" max="1048575" man="1"/>
  </colBreaks>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8">
    <tabColor rgb="FFFF0000"/>
  </sheetPr>
  <dimension ref="A1:BA363"/>
  <sheetViews>
    <sheetView showGridLines="0" view="pageBreakPreview" zoomScaleSheetLayoutView="100" workbookViewId="0">
      <selection activeCell="B5" sqref="B5:H8"/>
    </sheetView>
  </sheetViews>
  <sheetFormatPr defaultColWidth="2.7109375" defaultRowHeight="12.75"/>
  <cols>
    <col min="1" max="1" width="5.7109375" style="723" customWidth="1"/>
    <col min="2" max="9" width="5.28515625" style="556" customWidth="1"/>
    <col min="10" max="10" width="3.28515625" style="556" customWidth="1"/>
    <col min="11" max="13" width="2.7109375" style="556" customWidth="1"/>
    <col min="14" max="14" width="2.7109375" style="723" customWidth="1"/>
    <col min="15" max="15" width="2.7109375" style="556" customWidth="1"/>
    <col min="16" max="16" width="2.28515625" style="556" customWidth="1"/>
    <col min="17" max="26" width="3.42578125" style="556" customWidth="1"/>
    <col min="27" max="31" width="3.85546875" style="556" customWidth="1"/>
    <col min="32" max="38" width="2.42578125" style="556" customWidth="1"/>
    <col min="39" max="39" width="2.7109375" style="556"/>
    <col min="40" max="40" width="2.28515625" style="556" customWidth="1"/>
    <col min="41" max="41" width="2.140625" style="556" customWidth="1"/>
    <col min="42" max="44" width="2.7109375" style="556"/>
    <col min="45" max="45" width="2.42578125" style="556" customWidth="1"/>
    <col min="46" max="46" width="2.7109375" style="556" customWidth="1"/>
    <col min="47" max="47" width="2.28515625" style="556" customWidth="1"/>
    <col min="48" max="49" width="2.7109375" style="556"/>
    <col min="50" max="50" width="2.28515625" style="556" customWidth="1"/>
    <col min="51" max="51" width="2.7109375" style="556"/>
    <col min="52" max="52" width="1.42578125" style="556" customWidth="1"/>
    <col min="53" max="53" width="2.42578125" style="556" customWidth="1"/>
    <col min="54" max="54" width="1.140625" style="556" customWidth="1"/>
    <col min="55" max="16384" width="2.7109375" style="556"/>
  </cols>
  <sheetData>
    <row r="1" spans="1:53" ht="18.75" customHeight="1">
      <c r="A1" s="190" t="s">
        <v>908</v>
      </c>
      <c r="B1" s="722"/>
      <c r="C1" s="1272"/>
      <c r="D1" s="1272"/>
      <c r="E1" s="722"/>
      <c r="F1" s="1272"/>
      <c r="G1" s="1272"/>
      <c r="H1" s="1272"/>
      <c r="I1" s="1272"/>
      <c r="J1" s="1272"/>
      <c r="K1" s="1272"/>
      <c r="L1" s="1272"/>
      <c r="M1" s="1272"/>
      <c r="N1" s="1273"/>
      <c r="O1" s="1272"/>
      <c r="P1" s="1272"/>
      <c r="Q1" s="1272"/>
      <c r="R1" s="1272"/>
      <c r="S1" s="1272"/>
      <c r="T1" s="1272"/>
      <c r="U1" s="1272"/>
      <c r="V1" s="1272"/>
      <c r="W1" s="1272"/>
      <c r="X1" s="1272"/>
      <c r="Y1" s="1272"/>
      <c r="Z1" s="1274"/>
      <c r="AA1" s="724"/>
      <c r="AB1" s="1275"/>
      <c r="AC1" s="1275"/>
      <c r="AD1" s="1272"/>
      <c r="AE1" s="1272"/>
      <c r="AF1" s="1272"/>
      <c r="AG1" s="1272"/>
      <c r="AH1" s="725"/>
      <c r="AI1" s="725"/>
      <c r="AJ1" s="1272"/>
      <c r="AK1" s="1272"/>
      <c r="AL1" s="1272"/>
      <c r="AM1" s="1272"/>
      <c r="AN1" s="1272"/>
      <c r="AO1" s="1272"/>
      <c r="AP1" s="1272"/>
      <c r="AQ1" s="1272"/>
      <c r="AR1" s="1272"/>
      <c r="AS1" s="1272"/>
      <c r="AT1" s="1272"/>
      <c r="AU1" s="1272"/>
      <c r="AV1" s="1272"/>
      <c r="AW1" s="1272"/>
      <c r="AX1" s="1272"/>
      <c r="AY1" s="1272"/>
      <c r="AZ1" s="1272"/>
      <c r="BA1" s="1272"/>
    </row>
    <row r="2" spans="1:53" s="1272" customFormat="1">
      <c r="A2" s="1584" t="s">
        <v>859</v>
      </c>
      <c r="N2" s="1273"/>
      <c r="Z2" s="1274"/>
      <c r="AA2" s="1687"/>
      <c r="AB2" s="1275"/>
      <c r="AC2" s="1275"/>
      <c r="AH2" s="725"/>
      <c r="AI2" s="725"/>
      <c r="AS2" s="1585" t="s">
        <v>860</v>
      </c>
    </row>
    <row r="3" spans="1:53" ht="14.25" customHeight="1">
      <c r="A3" s="1798" t="s">
        <v>1157</v>
      </c>
      <c r="B3" s="1799"/>
      <c r="C3" s="1799"/>
      <c r="D3" s="1799"/>
      <c r="E3" s="1799"/>
      <c r="F3" s="726"/>
      <c r="G3" s="726"/>
      <c r="H3" s="726"/>
      <c r="I3" s="726"/>
      <c r="J3" s="726"/>
      <c r="K3" s="726"/>
      <c r="L3" s="726"/>
      <c r="M3" s="726"/>
      <c r="N3" s="726"/>
      <c r="O3" s="726"/>
      <c r="P3" s="726"/>
      <c r="Q3" s="726"/>
      <c r="R3" s="726"/>
      <c r="S3" s="726"/>
      <c r="T3" s="726"/>
      <c r="U3" s="726"/>
      <c r="V3" s="726"/>
      <c r="W3" s="726"/>
      <c r="X3" s="726"/>
      <c r="Y3" s="726"/>
      <c r="Z3" s="726"/>
      <c r="AA3" s="726"/>
      <c r="AB3" s="726"/>
      <c r="AC3" s="726"/>
      <c r="AD3" s="726"/>
      <c r="AE3" s="726"/>
      <c r="AF3" s="726"/>
      <c r="AG3" s="726"/>
      <c r="AH3" s="1276"/>
      <c r="AI3" s="1276"/>
      <c r="AJ3" s="726"/>
      <c r="AK3" s="726"/>
      <c r="AL3" s="726"/>
      <c r="AM3" s="726"/>
      <c r="AN3" s="726"/>
      <c r="AO3" s="726"/>
      <c r="AP3" s="727"/>
      <c r="AQ3" s="726"/>
      <c r="AR3" s="726"/>
      <c r="AS3" s="728"/>
      <c r="AT3" s="3211"/>
      <c r="AU3" s="3212"/>
      <c r="AV3" s="3212"/>
      <c r="AW3" s="1272"/>
      <c r="AX3" s="1272"/>
      <c r="AY3" s="1272"/>
      <c r="AZ3" s="1272"/>
      <c r="BA3" s="1272"/>
    </row>
    <row r="4" spans="1:53" s="1787" customFormat="1">
      <c r="A4" s="3191" t="s">
        <v>1158</v>
      </c>
      <c r="B4" s="1952">
        <v>-9.6</v>
      </c>
      <c r="C4" s="1954"/>
      <c r="D4" s="1954"/>
      <c r="E4" s="1954"/>
      <c r="F4" s="1954"/>
      <c r="G4" s="1954"/>
      <c r="H4" s="1953"/>
      <c r="I4" s="3194">
        <f>B4-0.01</f>
        <v>-9.61</v>
      </c>
      <c r="J4" s="3195"/>
      <c r="K4" s="3195"/>
      <c r="L4" s="3195"/>
      <c r="M4" s="3195"/>
      <c r="N4" s="3195"/>
      <c r="O4" s="3195"/>
      <c r="P4" s="3196"/>
      <c r="Q4" s="3227">
        <f>I4-0.01</f>
        <v>-9.6199999999999992</v>
      </c>
      <c r="R4" s="3227"/>
      <c r="S4" s="3227"/>
      <c r="T4" s="3227"/>
      <c r="U4" s="3227"/>
      <c r="V4" s="3227"/>
      <c r="W4" s="3227"/>
      <c r="X4" s="3227"/>
      <c r="Y4" s="3227"/>
      <c r="Z4" s="3227"/>
      <c r="AA4" s="3194">
        <f>Q4-0.01</f>
        <v>-9.629999999999999</v>
      </c>
      <c r="AB4" s="3195"/>
      <c r="AC4" s="3195"/>
      <c r="AD4" s="3195"/>
      <c r="AE4" s="3196"/>
      <c r="AF4" s="3194">
        <f>AA4-0.01</f>
        <v>-9.6399999999999988</v>
      </c>
      <c r="AG4" s="3195"/>
      <c r="AH4" s="3195"/>
      <c r="AI4" s="3195"/>
      <c r="AJ4" s="3195"/>
      <c r="AK4" s="3195"/>
      <c r="AL4" s="3196"/>
      <c r="AM4" s="3194">
        <f>AF4-0.01</f>
        <v>-9.6499999999999986</v>
      </c>
      <c r="AN4" s="3195"/>
      <c r="AO4" s="3195"/>
      <c r="AP4" s="3195"/>
      <c r="AQ4" s="3195"/>
      <c r="AR4" s="3195"/>
      <c r="AS4" s="3196"/>
      <c r="AT4" s="3213"/>
      <c r="AU4" s="3214"/>
      <c r="AV4" s="3214"/>
      <c r="AW4" s="3214"/>
      <c r="AX4" s="3214"/>
      <c r="AY4" s="3214"/>
      <c r="AZ4" s="3214"/>
      <c r="BA4" s="3214"/>
    </row>
    <row r="5" spans="1:53" ht="13.5" customHeight="1">
      <c r="A5" s="3192"/>
      <c r="B5" s="3199" t="s">
        <v>1159</v>
      </c>
      <c r="C5" s="3200"/>
      <c r="D5" s="3200"/>
      <c r="E5" s="3200"/>
      <c r="F5" s="3200"/>
      <c r="G5" s="3200"/>
      <c r="H5" s="3201"/>
      <c r="I5" s="3199" t="s">
        <v>1160</v>
      </c>
      <c r="J5" s="3200"/>
      <c r="K5" s="3200"/>
      <c r="L5" s="3200"/>
      <c r="M5" s="3200"/>
      <c r="N5" s="3200"/>
      <c r="O5" s="3200"/>
      <c r="P5" s="3201"/>
      <c r="Q5" s="3232" t="s">
        <v>1161</v>
      </c>
      <c r="R5" s="3233"/>
      <c r="S5" s="3233"/>
      <c r="T5" s="3233"/>
      <c r="U5" s="3233"/>
      <c r="V5" s="3232" t="s">
        <v>1162</v>
      </c>
      <c r="W5" s="3233"/>
      <c r="X5" s="3233"/>
      <c r="Y5" s="3233"/>
      <c r="Z5" s="3234"/>
      <c r="AA5" s="3199" t="s">
        <v>1163</v>
      </c>
      <c r="AB5" s="3200"/>
      <c r="AC5" s="3200"/>
      <c r="AD5" s="3200"/>
      <c r="AE5" s="3200"/>
      <c r="AF5" s="3199" t="s">
        <v>1164</v>
      </c>
      <c r="AG5" s="3200"/>
      <c r="AH5" s="3200"/>
      <c r="AI5" s="3200"/>
      <c r="AJ5" s="3200"/>
      <c r="AK5" s="3200"/>
      <c r="AL5" s="3201"/>
      <c r="AM5" s="3199" t="s">
        <v>1165</v>
      </c>
      <c r="AN5" s="3200"/>
      <c r="AO5" s="3200"/>
      <c r="AP5" s="3200"/>
      <c r="AQ5" s="3200"/>
      <c r="AR5" s="3200"/>
      <c r="AS5" s="3201"/>
      <c r="AT5" s="3199"/>
      <c r="AU5" s="3200"/>
      <c r="AV5" s="3200"/>
      <c r="AW5" s="3200"/>
      <c r="AX5" s="3200"/>
      <c r="AY5" s="3200"/>
      <c r="AZ5" s="3200"/>
      <c r="BA5" s="3200"/>
    </row>
    <row r="6" spans="1:53" ht="13.5" customHeight="1">
      <c r="A6" s="3192"/>
      <c r="B6" s="3199"/>
      <c r="C6" s="3200"/>
      <c r="D6" s="3200"/>
      <c r="E6" s="3200"/>
      <c r="F6" s="3200"/>
      <c r="G6" s="3200"/>
      <c r="H6" s="3201"/>
      <c r="I6" s="3199"/>
      <c r="J6" s="3200"/>
      <c r="K6" s="3200"/>
      <c r="L6" s="3200"/>
      <c r="M6" s="3200"/>
      <c r="N6" s="3200"/>
      <c r="O6" s="3200"/>
      <c r="P6" s="3201"/>
      <c r="Q6" s="3199"/>
      <c r="R6" s="3200"/>
      <c r="S6" s="3200"/>
      <c r="T6" s="3200"/>
      <c r="U6" s="3200"/>
      <c r="V6" s="3199"/>
      <c r="W6" s="3200"/>
      <c r="X6" s="3200"/>
      <c r="Y6" s="3200"/>
      <c r="Z6" s="3201"/>
      <c r="AA6" s="3199"/>
      <c r="AB6" s="3200"/>
      <c r="AC6" s="3200"/>
      <c r="AD6" s="3200"/>
      <c r="AE6" s="3200"/>
      <c r="AF6" s="3199"/>
      <c r="AG6" s="3200"/>
      <c r="AH6" s="3200"/>
      <c r="AI6" s="3200"/>
      <c r="AJ6" s="3200"/>
      <c r="AK6" s="3200"/>
      <c r="AL6" s="3201"/>
      <c r="AM6" s="3199"/>
      <c r="AN6" s="3200"/>
      <c r="AO6" s="3200"/>
      <c r="AP6" s="3200"/>
      <c r="AQ6" s="3200"/>
      <c r="AR6" s="3200"/>
      <c r="AS6" s="3201"/>
      <c r="AT6" s="3199"/>
      <c r="AU6" s="3200"/>
      <c r="AV6" s="3200"/>
      <c r="AW6" s="3200"/>
      <c r="AX6" s="3200"/>
      <c r="AY6" s="3200"/>
      <c r="AZ6" s="3200"/>
      <c r="BA6" s="3200"/>
    </row>
    <row r="7" spans="1:53" ht="13.5" customHeight="1">
      <c r="A7" s="3192"/>
      <c r="B7" s="3199"/>
      <c r="C7" s="3200"/>
      <c r="D7" s="3200"/>
      <c r="E7" s="3200"/>
      <c r="F7" s="3200"/>
      <c r="G7" s="3200"/>
      <c r="H7" s="3201"/>
      <c r="I7" s="3202"/>
      <c r="J7" s="3203"/>
      <c r="K7" s="3203"/>
      <c r="L7" s="3203"/>
      <c r="M7" s="3203"/>
      <c r="N7" s="3203"/>
      <c r="O7" s="3203"/>
      <c r="P7" s="3204"/>
      <c r="Q7" s="3199"/>
      <c r="R7" s="3200"/>
      <c r="S7" s="3200"/>
      <c r="T7" s="3200"/>
      <c r="U7" s="3200"/>
      <c r="V7" s="3199"/>
      <c r="W7" s="3200"/>
      <c r="X7" s="3200"/>
      <c r="Y7" s="3200"/>
      <c r="Z7" s="3201"/>
      <c r="AA7" s="3199"/>
      <c r="AB7" s="3200"/>
      <c r="AC7" s="3200"/>
      <c r="AD7" s="3200"/>
      <c r="AE7" s="3200"/>
      <c r="AF7" s="3199"/>
      <c r="AG7" s="3200"/>
      <c r="AH7" s="3200"/>
      <c r="AI7" s="3200"/>
      <c r="AJ7" s="3200"/>
      <c r="AK7" s="3200"/>
      <c r="AL7" s="3201"/>
      <c r="AM7" s="3199"/>
      <c r="AN7" s="3200"/>
      <c r="AO7" s="3200"/>
      <c r="AP7" s="3200"/>
      <c r="AQ7" s="3200"/>
      <c r="AR7" s="3200"/>
      <c r="AS7" s="3201"/>
      <c r="AT7" s="3199"/>
      <c r="AU7" s="3200"/>
      <c r="AV7" s="3200"/>
      <c r="AW7" s="3200"/>
      <c r="AX7" s="3200"/>
      <c r="AY7" s="3200"/>
      <c r="AZ7" s="3200"/>
      <c r="BA7" s="3200"/>
    </row>
    <row r="8" spans="1:53" ht="13.5" customHeight="1">
      <c r="A8" s="3192"/>
      <c r="B8" s="3202"/>
      <c r="C8" s="3203"/>
      <c r="D8" s="3203"/>
      <c r="E8" s="3203"/>
      <c r="F8" s="3203"/>
      <c r="G8" s="3203"/>
      <c r="H8" s="3204"/>
      <c r="I8" s="1278" t="s">
        <v>1166</v>
      </c>
      <c r="J8" s="1279"/>
      <c r="K8" s="1279"/>
      <c r="L8" s="1279"/>
      <c r="M8" s="1279"/>
      <c r="N8" s="1279"/>
      <c r="O8" s="1280"/>
      <c r="P8" s="1281">
        <v>1</v>
      </c>
      <c r="Q8" s="3199"/>
      <c r="R8" s="3200"/>
      <c r="S8" s="3200"/>
      <c r="T8" s="3200"/>
      <c r="U8" s="3200"/>
      <c r="V8" s="3199"/>
      <c r="W8" s="3200"/>
      <c r="X8" s="3200"/>
      <c r="Y8" s="3200"/>
      <c r="Z8" s="3201"/>
      <c r="AA8" s="3199"/>
      <c r="AB8" s="3200"/>
      <c r="AC8" s="3200"/>
      <c r="AD8" s="3200"/>
      <c r="AE8" s="3200"/>
      <c r="AF8" s="3199"/>
      <c r="AG8" s="3200"/>
      <c r="AH8" s="3200"/>
      <c r="AI8" s="3200"/>
      <c r="AJ8" s="3200"/>
      <c r="AK8" s="3200"/>
      <c r="AL8" s="3201"/>
      <c r="AM8" s="3199"/>
      <c r="AN8" s="3200"/>
      <c r="AO8" s="3200"/>
      <c r="AP8" s="3200"/>
      <c r="AQ8" s="3200"/>
      <c r="AR8" s="3200"/>
      <c r="AS8" s="3201"/>
      <c r="AT8" s="3199"/>
      <c r="AU8" s="3200"/>
      <c r="AV8" s="3200"/>
      <c r="AW8" s="3200"/>
      <c r="AX8" s="3200"/>
      <c r="AY8" s="3200"/>
      <c r="AZ8" s="3200"/>
      <c r="BA8" s="3200"/>
    </row>
    <row r="9" spans="1:53" ht="13.5" customHeight="1">
      <c r="A9" s="3192"/>
      <c r="B9" s="1278"/>
      <c r="C9" s="1279" t="s">
        <v>104</v>
      </c>
      <c r="D9" s="1279"/>
      <c r="E9" s="1280">
        <v>1</v>
      </c>
      <c r="F9" s="1280"/>
      <c r="G9" s="1280"/>
      <c r="H9" s="1281"/>
      <c r="I9" s="1278" t="s">
        <v>1167</v>
      </c>
      <c r="J9" s="1279"/>
      <c r="K9" s="1279"/>
      <c r="L9" s="1279"/>
      <c r="M9" s="1279"/>
      <c r="N9" s="1279"/>
      <c r="O9" s="1280"/>
      <c r="P9" s="1281">
        <v>2</v>
      </c>
      <c r="Q9" s="3199"/>
      <c r="R9" s="3200"/>
      <c r="S9" s="3200"/>
      <c r="T9" s="3200"/>
      <c r="U9" s="3200"/>
      <c r="V9" s="3199"/>
      <c r="W9" s="3200"/>
      <c r="X9" s="3200"/>
      <c r="Y9" s="3200"/>
      <c r="Z9" s="3201"/>
      <c r="AA9" s="3199"/>
      <c r="AB9" s="3200"/>
      <c r="AC9" s="3200"/>
      <c r="AD9" s="3200"/>
      <c r="AE9" s="3200"/>
      <c r="AF9" s="3199"/>
      <c r="AG9" s="3200"/>
      <c r="AH9" s="3200"/>
      <c r="AI9" s="3200"/>
      <c r="AJ9" s="3200"/>
      <c r="AK9" s="3200"/>
      <c r="AL9" s="3201"/>
      <c r="AM9" s="3199"/>
      <c r="AN9" s="3200"/>
      <c r="AO9" s="3200"/>
      <c r="AP9" s="3200"/>
      <c r="AQ9" s="3200"/>
      <c r="AR9" s="3200"/>
      <c r="AS9" s="3201"/>
      <c r="AT9" s="3199"/>
      <c r="AU9" s="3200"/>
      <c r="AV9" s="3200"/>
      <c r="AW9" s="3200"/>
      <c r="AX9" s="3200"/>
      <c r="AY9" s="3200"/>
      <c r="AZ9" s="3200"/>
      <c r="BA9" s="3200"/>
    </row>
    <row r="10" spans="1:53" ht="14.25" customHeight="1">
      <c r="A10" s="3192"/>
      <c r="B10" s="1282"/>
      <c r="C10" s="1283" t="s">
        <v>108</v>
      </c>
      <c r="D10" s="1283"/>
      <c r="E10" s="1284">
        <v>2</v>
      </c>
      <c r="F10" s="1284" t="s">
        <v>91</v>
      </c>
      <c r="G10" s="1284"/>
      <c r="H10" s="1285"/>
      <c r="I10" s="3218" t="s">
        <v>1168</v>
      </c>
      <c r="J10" s="3219"/>
      <c r="K10" s="3219"/>
      <c r="L10" s="3219"/>
      <c r="M10" s="3219"/>
      <c r="N10" s="3219"/>
      <c r="O10" s="3219"/>
      <c r="P10" s="3222">
        <v>3</v>
      </c>
      <c r="Q10" s="3199"/>
      <c r="R10" s="3200"/>
      <c r="S10" s="3200"/>
      <c r="T10" s="3200"/>
      <c r="U10" s="3200"/>
      <c r="V10" s="3199"/>
      <c r="W10" s="3200"/>
      <c r="X10" s="3200"/>
      <c r="Y10" s="3200"/>
      <c r="Z10" s="3201"/>
      <c r="AA10" s="3199"/>
      <c r="AB10" s="3200"/>
      <c r="AC10" s="3200"/>
      <c r="AD10" s="3200"/>
      <c r="AE10" s="3200"/>
      <c r="AF10" s="3199"/>
      <c r="AG10" s="3200"/>
      <c r="AH10" s="3200"/>
      <c r="AI10" s="3200"/>
      <c r="AJ10" s="3200"/>
      <c r="AK10" s="3200"/>
      <c r="AL10" s="3201"/>
      <c r="AM10" s="3199"/>
      <c r="AN10" s="3200"/>
      <c r="AO10" s="3200"/>
      <c r="AP10" s="3200"/>
      <c r="AQ10" s="3200"/>
      <c r="AR10" s="3200"/>
      <c r="AS10" s="3201"/>
      <c r="AT10" s="3199"/>
      <c r="AU10" s="3200"/>
      <c r="AV10" s="3200"/>
      <c r="AW10" s="3200"/>
      <c r="AX10" s="3200"/>
      <c r="AY10" s="3200"/>
      <c r="AZ10" s="3200"/>
      <c r="BA10" s="3200"/>
    </row>
    <row r="11" spans="1:53" ht="14.25" customHeight="1">
      <c r="A11" s="3192"/>
      <c r="B11" s="1286"/>
      <c r="C11" s="1287"/>
      <c r="D11" s="1288"/>
      <c r="E11" s="721" t="s">
        <v>1169</v>
      </c>
      <c r="F11" s="1289"/>
      <c r="G11" s="1289"/>
      <c r="H11" s="1290"/>
      <c r="I11" s="3220"/>
      <c r="J11" s="3221"/>
      <c r="K11" s="3221"/>
      <c r="L11" s="3221"/>
      <c r="M11" s="3221"/>
      <c r="N11" s="3221"/>
      <c r="O11" s="3221"/>
      <c r="P11" s="3223"/>
      <c r="Q11" s="3199"/>
      <c r="R11" s="3200"/>
      <c r="S11" s="3200"/>
      <c r="T11" s="3200"/>
      <c r="U11" s="3200"/>
      <c r="V11" s="3199"/>
      <c r="W11" s="3200"/>
      <c r="X11" s="3200"/>
      <c r="Y11" s="3200"/>
      <c r="Z11" s="3201"/>
      <c r="AA11" s="3199"/>
      <c r="AB11" s="3200"/>
      <c r="AC11" s="3200"/>
      <c r="AD11" s="3200"/>
      <c r="AE11" s="3200"/>
      <c r="AF11" s="3199"/>
      <c r="AG11" s="3200"/>
      <c r="AH11" s="3200"/>
      <c r="AI11" s="3200"/>
      <c r="AJ11" s="3200"/>
      <c r="AK11" s="3200"/>
      <c r="AL11" s="3201"/>
      <c r="AM11" s="3199"/>
      <c r="AN11" s="3200"/>
      <c r="AO11" s="3200"/>
      <c r="AP11" s="3200"/>
      <c r="AQ11" s="3200"/>
      <c r="AR11" s="3200"/>
      <c r="AS11" s="3201"/>
      <c r="AT11" s="3199"/>
      <c r="AU11" s="3200"/>
      <c r="AV11" s="3200"/>
      <c r="AW11" s="3200"/>
      <c r="AX11" s="3200"/>
      <c r="AY11" s="3200"/>
      <c r="AZ11" s="3200"/>
      <c r="BA11" s="3200"/>
    </row>
    <row r="12" spans="1:53">
      <c r="A12" s="3192"/>
      <c r="B12" s="1272"/>
      <c r="C12" s="1272"/>
      <c r="D12" s="1272"/>
      <c r="E12" s="1291"/>
      <c r="F12" s="1273"/>
      <c r="G12" s="1273"/>
      <c r="H12" s="1292"/>
      <c r="I12" s="1278" t="s">
        <v>112</v>
      </c>
      <c r="J12" s="1279"/>
      <c r="K12" s="1279"/>
      <c r="L12" s="1279"/>
      <c r="M12" s="1279"/>
      <c r="N12" s="1279"/>
      <c r="O12" s="1280"/>
      <c r="P12" s="1281">
        <v>4</v>
      </c>
      <c r="Q12" s="3202"/>
      <c r="R12" s="3203"/>
      <c r="S12" s="3203"/>
      <c r="T12" s="3203"/>
      <c r="U12" s="3203"/>
      <c r="V12" s="2108"/>
      <c r="W12" s="3235"/>
      <c r="X12" s="3235"/>
      <c r="Y12" s="3235"/>
      <c r="Z12" s="2109"/>
      <c r="AA12" s="3202"/>
      <c r="AB12" s="3203"/>
      <c r="AC12" s="3203"/>
      <c r="AD12" s="3203"/>
      <c r="AE12" s="3203"/>
      <c r="AF12" s="3202"/>
      <c r="AG12" s="3203"/>
      <c r="AH12" s="3203"/>
      <c r="AI12" s="3203"/>
      <c r="AJ12" s="3203"/>
      <c r="AK12" s="3203"/>
      <c r="AL12" s="3204"/>
      <c r="AM12" s="3202"/>
      <c r="AN12" s="3203"/>
      <c r="AO12" s="3203"/>
      <c r="AP12" s="3203"/>
      <c r="AQ12" s="3203"/>
      <c r="AR12" s="3203"/>
      <c r="AS12" s="3204"/>
      <c r="AT12" s="3199"/>
      <c r="AU12" s="3200"/>
      <c r="AV12" s="3200"/>
      <c r="AW12" s="3200"/>
      <c r="AX12" s="3200"/>
      <c r="AY12" s="3200"/>
      <c r="AZ12" s="3200"/>
      <c r="BA12" s="3200"/>
    </row>
    <row r="13" spans="1:53">
      <c r="A13" s="3193"/>
      <c r="B13" s="1293"/>
      <c r="C13" s="1293"/>
      <c r="D13" s="1293"/>
      <c r="E13" s="1294"/>
      <c r="F13" s="1295"/>
      <c r="G13" s="1295"/>
      <c r="H13" s="1296"/>
      <c r="I13" s="1297"/>
      <c r="J13" s="1293"/>
      <c r="K13" s="1293"/>
      <c r="L13" s="1293"/>
      <c r="M13" s="1293"/>
      <c r="N13" s="1293"/>
      <c r="O13" s="1295"/>
      <c r="P13" s="1296"/>
      <c r="Q13" s="3205" t="s">
        <v>1170</v>
      </c>
      <c r="R13" s="3206"/>
      <c r="S13" s="3206"/>
      <c r="T13" s="3206"/>
      <c r="U13" s="3206"/>
      <c r="V13" s="3206"/>
      <c r="W13" s="3206"/>
      <c r="X13" s="3206"/>
      <c r="Y13" s="3206"/>
      <c r="Z13" s="3207"/>
      <c r="AA13" s="3208" t="s">
        <v>293</v>
      </c>
      <c r="AB13" s="3209"/>
      <c r="AC13" s="3209"/>
      <c r="AD13" s="3209"/>
      <c r="AE13" s="3210"/>
      <c r="AF13" s="3208" t="s">
        <v>293</v>
      </c>
      <c r="AG13" s="3209"/>
      <c r="AH13" s="3209"/>
      <c r="AI13" s="3209"/>
      <c r="AJ13" s="3209"/>
      <c r="AK13" s="3209"/>
      <c r="AL13" s="3210"/>
      <c r="AM13" s="3208" t="s">
        <v>293</v>
      </c>
      <c r="AN13" s="3209"/>
      <c r="AO13" s="3209"/>
      <c r="AP13" s="3209"/>
      <c r="AQ13" s="3209"/>
      <c r="AR13" s="3209"/>
      <c r="AS13" s="3210"/>
      <c r="AT13" s="1253"/>
      <c r="AU13" s="1277"/>
      <c r="AV13" s="1277"/>
      <c r="AW13" s="1277"/>
      <c r="AX13" s="1277"/>
      <c r="AY13" s="1277"/>
      <c r="AZ13" s="1277"/>
      <c r="BA13" s="1277"/>
    </row>
    <row r="14" spans="1:53" ht="15" customHeight="1">
      <c r="A14" s="784">
        <v>1</v>
      </c>
      <c r="B14" s="3228" t="s">
        <v>1171</v>
      </c>
      <c r="C14" s="3188"/>
      <c r="D14" s="3188"/>
      <c r="E14" s="3188"/>
      <c r="F14" s="3188"/>
      <c r="G14" s="3189"/>
      <c r="H14" s="1298"/>
      <c r="I14" s="3239"/>
      <c r="J14" s="3240"/>
      <c r="K14" s="3240"/>
      <c r="L14" s="3240"/>
      <c r="M14" s="3240"/>
      <c r="N14" s="1299"/>
      <c r="O14" s="1299"/>
      <c r="P14" s="1300"/>
      <c r="Q14" s="1297"/>
      <c r="R14" s="1295"/>
      <c r="S14" s="1293"/>
      <c r="T14" s="1293"/>
      <c r="U14" s="1301"/>
      <c r="V14" s="1297"/>
      <c r="W14" s="1295"/>
      <c r="X14" s="1293"/>
      <c r="Y14" s="1293"/>
      <c r="Z14" s="1301"/>
      <c r="AA14" s="1297"/>
      <c r="AB14" s="1293"/>
      <c r="AC14" s="1293"/>
      <c r="AD14" s="1293"/>
      <c r="AE14" s="1293"/>
      <c r="AF14" s="1297"/>
      <c r="AG14" s="1293"/>
      <c r="AH14" s="1293"/>
      <c r="AI14" s="1293"/>
      <c r="AJ14" s="1293"/>
      <c r="AK14" s="1293"/>
      <c r="AL14" s="1301"/>
      <c r="AM14" s="1297"/>
      <c r="AN14" s="1293"/>
      <c r="AO14" s="1293"/>
      <c r="AP14" s="1293"/>
      <c r="AQ14" s="1293"/>
      <c r="AR14" s="1293"/>
      <c r="AS14" s="1301"/>
      <c r="AT14" s="3197"/>
      <c r="AU14" s="3198"/>
      <c r="AV14" s="3198"/>
      <c r="AW14" s="3198"/>
      <c r="AX14" s="3198"/>
      <c r="AY14" s="3198"/>
      <c r="AZ14" s="3198"/>
      <c r="BA14" s="3198"/>
    </row>
    <row r="15" spans="1:53" ht="15" customHeight="1" thickBot="1">
      <c r="A15" s="783">
        <v>2</v>
      </c>
      <c r="B15" s="3215" t="s">
        <v>1172</v>
      </c>
      <c r="C15" s="3230"/>
      <c r="D15" s="3230"/>
      <c r="E15" s="3230"/>
      <c r="F15" s="3230"/>
      <c r="G15" s="3231"/>
      <c r="H15" s="1302"/>
      <c r="I15" s="1303"/>
      <c r="J15" s="1304"/>
      <c r="K15" s="1304"/>
      <c r="L15" s="1304"/>
      <c r="M15" s="1304"/>
      <c r="N15" s="1304"/>
      <c r="O15" s="1304"/>
      <c r="P15" s="1305"/>
      <c r="Q15" s="1303"/>
      <c r="R15" s="1306"/>
      <c r="S15" s="1304"/>
      <c r="T15" s="1304"/>
      <c r="U15" s="1305"/>
      <c r="V15" s="1303"/>
      <c r="W15" s="1306"/>
      <c r="X15" s="1304"/>
      <c r="Y15" s="1304"/>
      <c r="Z15" s="1305"/>
      <c r="AA15" s="1303"/>
      <c r="AB15" s="1304"/>
      <c r="AC15" s="1304"/>
      <c r="AD15" s="1304"/>
      <c r="AE15" s="1304"/>
      <c r="AF15" s="1303"/>
      <c r="AG15" s="1304"/>
      <c r="AH15" s="1304"/>
      <c r="AI15" s="1304"/>
      <c r="AJ15" s="1304"/>
      <c r="AK15" s="1304"/>
      <c r="AL15" s="1305"/>
      <c r="AM15" s="1303"/>
      <c r="AN15" s="1304"/>
      <c r="AO15" s="1304"/>
      <c r="AP15" s="1304"/>
      <c r="AQ15" s="1304"/>
      <c r="AR15" s="1304"/>
      <c r="AS15" s="1305"/>
      <c r="AT15" s="3197"/>
      <c r="AU15" s="3198"/>
      <c r="AV15" s="3198"/>
      <c r="AW15" s="3198"/>
      <c r="AX15" s="3198"/>
      <c r="AY15" s="3198"/>
      <c r="AZ15" s="3198"/>
      <c r="BA15" s="3198"/>
    </row>
    <row r="16" spans="1:53" ht="15" customHeight="1" thickTop="1">
      <c r="A16" s="784">
        <v>3</v>
      </c>
      <c r="B16" s="3228" t="s">
        <v>1173</v>
      </c>
      <c r="C16" s="3188"/>
      <c r="D16" s="3188"/>
      <c r="E16" s="3188"/>
      <c r="F16" s="3188"/>
      <c r="G16" s="3189"/>
      <c r="H16" s="1298"/>
      <c r="I16" s="1297"/>
      <c r="J16" s="1293"/>
      <c r="K16" s="1293"/>
      <c r="L16" s="1293"/>
      <c r="M16" s="1293"/>
      <c r="N16" s="1293"/>
      <c r="O16" s="1293"/>
      <c r="P16" s="1301"/>
      <c r="Q16" s="1297"/>
      <c r="R16" s="1295"/>
      <c r="S16" s="1293"/>
      <c r="T16" s="1293"/>
      <c r="U16" s="1301"/>
      <c r="V16" s="1297"/>
      <c r="W16" s="1295"/>
      <c r="X16" s="1293"/>
      <c r="Y16" s="1293"/>
      <c r="Z16" s="1301"/>
      <c r="AA16" s="1297"/>
      <c r="AB16" s="1293"/>
      <c r="AC16" s="1293"/>
      <c r="AD16" s="1293"/>
      <c r="AE16" s="1293"/>
      <c r="AF16" s="1297"/>
      <c r="AG16" s="1293"/>
      <c r="AH16" s="1293"/>
      <c r="AI16" s="1293"/>
      <c r="AJ16" s="1293"/>
      <c r="AK16" s="1293"/>
      <c r="AL16" s="1301"/>
      <c r="AM16" s="1297"/>
      <c r="AN16" s="1293"/>
      <c r="AO16" s="1293"/>
      <c r="AP16" s="1293"/>
      <c r="AQ16" s="1293"/>
      <c r="AR16" s="1293"/>
      <c r="AS16" s="1301"/>
      <c r="AT16" s="3197"/>
      <c r="AU16" s="3198"/>
      <c r="AV16" s="3198"/>
      <c r="AW16" s="3198"/>
      <c r="AX16" s="3198"/>
      <c r="AY16" s="3198"/>
      <c r="AZ16" s="3198"/>
      <c r="BA16" s="3198"/>
    </row>
    <row r="17" spans="1:53" ht="15" customHeight="1" thickBot="1">
      <c r="A17" s="783">
        <v>4</v>
      </c>
      <c r="B17" s="3215" t="s">
        <v>1174</v>
      </c>
      <c r="C17" s="3230"/>
      <c r="D17" s="3230"/>
      <c r="E17" s="3230"/>
      <c r="F17" s="3230"/>
      <c r="G17" s="3231"/>
      <c r="H17" s="1302"/>
      <c r="I17" s="1303"/>
      <c r="J17" s="1304"/>
      <c r="K17" s="1304"/>
      <c r="L17" s="1304"/>
      <c r="M17" s="1304"/>
      <c r="N17" s="1304"/>
      <c r="O17" s="1304"/>
      <c r="P17" s="1305"/>
      <c r="Q17" s="1303"/>
      <c r="R17" s="1306"/>
      <c r="S17" s="1304"/>
      <c r="T17" s="1304"/>
      <c r="U17" s="1305"/>
      <c r="V17" s="1303"/>
      <c r="W17" s="1306"/>
      <c r="X17" s="1304"/>
      <c r="Y17" s="1304"/>
      <c r="Z17" s="1305"/>
      <c r="AA17" s="1303"/>
      <c r="AB17" s="1304"/>
      <c r="AC17" s="1304"/>
      <c r="AD17" s="1304"/>
      <c r="AE17" s="1304"/>
      <c r="AF17" s="1303"/>
      <c r="AG17" s="1304"/>
      <c r="AH17" s="1304"/>
      <c r="AI17" s="1304"/>
      <c r="AJ17" s="1304"/>
      <c r="AK17" s="1304"/>
      <c r="AL17" s="1305"/>
      <c r="AM17" s="1303"/>
      <c r="AN17" s="1304"/>
      <c r="AO17" s="1304"/>
      <c r="AP17" s="1304"/>
      <c r="AQ17" s="1304"/>
      <c r="AR17" s="1304"/>
      <c r="AS17" s="1305"/>
      <c r="AT17" s="3197"/>
      <c r="AU17" s="3198"/>
      <c r="AV17" s="3198"/>
      <c r="AW17" s="3198"/>
      <c r="AX17" s="3198"/>
      <c r="AY17" s="3198"/>
      <c r="AZ17" s="3198"/>
      <c r="BA17" s="3198"/>
    </row>
    <row r="18" spans="1:53" s="47" customFormat="1" ht="15" customHeight="1" thickTop="1">
      <c r="A18" s="246">
        <v>5</v>
      </c>
      <c r="B18" s="3187" t="s">
        <v>1175</v>
      </c>
      <c r="C18" s="3188"/>
      <c r="D18" s="3188"/>
      <c r="E18" s="3188"/>
      <c r="F18" s="3188"/>
      <c r="G18" s="3189"/>
      <c r="H18" s="1072"/>
      <c r="I18" s="714"/>
      <c r="J18" s="740"/>
      <c r="K18" s="740"/>
      <c r="L18" s="740"/>
      <c r="M18" s="740"/>
      <c r="N18" s="740"/>
      <c r="O18" s="740"/>
      <c r="P18" s="715"/>
      <c r="Q18" s="714"/>
      <c r="R18" s="1073"/>
      <c r="S18" s="740"/>
      <c r="T18" s="740"/>
      <c r="U18" s="715"/>
      <c r="V18" s="714"/>
      <c r="W18" s="1073"/>
      <c r="X18" s="740"/>
      <c r="Y18" s="740"/>
      <c r="Z18" s="715"/>
      <c r="AA18" s="714"/>
      <c r="AB18" s="740"/>
      <c r="AC18" s="740"/>
      <c r="AD18" s="740"/>
      <c r="AE18" s="740"/>
      <c r="AF18" s="714"/>
      <c r="AG18" s="740"/>
      <c r="AH18" s="740"/>
      <c r="AI18" s="740"/>
      <c r="AJ18" s="740"/>
      <c r="AK18" s="740"/>
      <c r="AL18" s="715"/>
      <c r="AM18" s="714"/>
      <c r="AN18" s="740"/>
      <c r="AO18" s="740"/>
      <c r="AP18" s="740"/>
      <c r="AQ18" s="740"/>
      <c r="AR18" s="740"/>
      <c r="AS18" s="715"/>
      <c r="AT18" s="3190"/>
      <c r="AU18" s="2187"/>
      <c r="AV18" s="2187"/>
      <c r="AW18" s="2187"/>
      <c r="AX18" s="2187"/>
      <c r="AY18" s="2187"/>
      <c r="AZ18" s="2187"/>
      <c r="BA18" s="2187"/>
    </row>
    <row r="19" spans="1:53" ht="15" customHeight="1">
      <c r="A19" s="784">
        <v>6</v>
      </c>
      <c r="B19" s="3228" t="s">
        <v>1176</v>
      </c>
      <c r="C19" s="3188"/>
      <c r="D19" s="3188"/>
      <c r="E19" s="3188"/>
      <c r="F19" s="3188"/>
      <c r="G19" s="3189"/>
      <c r="H19" s="1298"/>
      <c r="I19" s="1297"/>
      <c r="J19" s="1293"/>
      <c r="K19" s="1293"/>
      <c r="L19" s="1293"/>
      <c r="M19" s="1293"/>
      <c r="N19" s="1293"/>
      <c r="O19" s="1293"/>
      <c r="P19" s="1301"/>
      <c r="Q19" s="1297"/>
      <c r="R19" s="1295"/>
      <c r="S19" s="1293"/>
      <c r="T19" s="1293"/>
      <c r="U19" s="1301"/>
      <c r="V19" s="1297"/>
      <c r="W19" s="1295"/>
      <c r="X19" s="1293"/>
      <c r="Y19" s="1293"/>
      <c r="Z19" s="1301"/>
      <c r="AA19" s="1297"/>
      <c r="AB19" s="1293"/>
      <c r="AC19" s="1293"/>
      <c r="AD19" s="1293"/>
      <c r="AE19" s="1293"/>
      <c r="AF19" s="1297"/>
      <c r="AG19" s="1293"/>
      <c r="AH19" s="1293"/>
      <c r="AI19" s="1293"/>
      <c r="AJ19" s="1293"/>
      <c r="AK19" s="1293"/>
      <c r="AL19" s="1301"/>
      <c r="AM19" s="1297"/>
      <c r="AN19" s="1293"/>
      <c r="AO19" s="1293"/>
      <c r="AP19" s="1293"/>
      <c r="AQ19" s="1293"/>
      <c r="AR19" s="1293"/>
      <c r="AS19" s="1301"/>
      <c r="AT19" s="3197"/>
      <c r="AU19" s="3198"/>
      <c r="AV19" s="3198"/>
      <c r="AW19" s="3198"/>
      <c r="AX19" s="3198"/>
      <c r="AY19" s="3198"/>
      <c r="AZ19" s="3198"/>
      <c r="BA19" s="3198"/>
    </row>
    <row r="20" spans="1:53" ht="15" customHeight="1" thickBot="1">
      <c r="A20" s="783">
        <v>7</v>
      </c>
      <c r="B20" s="3215" t="s">
        <v>1177</v>
      </c>
      <c r="C20" s="3216"/>
      <c r="D20" s="3216"/>
      <c r="E20" s="3216"/>
      <c r="F20" s="3216"/>
      <c r="G20" s="3217"/>
      <c r="H20" s="1302"/>
      <c r="I20" s="1303"/>
      <c r="J20" s="1304"/>
      <c r="K20" s="1304"/>
      <c r="L20" s="1304"/>
      <c r="M20" s="1304"/>
      <c r="N20" s="1304"/>
      <c r="O20" s="1304"/>
      <c r="P20" s="1305"/>
      <c r="Q20" s="1303"/>
      <c r="R20" s="1306"/>
      <c r="S20" s="1304"/>
      <c r="T20" s="1304"/>
      <c r="U20" s="1305"/>
      <c r="V20" s="1303"/>
      <c r="W20" s="1306"/>
      <c r="X20" s="1304"/>
      <c r="Y20" s="1304"/>
      <c r="Z20" s="1305"/>
      <c r="AA20" s="1303"/>
      <c r="AB20" s="1304"/>
      <c r="AC20" s="1304"/>
      <c r="AD20" s="1304"/>
      <c r="AE20" s="1304"/>
      <c r="AF20" s="1303"/>
      <c r="AG20" s="1304"/>
      <c r="AH20" s="1304"/>
      <c r="AI20" s="1304"/>
      <c r="AJ20" s="1304"/>
      <c r="AK20" s="1304"/>
      <c r="AL20" s="1305"/>
      <c r="AM20" s="1303"/>
      <c r="AN20" s="1304"/>
      <c r="AO20" s="1304"/>
      <c r="AP20" s="1304"/>
      <c r="AQ20" s="1304"/>
      <c r="AR20" s="1304"/>
      <c r="AS20" s="1305"/>
      <c r="AT20" s="3197"/>
      <c r="AU20" s="3198"/>
      <c r="AV20" s="3198"/>
      <c r="AW20" s="3198"/>
      <c r="AX20" s="3198"/>
      <c r="AY20" s="3198"/>
      <c r="AZ20" s="3198"/>
      <c r="BA20" s="3198"/>
    </row>
    <row r="21" spans="1:53" ht="15" customHeight="1" thickTop="1">
      <c r="A21" s="784">
        <v>8</v>
      </c>
      <c r="B21" s="3228" t="s">
        <v>1178</v>
      </c>
      <c r="C21" s="3188"/>
      <c r="D21" s="3188"/>
      <c r="E21" s="3188"/>
      <c r="F21" s="3188"/>
      <c r="G21" s="3189"/>
      <c r="H21" s="1298"/>
      <c r="I21" s="1297"/>
      <c r="J21" s="1293"/>
      <c r="K21" s="1293"/>
      <c r="L21" s="1293"/>
      <c r="M21" s="1293"/>
      <c r="N21" s="1293"/>
      <c r="O21" s="1295"/>
      <c r="P21" s="1301"/>
      <c r="Q21" s="1297"/>
      <c r="R21" s="1295"/>
      <c r="S21" s="1293"/>
      <c r="T21" s="1293"/>
      <c r="U21" s="1301"/>
      <c r="V21" s="1297"/>
      <c r="W21" s="1295"/>
      <c r="X21" s="1293"/>
      <c r="Y21" s="1293"/>
      <c r="Z21" s="1301"/>
      <c r="AA21" s="1297"/>
      <c r="AB21" s="1293"/>
      <c r="AC21" s="1293"/>
      <c r="AD21" s="1293"/>
      <c r="AE21" s="1293"/>
      <c r="AF21" s="1297"/>
      <c r="AG21" s="1293"/>
      <c r="AH21" s="1293"/>
      <c r="AI21" s="1293"/>
      <c r="AJ21" s="1293"/>
      <c r="AK21" s="1293"/>
      <c r="AL21" s="1301"/>
      <c r="AM21" s="1297"/>
      <c r="AN21" s="1293"/>
      <c r="AO21" s="1293"/>
      <c r="AP21" s="1293"/>
      <c r="AQ21" s="1293"/>
      <c r="AR21" s="1293"/>
      <c r="AS21" s="1301"/>
      <c r="AT21" s="3197"/>
      <c r="AU21" s="3198"/>
      <c r="AV21" s="3198"/>
      <c r="AW21" s="3198"/>
      <c r="AX21" s="3198"/>
      <c r="AY21" s="3198"/>
      <c r="AZ21" s="3198"/>
      <c r="BA21" s="3198"/>
    </row>
    <row r="22" spans="1:53" ht="15" customHeight="1">
      <c r="A22" s="785">
        <v>9</v>
      </c>
      <c r="B22" s="3229" t="s">
        <v>112</v>
      </c>
      <c r="C22" s="2893"/>
      <c r="D22" s="2893"/>
      <c r="E22" s="2893"/>
      <c r="F22" s="2893"/>
      <c r="G22" s="2894"/>
      <c r="H22" s="1307"/>
      <c r="I22" s="1308"/>
      <c r="J22" s="1309"/>
      <c r="K22" s="1309"/>
      <c r="L22" s="1309"/>
      <c r="M22" s="1309"/>
      <c r="N22" s="1309"/>
      <c r="O22" s="1310"/>
      <c r="P22" s="1311"/>
      <c r="Q22" s="1308"/>
      <c r="R22" s="1310"/>
      <c r="S22" s="1309"/>
      <c r="T22" s="1309"/>
      <c r="U22" s="1311"/>
      <c r="V22" s="1308"/>
      <c r="W22" s="1310"/>
      <c r="X22" s="1309"/>
      <c r="Y22" s="1309"/>
      <c r="Z22" s="1311"/>
      <c r="AA22" s="1308"/>
      <c r="AB22" s="1309"/>
      <c r="AC22" s="1309"/>
      <c r="AD22" s="1309"/>
      <c r="AE22" s="1309"/>
      <c r="AF22" s="1308"/>
      <c r="AG22" s="1309"/>
      <c r="AH22" s="1309"/>
      <c r="AI22" s="1309"/>
      <c r="AJ22" s="1309"/>
      <c r="AK22" s="1309"/>
      <c r="AL22" s="1311"/>
      <c r="AM22" s="1308"/>
      <c r="AN22" s="1309"/>
      <c r="AO22" s="1309"/>
      <c r="AP22" s="1309"/>
      <c r="AQ22" s="1309"/>
      <c r="AR22" s="1309"/>
      <c r="AS22" s="1311"/>
      <c r="AT22" s="3197"/>
      <c r="AU22" s="3198"/>
      <c r="AV22" s="3198"/>
      <c r="AW22" s="3198"/>
      <c r="AX22" s="3198"/>
      <c r="AY22" s="3198"/>
      <c r="AZ22" s="3198"/>
      <c r="BA22" s="3198"/>
    </row>
    <row r="23" spans="1:53" ht="8.25" customHeight="1">
      <c r="A23" s="1272"/>
      <c r="B23" s="1272"/>
      <c r="C23" s="1272"/>
      <c r="D23" s="1272"/>
      <c r="E23" s="1272"/>
      <c r="F23" s="1272"/>
      <c r="G23" s="1272"/>
      <c r="H23" s="1272"/>
      <c r="I23" s="1272"/>
      <c r="J23" s="1272"/>
      <c r="K23" s="1272"/>
      <c r="L23" s="1272"/>
      <c r="M23" s="1272"/>
      <c r="N23" s="1273"/>
      <c r="O23" s="1272"/>
      <c r="P23" s="1272"/>
      <c r="Q23" s="1272"/>
      <c r="R23" s="1272"/>
      <c r="S23" s="1272"/>
      <c r="T23" s="1272"/>
      <c r="U23" s="1272"/>
      <c r="V23" s="1272"/>
      <c r="W23" s="1272"/>
      <c r="X23" s="1272"/>
      <c r="Y23" s="1272"/>
      <c r="Z23" s="1272"/>
      <c r="AA23" s="1272"/>
      <c r="AB23" s="1272"/>
      <c r="AC23" s="1272"/>
      <c r="AD23" s="1272"/>
      <c r="AE23" s="1272"/>
      <c r="AF23" s="1272"/>
      <c r="AG23" s="1272"/>
      <c r="AH23" s="1272"/>
      <c r="AI23" s="1272"/>
      <c r="AJ23" s="1272"/>
      <c r="AK23" s="1272"/>
      <c r="AL23" s="1272"/>
      <c r="AM23" s="1272"/>
      <c r="AN23" s="1272"/>
      <c r="AO23" s="1272"/>
      <c r="AP23" s="1272"/>
      <c r="AQ23" s="1272"/>
      <c r="AR23" s="1272"/>
      <c r="AS23" s="1272"/>
      <c r="AT23" s="1272"/>
      <c r="AU23" s="1272"/>
      <c r="AV23" s="1272"/>
      <c r="AW23" s="1272"/>
      <c r="AX23" s="1272"/>
      <c r="AY23" s="1272"/>
      <c r="AZ23" s="1272"/>
      <c r="BA23" s="1272"/>
    </row>
    <row r="24" spans="1:53">
      <c r="A24" s="558" t="s">
        <v>1179</v>
      </c>
      <c r="B24" s="726"/>
      <c r="C24" s="726"/>
      <c r="D24" s="726"/>
      <c r="E24" s="726"/>
      <c r="F24" s="726"/>
      <c r="G24" s="726"/>
      <c r="H24" s="726"/>
      <c r="I24" s="726"/>
      <c r="J24" s="726"/>
      <c r="K24" s="726"/>
      <c r="L24" s="726"/>
      <c r="M24" s="726"/>
      <c r="N24" s="726"/>
      <c r="O24" s="726"/>
      <c r="P24" s="726"/>
      <c r="Q24" s="726"/>
      <c r="R24" s="726"/>
      <c r="S24" s="726"/>
      <c r="T24" s="726"/>
      <c r="U24" s="726"/>
      <c r="V24" s="726"/>
      <c r="W24" s="726"/>
      <c r="X24" s="726"/>
      <c r="Y24" s="726"/>
      <c r="Z24" s="726"/>
      <c r="AA24" s="726"/>
      <c r="AB24" s="726"/>
      <c r="AC24" s="726"/>
      <c r="AD24" s="726"/>
      <c r="AE24" s="726"/>
      <c r="AF24" s="726"/>
      <c r="AG24" s="726"/>
      <c r="AH24" s="726"/>
      <c r="AI24" s="726"/>
      <c r="AJ24" s="726"/>
      <c r="AK24" s="728"/>
      <c r="AL24" s="722"/>
      <c r="AM24" s="722"/>
      <c r="AN24" s="722"/>
      <c r="AO24" s="722"/>
      <c r="AP24" s="722"/>
      <c r="AQ24" s="722"/>
      <c r="AR24" s="722"/>
      <c r="AS24" s="1272"/>
      <c r="AT24" s="1272"/>
      <c r="AU24" s="1272"/>
      <c r="AV24" s="1272"/>
      <c r="AW24" s="1272"/>
      <c r="AX24" s="1272"/>
      <c r="AY24" s="1272"/>
      <c r="AZ24" s="1272"/>
      <c r="BA24" s="1272"/>
    </row>
    <row r="25" spans="1:53">
      <c r="A25" s="3191" t="s">
        <v>1180</v>
      </c>
      <c r="B25" s="3194">
        <f>AM4-0.01</f>
        <v>-9.6599999999999984</v>
      </c>
      <c r="C25" s="3195"/>
      <c r="D25" s="3195"/>
      <c r="E25" s="3195"/>
      <c r="F25" s="3195"/>
      <c r="G25" s="3195"/>
      <c r="H25" s="3195"/>
      <c r="I25" s="3195"/>
      <c r="J25" s="3195"/>
      <c r="K25" s="3195"/>
      <c r="L25" s="3195"/>
      <c r="M25" s="3196"/>
      <c r="N25" s="3194">
        <f>B25-0.01</f>
        <v>-9.6699999999999982</v>
      </c>
      <c r="O25" s="3195"/>
      <c r="P25" s="3195"/>
      <c r="Q25" s="3195"/>
      <c r="R25" s="3195"/>
      <c r="S25" s="3195"/>
      <c r="T25" s="3195"/>
      <c r="U25" s="3196"/>
      <c r="V25" s="3194">
        <f>N25-0.01</f>
        <v>-9.6799999999999979</v>
      </c>
      <c r="W25" s="3195"/>
      <c r="X25" s="3195"/>
      <c r="Y25" s="3195"/>
      <c r="Z25" s="3195"/>
      <c r="AA25" s="3195"/>
      <c r="AB25" s="3196"/>
      <c r="AC25" s="3194">
        <f>V25-0.01</f>
        <v>-9.6899999999999977</v>
      </c>
      <c r="AD25" s="3195"/>
      <c r="AE25" s="3195"/>
      <c r="AF25" s="3195"/>
      <c r="AG25" s="3195"/>
      <c r="AH25" s="3195"/>
      <c r="AI25" s="3195"/>
      <c r="AJ25" s="3195"/>
      <c r="AK25" s="3196"/>
      <c r="AL25" s="1274"/>
      <c r="AM25" s="1274"/>
      <c r="AN25" s="1274"/>
      <c r="AO25" s="1274"/>
      <c r="AP25" s="1274"/>
      <c r="AQ25" s="1274"/>
      <c r="AR25" s="1274"/>
      <c r="AS25" s="1272"/>
      <c r="AT25" s="1272"/>
      <c r="AU25" s="1272"/>
      <c r="AV25" s="1272"/>
      <c r="AW25" s="1272"/>
      <c r="AX25" s="1272"/>
      <c r="AY25" s="1272"/>
      <c r="AZ25" s="1272"/>
      <c r="BA25" s="1272"/>
    </row>
    <row r="26" spans="1:53">
      <c r="A26" s="3192"/>
      <c r="B26" s="3236" t="s">
        <v>1181</v>
      </c>
      <c r="C26" s="3237"/>
      <c r="D26" s="3237"/>
      <c r="E26" s="3237"/>
      <c r="F26" s="3237"/>
      <c r="G26" s="3237"/>
      <c r="H26" s="3237"/>
      <c r="I26" s="3237"/>
      <c r="J26" s="3237"/>
      <c r="K26" s="3237"/>
      <c r="L26" s="3237"/>
      <c r="M26" s="3238"/>
      <c r="N26" s="3199" t="s">
        <v>1163</v>
      </c>
      <c r="O26" s="3200"/>
      <c r="P26" s="3200"/>
      <c r="Q26" s="3200"/>
      <c r="R26" s="3200"/>
      <c r="S26" s="3200"/>
      <c r="T26" s="3200"/>
      <c r="U26" s="3201"/>
      <c r="V26" s="3199" t="s">
        <v>1164</v>
      </c>
      <c r="W26" s="3200"/>
      <c r="X26" s="3200"/>
      <c r="Y26" s="3200"/>
      <c r="Z26" s="3200"/>
      <c r="AA26" s="3200"/>
      <c r="AB26" s="3201"/>
      <c r="AC26" s="3199" t="s">
        <v>1182</v>
      </c>
      <c r="AD26" s="3200"/>
      <c r="AE26" s="3200"/>
      <c r="AF26" s="3200"/>
      <c r="AG26" s="3200"/>
      <c r="AH26" s="3200"/>
      <c r="AI26" s="3200"/>
      <c r="AJ26" s="3200"/>
      <c r="AK26" s="3201"/>
      <c r="AL26" s="1312"/>
      <c r="AM26" s="1312"/>
      <c r="AN26" s="1312"/>
      <c r="AO26" s="1312"/>
      <c r="AP26" s="1312"/>
      <c r="AQ26" s="1312"/>
      <c r="AR26" s="1312"/>
      <c r="AS26" s="1272"/>
      <c r="AT26" s="1272"/>
      <c r="AU26" s="1272"/>
      <c r="AV26" s="1272"/>
      <c r="AW26" s="1272"/>
      <c r="AX26" s="1272"/>
      <c r="AY26" s="1272"/>
      <c r="AZ26" s="1272"/>
      <c r="BA26" s="1272"/>
    </row>
    <row r="27" spans="1:53">
      <c r="A27" s="3192"/>
      <c r="B27" s="3236"/>
      <c r="C27" s="3237"/>
      <c r="D27" s="3237"/>
      <c r="E27" s="3237"/>
      <c r="F27" s="3237"/>
      <c r="G27" s="3237"/>
      <c r="H27" s="3237"/>
      <c r="I27" s="3237"/>
      <c r="J27" s="3237"/>
      <c r="K27" s="3237"/>
      <c r="L27" s="3237"/>
      <c r="M27" s="3238"/>
      <c r="N27" s="3199"/>
      <c r="O27" s="3200"/>
      <c r="P27" s="3200"/>
      <c r="Q27" s="3200"/>
      <c r="R27" s="3200"/>
      <c r="S27" s="3200"/>
      <c r="T27" s="3200"/>
      <c r="U27" s="3201"/>
      <c r="V27" s="3199"/>
      <c r="W27" s="3200"/>
      <c r="X27" s="3200"/>
      <c r="Y27" s="3200"/>
      <c r="Z27" s="3200"/>
      <c r="AA27" s="3200"/>
      <c r="AB27" s="3201"/>
      <c r="AC27" s="3199"/>
      <c r="AD27" s="3200"/>
      <c r="AE27" s="3200"/>
      <c r="AF27" s="3200"/>
      <c r="AG27" s="3200"/>
      <c r="AH27" s="3200"/>
      <c r="AI27" s="3200"/>
      <c r="AJ27" s="3200"/>
      <c r="AK27" s="3201"/>
      <c r="AL27" s="1312"/>
      <c r="AM27" s="1312"/>
      <c r="AN27" s="1312"/>
      <c r="AO27" s="1312"/>
      <c r="AP27" s="1312"/>
      <c r="AQ27" s="1312"/>
      <c r="AR27" s="1312"/>
      <c r="AS27" s="1272"/>
      <c r="AT27" s="1272"/>
      <c r="AU27" s="1272"/>
      <c r="AV27" s="1272"/>
      <c r="AW27" s="1272"/>
      <c r="AX27" s="1272"/>
      <c r="AY27" s="1272"/>
      <c r="AZ27" s="1272"/>
      <c r="BA27" s="1272"/>
    </row>
    <row r="28" spans="1:53">
      <c r="A28" s="3192"/>
      <c r="B28" s="3236"/>
      <c r="C28" s="3237"/>
      <c r="D28" s="3237"/>
      <c r="E28" s="3237"/>
      <c r="F28" s="3237"/>
      <c r="G28" s="3237"/>
      <c r="H28" s="3237"/>
      <c r="I28" s="3237"/>
      <c r="J28" s="3237"/>
      <c r="K28" s="3237"/>
      <c r="L28" s="3237"/>
      <c r="M28" s="3238"/>
      <c r="N28" s="3199"/>
      <c r="O28" s="3200"/>
      <c r="P28" s="3200"/>
      <c r="Q28" s="3200"/>
      <c r="R28" s="3200"/>
      <c r="S28" s="3200"/>
      <c r="T28" s="3200"/>
      <c r="U28" s="3201"/>
      <c r="V28" s="3199"/>
      <c r="W28" s="3200"/>
      <c r="X28" s="3200"/>
      <c r="Y28" s="3200"/>
      <c r="Z28" s="3200"/>
      <c r="AA28" s="3200"/>
      <c r="AB28" s="3201"/>
      <c r="AC28" s="3199"/>
      <c r="AD28" s="3200"/>
      <c r="AE28" s="3200"/>
      <c r="AF28" s="3200"/>
      <c r="AG28" s="3200"/>
      <c r="AH28" s="3200"/>
      <c r="AI28" s="3200"/>
      <c r="AJ28" s="3200"/>
      <c r="AK28" s="3201"/>
      <c r="AL28" s="1312"/>
      <c r="AM28" s="1312"/>
      <c r="AN28" s="1312"/>
      <c r="AO28" s="1312"/>
      <c r="AP28" s="1312"/>
      <c r="AQ28" s="1312"/>
      <c r="AR28" s="1312"/>
      <c r="AS28" s="1272"/>
      <c r="AT28" s="1272"/>
      <c r="AU28" s="1272"/>
      <c r="AV28" s="1272"/>
      <c r="AW28" s="1272"/>
      <c r="AX28" s="1272"/>
      <c r="AY28" s="1272"/>
      <c r="AZ28" s="1272"/>
      <c r="BA28" s="1272"/>
    </row>
    <row r="29" spans="1:53">
      <c r="A29" s="3192"/>
      <c r="B29" s="1278"/>
      <c r="C29" s="1279" t="s">
        <v>104</v>
      </c>
      <c r="D29" s="1279"/>
      <c r="E29" s="1279">
        <v>1</v>
      </c>
      <c r="F29" s="1279"/>
      <c r="G29" s="1279"/>
      <c r="H29" s="1279"/>
      <c r="I29" s="1279"/>
      <c r="J29" s="1279"/>
      <c r="K29" s="1279"/>
      <c r="L29" s="1279"/>
      <c r="M29" s="1313"/>
      <c r="N29" s="3199"/>
      <c r="O29" s="3200"/>
      <c r="P29" s="3200"/>
      <c r="Q29" s="3200"/>
      <c r="R29" s="3200"/>
      <c r="S29" s="3200"/>
      <c r="T29" s="3200"/>
      <c r="U29" s="3201"/>
      <c r="V29" s="3199"/>
      <c r="W29" s="3200"/>
      <c r="X29" s="3200"/>
      <c r="Y29" s="3200"/>
      <c r="Z29" s="3200"/>
      <c r="AA29" s="3200"/>
      <c r="AB29" s="3201"/>
      <c r="AC29" s="3199"/>
      <c r="AD29" s="3200"/>
      <c r="AE29" s="3200"/>
      <c r="AF29" s="3200"/>
      <c r="AG29" s="3200"/>
      <c r="AH29" s="3200"/>
      <c r="AI29" s="3200"/>
      <c r="AJ29" s="3200"/>
      <c r="AK29" s="3201"/>
      <c r="AL29" s="1312"/>
      <c r="AM29" s="1312"/>
      <c r="AN29" s="1312"/>
      <c r="AO29" s="1312"/>
      <c r="AP29" s="1312"/>
      <c r="AQ29" s="1312"/>
      <c r="AR29" s="1312"/>
      <c r="AS29" s="1272"/>
      <c r="AT29" s="1272"/>
      <c r="AU29" s="1272"/>
      <c r="AV29" s="1272"/>
      <c r="AW29" s="1272"/>
      <c r="AX29" s="1272"/>
      <c r="AY29" s="1272"/>
      <c r="AZ29" s="1272"/>
      <c r="BA29" s="1272"/>
    </row>
    <row r="30" spans="1:53">
      <c r="A30" s="3192"/>
      <c r="B30" s="1278"/>
      <c r="C30" s="1279" t="s">
        <v>108</v>
      </c>
      <c r="D30" s="1279"/>
      <c r="E30" s="1279">
        <v>2</v>
      </c>
      <c r="F30" s="952" t="s">
        <v>917</v>
      </c>
      <c r="G30" s="557" t="s">
        <v>1183</v>
      </c>
      <c r="H30" s="1279"/>
      <c r="I30" s="1279"/>
      <c r="J30" s="1279"/>
      <c r="K30" s="1279"/>
      <c r="L30" s="1279"/>
      <c r="M30" s="1313"/>
      <c r="N30" s="3199"/>
      <c r="O30" s="3200"/>
      <c r="P30" s="3200"/>
      <c r="Q30" s="3200"/>
      <c r="R30" s="3200"/>
      <c r="S30" s="3200"/>
      <c r="T30" s="3200"/>
      <c r="U30" s="3201"/>
      <c r="V30" s="3199"/>
      <c r="W30" s="3200"/>
      <c r="X30" s="3200"/>
      <c r="Y30" s="3200"/>
      <c r="Z30" s="3200"/>
      <c r="AA30" s="3200"/>
      <c r="AB30" s="3201"/>
      <c r="AC30" s="3202"/>
      <c r="AD30" s="3203"/>
      <c r="AE30" s="3203"/>
      <c r="AF30" s="3203"/>
      <c r="AG30" s="3203"/>
      <c r="AH30" s="3203"/>
      <c r="AI30" s="3203"/>
      <c r="AJ30" s="3203"/>
      <c r="AK30" s="3204"/>
      <c r="AL30" s="1312"/>
      <c r="AM30" s="1312"/>
      <c r="AN30" s="1312"/>
      <c r="AO30" s="1312"/>
      <c r="AP30" s="1312"/>
      <c r="AQ30" s="1312"/>
      <c r="AR30" s="1312"/>
      <c r="AS30" s="1272"/>
      <c r="AT30" s="1272"/>
      <c r="AU30" s="1272"/>
      <c r="AV30" s="1272"/>
      <c r="AW30" s="1272"/>
      <c r="AX30" s="1272"/>
      <c r="AY30" s="1272"/>
      <c r="AZ30" s="1272"/>
      <c r="BA30" s="1272"/>
    </row>
    <row r="31" spans="1:53">
      <c r="A31" s="3193"/>
      <c r="B31" s="1297"/>
      <c r="C31" s="1293"/>
      <c r="D31" s="1293"/>
      <c r="E31" s="1293"/>
      <c r="F31" s="1293"/>
      <c r="G31" s="1293"/>
      <c r="H31" s="1293"/>
      <c r="I31" s="1293"/>
      <c r="J31" s="1293"/>
      <c r="K31" s="1293"/>
      <c r="L31" s="1295"/>
      <c r="M31" s="1296"/>
      <c r="N31" s="3224" t="s">
        <v>293</v>
      </c>
      <c r="O31" s="3225"/>
      <c r="P31" s="3225"/>
      <c r="Q31" s="3225"/>
      <c r="R31" s="3225"/>
      <c r="S31" s="3225"/>
      <c r="T31" s="3225"/>
      <c r="U31" s="3226"/>
      <c r="V31" s="3224" t="s">
        <v>293</v>
      </c>
      <c r="W31" s="3225"/>
      <c r="X31" s="3225"/>
      <c r="Y31" s="3225"/>
      <c r="Z31" s="3225"/>
      <c r="AA31" s="3225"/>
      <c r="AB31" s="3226"/>
      <c r="AC31" s="3224" t="s">
        <v>293</v>
      </c>
      <c r="AD31" s="3225"/>
      <c r="AE31" s="3225"/>
      <c r="AF31" s="3225"/>
      <c r="AG31" s="3225"/>
      <c r="AH31" s="3225"/>
      <c r="AI31" s="3225"/>
      <c r="AJ31" s="3225"/>
      <c r="AK31" s="3226"/>
      <c r="AL31" s="1277"/>
      <c r="AM31" s="1277"/>
      <c r="AN31" s="1277"/>
      <c r="AO31" s="1277"/>
      <c r="AP31" s="1277"/>
      <c r="AQ31" s="1277"/>
      <c r="AR31" s="1277"/>
      <c r="AS31" s="1272"/>
      <c r="AT31" s="1272"/>
      <c r="AU31" s="1272"/>
      <c r="AV31" s="1272"/>
      <c r="AW31" s="1272"/>
      <c r="AX31" s="1272"/>
      <c r="AY31" s="1272"/>
      <c r="AZ31" s="1272"/>
      <c r="BA31" s="1272"/>
    </row>
    <row r="32" spans="1:53" ht="15" customHeight="1">
      <c r="A32" s="785">
        <v>1</v>
      </c>
      <c r="B32" s="1314" t="s">
        <v>1184</v>
      </c>
      <c r="C32" s="1309"/>
      <c r="D32" s="1309"/>
      <c r="E32" s="1309"/>
      <c r="F32" s="1309"/>
      <c r="G32" s="1309"/>
      <c r="H32" s="1309"/>
      <c r="I32" s="1309"/>
      <c r="J32" s="1309"/>
      <c r="K32" s="1309"/>
      <c r="L32" s="1297"/>
      <c r="M32" s="1301"/>
      <c r="N32" s="1315"/>
      <c r="O32" s="1309"/>
      <c r="P32" s="1309"/>
      <c r="Q32" s="1309"/>
      <c r="R32" s="1309"/>
      <c r="S32" s="1309"/>
      <c r="T32" s="1309"/>
      <c r="U32" s="1309"/>
      <c r="V32" s="1308"/>
      <c r="W32" s="1309"/>
      <c r="X32" s="1309"/>
      <c r="Y32" s="1309"/>
      <c r="Z32" s="1309"/>
      <c r="AA32" s="1309"/>
      <c r="AB32" s="1309"/>
      <c r="AC32" s="1308"/>
      <c r="AD32" s="1309"/>
      <c r="AE32" s="1309"/>
      <c r="AF32" s="1309"/>
      <c r="AG32" s="1309"/>
      <c r="AH32" s="1309"/>
      <c r="AI32" s="1309"/>
      <c r="AJ32" s="1309"/>
      <c r="AK32" s="1311"/>
      <c r="AL32" s="1272"/>
      <c r="AM32" s="1272"/>
      <c r="AN32" s="1272"/>
      <c r="AO32" s="1272"/>
      <c r="AP32" s="1272"/>
      <c r="AQ32" s="1272"/>
      <c r="AR32" s="1272"/>
      <c r="AS32" s="1272"/>
      <c r="AT32" s="1272"/>
      <c r="AU32" s="1272"/>
      <c r="AV32" s="1272"/>
      <c r="AW32" s="1272"/>
      <c r="AX32" s="1272"/>
      <c r="AY32" s="1272"/>
      <c r="AZ32" s="1272"/>
      <c r="BA32" s="1272"/>
    </row>
    <row r="33" spans="1:37" ht="15" customHeight="1">
      <c r="A33" s="785">
        <v>2</v>
      </c>
      <c r="B33" s="1314" t="s">
        <v>1185</v>
      </c>
      <c r="C33" s="1309"/>
      <c r="D33" s="1309"/>
      <c r="E33" s="1309"/>
      <c r="F33" s="1309"/>
      <c r="G33" s="1309"/>
      <c r="H33" s="1309"/>
      <c r="I33" s="1309"/>
      <c r="J33" s="1309"/>
      <c r="K33" s="1309"/>
      <c r="L33" s="1308"/>
      <c r="M33" s="1311"/>
      <c r="N33" s="1315"/>
      <c r="O33" s="1309"/>
      <c r="P33" s="1309"/>
      <c r="Q33" s="1309"/>
      <c r="R33" s="1309"/>
      <c r="S33" s="1309"/>
      <c r="T33" s="1309"/>
      <c r="U33" s="1311"/>
      <c r="V33" s="1308"/>
      <c r="W33" s="1309"/>
      <c r="X33" s="1309"/>
      <c r="Y33" s="1309"/>
      <c r="Z33" s="1309"/>
      <c r="AA33" s="1309"/>
      <c r="AB33" s="1311"/>
      <c r="AC33" s="1308"/>
      <c r="AD33" s="1309"/>
      <c r="AE33" s="1309"/>
      <c r="AF33" s="1309"/>
      <c r="AG33" s="1309"/>
      <c r="AH33" s="1309"/>
      <c r="AI33" s="1309"/>
      <c r="AJ33" s="1309"/>
      <c r="AK33" s="1311"/>
    </row>
    <row r="34" spans="1:37" ht="15" customHeight="1">
      <c r="A34" s="785">
        <v>3</v>
      </c>
      <c r="B34" s="1314" t="s">
        <v>1186</v>
      </c>
      <c r="C34" s="1309"/>
      <c r="D34" s="1309"/>
      <c r="E34" s="1309"/>
      <c r="F34" s="1309"/>
      <c r="G34" s="1309"/>
      <c r="H34" s="1309"/>
      <c r="I34" s="1309"/>
      <c r="J34" s="1309"/>
      <c r="K34" s="1309"/>
      <c r="L34" s="1308"/>
      <c r="M34" s="1311"/>
      <c r="N34" s="1315"/>
      <c r="O34" s="1309"/>
      <c r="P34" s="1309"/>
      <c r="Q34" s="1309"/>
      <c r="R34" s="1309"/>
      <c r="S34" s="1309"/>
      <c r="T34" s="1309"/>
      <c r="U34" s="1311"/>
      <c r="V34" s="1308"/>
      <c r="W34" s="1309"/>
      <c r="X34" s="1309"/>
      <c r="Y34" s="1309"/>
      <c r="Z34" s="1309"/>
      <c r="AA34" s="1309"/>
      <c r="AB34" s="1311"/>
      <c r="AC34" s="1308"/>
      <c r="AD34" s="1309"/>
      <c r="AE34" s="1309"/>
      <c r="AF34" s="1309"/>
      <c r="AG34" s="1309"/>
      <c r="AH34" s="1309"/>
      <c r="AI34" s="1309"/>
      <c r="AJ34" s="1309"/>
      <c r="AK34" s="1311"/>
    </row>
    <row r="35" spans="1:37" ht="15" customHeight="1">
      <c r="A35" s="785">
        <v>4</v>
      </c>
      <c r="B35" s="1314" t="s">
        <v>1187</v>
      </c>
      <c r="C35" s="1309"/>
      <c r="D35" s="1309"/>
      <c r="E35" s="1309"/>
      <c r="F35" s="1309"/>
      <c r="G35" s="1309"/>
      <c r="H35" s="1309"/>
      <c r="I35" s="1309"/>
      <c r="J35" s="1309"/>
      <c r="K35" s="1309"/>
      <c r="L35" s="1308"/>
      <c r="M35" s="1311"/>
      <c r="N35" s="1315"/>
      <c r="O35" s="1309"/>
      <c r="P35" s="1309"/>
      <c r="Q35" s="1309"/>
      <c r="R35" s="1309"/>
      <c r="S35" s="1309"/>
      <c r="T35" s="1309"/>
      <c r="U35" s="1311"/>
      <c r="V35" s="1308"/>
      <c r="W35" s="1309"/>
      <c r="X35" s="1309"/>
      <c r="Y35" s="1309"/>
      <c r="Z35" s="1309"/>
      <c r="AA35" s="1309"/>
      <c r="AB35" s="1311"/>
      <c r="AC35" s="1308"/>
      <c r="AD35" s="1309"/>
      <c r="AE35" s="1309"/>
      <c r="AF35" s="1309"/>
      <c r="AG35" s="1309"/>
      <c r="AH35" s="1309"/>
      <c r="AI35" s="1309"/>
      <c r="AJ35" s="1309"/>
      <c r="AK35" s="1311"/>
    </row>
    <row r="36" spans="1:37" ht="15" customHeight="1">
      <c r="A36" s="785">
        <v>5</v>
      </c>
      <c r="B36" s="1314" t="s">
        <v>1188</v>
      </c>
      <c r="C36" s="1309"/>
      <c r="D36" s="1309"/>
      <c r="E36" s="1309"/>
      <c r="F36" s="1309"/>
      <c r="G36" s="1309"/>
      <c r="H36" s="1309"/>
      <c r="I36" s="1309"/>
      <c r="J36" s="1309"/>
      <c r="K36" s="1309"/>
      <c r="L36" s="1308"/>
      <c r="M36" s="1311"/>
      <c r="N36" s="1315"/>
      <c r="O36" s="1309"/>
      <c r="P36" s="1309"/>
      <c r="Q36" s="1309"/>
      <c r="R36" s="1309"/>
      <c r="S36" s="1309"/>
      <c r="T36" s="1309"/>
      <c r="U36" s="1311"/>
      <c r="V36" s="1308"/>
      <c r="W36" s="1309"/>
      <c r="X36" s="1309"/>
      <c r="Y36" s="1309"/>
      <c r="Z36" s="1309"/>
      <c r="AA36" s="1309"/>
      <c r="AB36" s="1311"/>
      <c r="AC36" s="1308"/>
      <c r="AD36" s="1309"/>
      <c r="AE36" s="1309"/>
      <c r="AF36" s="1309"/>
      <c r="AG36" s="1309"/>
      <c r="AH36" s="1309"/>
      <c r="AI36" s="1309"/>
      <c r="AJ36" s="1309"/>
      <c r="AK36" s="1311"/>
    </row>
    <row r="37" spans="1:37" ht="15" customHeight="1">
      <c r="A37" s="785">
        <v>6</v>
      </c>
      <c r="B37" s="1314" t="s">
        <v>1189</v>
      </c>
      <c r="C37" s="1309"/>
      <c r="D37" s="1309"/>
      <c r="E37" s="1309"/>
      <c r="F37" s="1309"/>
      <c r="G37" s="1309"/>
      <c r="H37" s="1309"/>
      <c r="I37" s="1309"/>
      <c r="J37" s="1309"/>
      <c r="K37" s="1309"/>
      <c r="L37" s="1308"/>
      <c r="M37" s="1311"/>
      <c r="N37" s="1315"/>
      <c r="O37" s="1309"/>
      <c r="P37" s="1309"/>
      <c r="Q37" s="1309"/>
      <c r="R37" s="1309"/>
      <c r="S37" s="1309"/>
      <c r="T37" s="1309"/>
      <c r="U37" s="1311"/>
      <c r="V37" s="1308"/>
      <c r="W37" s="1309"/>
      <c r="X37" s="1309"/>
      <c r="Y37" s="1309"/>
      <c r="Z37" s="1309"/>
      <c r="AA37" s="1309"/>
      <c r="AB37" s="1311"/>
      <c r="AC37" s="1308"/>
      <c r="AD37" s="1309"/>
      <c r="AE37" s="1309"/>
      <c r="AF37" s="1309"/>
      <c r="AG37" s="1309"/>
      <c r="AH37" s="1309"/>
      <c r="AI37" s="1309"/>
      <c r="AJ37" s="1309"/>
      <c r="AK37" s="1311"/>
    </row>
    <row r="38" spans="1:37" ht="15" customHeight="1">
      <c r="A38" s="785">
        <v>7</v>
      </c>
      <c r="B38" s="1314" t="s">
        <v>1190</v>
      </c>
      <c r="C38" s="1309"/>
      <c r="D38" s="1309"/>
      <c r="E38" s="1309"/>
      <c r="F38" s="1309"/>
      <c r="G38" s="1309"/>
      <c r="H38" s="1309"/>
      <c r="I38" s="1309"/>
      <c r="J38" s="1309"/>
      <c r="K38" s="1309"/>
      <c r="L38" s="1308"/>
      <c r="M38" s="1311"/>
      <c r="N38" s="1315"/>
      <c r="O38" s="1309"/>
      <c r="P38" s="1309"/>
      <c r="Q38" s="1309"/>
      <c r="R38" s="1309"/>
      <c r="S38" s="1309"/>
      <c r="T38" s="1309"/>
      <c r="U38" s="1311"/>
      <c r="V38" s="1308"/>
      <c r="W38" s="1309"/>
      <c r="X38" s="1309"/>
      <c r="Y38" s="1309"/>
      <c r="Z38" s="1309"/>
      <c r="AA38" s="1309"/>
      <c r="AB38" s="1311"/>
      <c r="AC38" s="1308"/>
      <c r="AD38" s="1309"/>
      <c r="AE38" s="1309"/>
      <c r="AF38" s="1309"/>
      <c r="AG38" s="1309"/>
      <c r="AH38" s="1309"/>
      <c r="AI38" s="1309"/>
      <c r="AJ38" s="1309"/>
      <c r="AK38" s="1311"/>
    </row>
    <row r="39" spans="1:37" ht="15" customHeight="1">
      <c r="A39" s="785">
        <v>8</v>
      </c>
      <c r="B39" s="1314" t="s">
        <v>1191</v>
      </c>
      <c r="C39" s="1309"/>
      <c r="D39" s="1309"/>
      <c r="E39" s="1309"/>
      <c r="F39" s="1309"/>
      <c r="G39" s="1309"/>
      <c r="H39" s="1309"/>
      <c r="I39" s="1309"/>
      <c r="J39" s="1309"/>
      <c r="K39" s="1309"/>
      <c r="L39" s="1308"/>
      <c r="M39" s="1311"/>
      <c r="N39" s="1315"/>
      <c r="O39" s="1309"/>
      <c r="P39" s="1309"/>
      <c r="Q39" s="1309"/>
      <c r="R39" s="1309"/>
      <c r="S39" s="1309"/>
      <c r="T39" s="1309"/>
      <c r="U39" s="1311"/>
      <c r="V39" s="1308"/>
      <c r="W39" s="1309"/>
      <c r="X39" s="1309"/>
      <c r="Y39" s="1309"/>
      <c r="Z39" s="1309"/>
      <c r="AA39" s="1309"/>
      <c r="AB39" s="1311"/>
      <c r="AC39" s="1308"/>
      <c r="AD39" s="1309"/>
      <c r="AE39" s="1309"/>
      <c r="AF39" s="1309"/>
      <c r="AG39" s="1309"/>
      <c r="AH39" s="1309"/>
      <c r="AI39" s="1309"/>
      <c r="AJ39" s="1309"/>
      <c r="AK39" s="1311"/>
    </row>
    <row r="40" spans="1:37" ht="15" customHeight="1">
      <c r="A40" s="785">
        <v>9</v>
      </c>
      <c r="B40" s="1314" t="s">
        <v>1192</v>
      </c>
      <c r="C40" s="1309"/>
      <c r="D40" s="1309"/>
      <c r="E40" s="1309"/>
      <c r="F40" s="1309"/>
      <c r="G40" s="1309"/>
      <c r="H40" s="1309"/>
      <c r="I40" s="1309"/>
      <c r="J40" s="1309"/>
      <c r="K40" s="1309"/>
      <c r="L40" s="1308"/>
      <c r="M40" s="1311"/>
      <c r="N40" s="1315"/>
      <c r="O40" s="1309"/>
      <c r="P40" s="1309"/>
      <c r="Q40" s="1309"/>
      <c r="R40" s="1309"/>
      <c r="S40" s="1309"/>
      <c r="T40" s="1309"/>
      <c r="U40" s="1311"/>
      <c r="V40" s="1308"/>
      <c r="W40" s="1309"/>
      <c r="X40" s="1309"/>
      <c r="Y40" s="1309"/>
      <c r="Z40" s="1309"/>
      <c r="AA40" s="1309"/>
      <c r="AB40" s="1311"/>
      <c r="AC40" s="1308"/>
      <c r="AD40" s="1309"/>
      <c r="AE40" s="1309"/>
      <c r="AF40" s="1309"/>
      <c r="AG40" s="1309"/>
      <c r="AH40" s="1309"/>
      <c r="AI40" s="1309"/>
      <c r="AJ40" s="1309"/>
      <c r="AK40" s="1311"/>
    </row>
    <row r="41" spans="1:37" s="1149" customFormat="1" ht="15" customHeight="1">
      <c r="A41" s="1262">
        <v>10</v>
      </c>
      <c r="B41" s="1692" t="s">
        <v>1193</v>
      </c>
      <c r="C41" s="1263"/>
      <c r="D41" s="1263"/>
      <c r="E41" s="1263"/>
      <c r="F41" s="1263"/>
      <c r="G41" s="1263"/>
      <c r="H41" s="1263"/>
      <c r="I41" s="1263"/>
      <c r="J41" s="1263"/>
      <c r="K41" s="1263"/>
      <c r="L41" s="1150"/>
      <c r="M41" s="1264"/>
      <c r="N41" s="1693"/>
      <c r="O41" s="1263"/>
      <c r="P41" s="1263"/>
      <c r="Q41" s="1263"/>
      <c r="R41" s="1263"/>
      <c r="S41" s="1263"/>
      <c r="T41" s="1263"/>
      <c r="U41" s="1264"/>
      <c r="V41" s="1150"/>
      <c r="W41" s="1263"/>
      <c r="X41" s="1263"/>
      <c r="Y41" s="1263"/>
      <c r="Z41" s="1263"/>
      <c r="AA41" s="1263"/>
      <c r="AB41" s="1264"/>
      <c r="AC41" s="1150"/>
      <c r="AD41" s="1263"/>
      <c r="AE41" s="1263"/>
      <c r="AF41" s="1263"/>
      <c r="AG41" s="1263"/>
      <c r="AH41" s="1263"/>
      <c r="AI41" s="1263"/>
      <c r="AJ41" s="1263"/>
      <c r="AK41" s="1264"/>
    </row>
    <row r="42" spans="1:37" s="1149" customFormat="1" ht="15" customHeight="1">
      <c r="A42" s="1262">
        <v>11</v>
      </c>
      <c r="B42" s="1692" t="s">
        <v>1194</v>
      </c>
      <c r="C42" s="1263"/>
      <c r="D42" s="1263"/>
      <c r="E42" s="1263"/>
      <c r="F42" s="1263"/>
      <c r="G42" s="1263"/>
      <c r="H42" s="1263"/>
      <c r="I42" s="1263"/>
      <c r="J42" s="1263"/>
      <c r="K42" s="1263"/>
      <c r="L42" s="1150"/>
      <c r="M42" s="1264"/>
      <c r="N42" s="1693"/>
      <c r="O42" s="1263"/>
      <c r="P42" s="1263"/>
      <c r="Q42" s="1263"/>
      <c r="R42" s="1263"/>
      <c r="S42" s="1263"/>
      <c r="T42" s="1263"/>
      <c r="U42" s="1264"/>
      <c r="V42" s="1150"/>
      <c r="W42" s="1263"/>
      <c r="X42" s="1263"/>
      <c r="Y42" s="1263"/>
      <c r="Z42" s="1263"/>
      <c r="AA42" s="1263"/>
      <c r="AB42" s="1264"/>
      <c r="AC42" s="1150"/>
      <c r="AD42" s="1263"/>
      <c r="AE42" s="1263"/>
      <c r="AF42" s="1263"/>
      <c r="AG42" s="1263"/>
      <c r="AH42" s="1263"/>
      <c r="AI42" s="1263"/>
      <c r="AJ42" s="1263"/>
      <c r="AK42" s="1264"/>
    </row>
    <row r="43" spans="1:37" ht="15" customHeight="1">
      <c r="A43" s="785">
        <v>12</v>
      </c>
      <c r="B43" s="1314" t="s">
        <v>1195</v>
      </c>
      <c r="C43" s="1309"/>
      <c r="D43" s="1309"/>
      <c r="E43" s="1309"/>
      <c r="F43" s="1309"/>
      <c r="G43" s="1309"/>
      <c r="H43" s="1309"/>
      <c r="I43" s="1309"/>
      <c r="J43" s="1309"/>
      <c r="K43" s="1309"/>
      <c r="L43" s="1308"/>
      <c r="M43" s="1311"/>
      <c r="N43" s="1315"/>
      <c r="O43" s="1309"/>
      <c r="P43" s="1309"/>
      <c r="Q43" s="1309"/>
      <c r="R43" s="1309"/>
      <c r="S43" s="1309"/>
      <c r="T43" s="1309"/>
      <c r="U43" s="1311"/>
      <c r="V43" s="1308"/>
      <c r="W43" s="1309"/>
      <c r="X43" s="1309"/>
      <c r="Y43" s="1309"/>
      <c r="Z43" s="1309"/>
      <c r="AA43" s="1309"/>
      <c r="AB43" s="1311"/>
      <c r="AC43" s="1308"/>
      <c r="AD43" s="1309"/>
      <c r="AE43" s="1309"/>
      <c r="AF43" s="1309"/>
      <c r="AG43" s="1309"/>
      <c r="AH43" s="1309"/>
      <c r="AI43" s="1309"/>
      <c r="AJ43" s="1309"/>
      <c r="AK43" s="1311"/>
    </row>
    <row r="44" spans="1:37" ht="15" customHeight="1">
      <c r="A44" s="785">
        <v>13</v>
      </c>
      <c r="B44" s="1314" t="s">
        <v>112</v>
      </c>
      <c r="C44" s="1309"/>
      <c r="D44" s="1309"/>
      <c r="E44" s="1309"/>
      <c r="F44" s="1309"/>
      <c r="G44" s="1309"/>
      <c r="H44" s="1309"/>
      <c r="I44" s="1309"/>
      <c r="J44" s="1309"/>
      <c r="K44" s="1309"/>
      <c r="L44" s="1308"/>
      <c r="M44" s="1311"/>
      <c r="N44" s="1315"/>
      <c r="O44" s="1309"/>
      <c r="P44" s="1309"/>
      <c r="Q44" s="1309"/>
      <c r="R44" s="1309"/>
      <c r="S44" s="1309"/>
      <c r="T44" s="1309"/>
      <c r="U44" s="1311"/>
      <c r="V44" s="1308"/>
      <c r="W44" s="1309"/>
      <c r="X44" s="1309"/>
      <c r="Y44" s="1309"/>
      <c r="Z44" s="1309"/>
      <c r="AA44" s="1309"/>
      <c r="AB44" s="1311"/>
      <c r="AC44" s="1308"/>
      <c r="AD44" s="1309"/>
      <c r="AE44" s="1309"/>
      <c r="AF44" s="1309"/>
      <c r="AG44" s="1309"/>
      <c r="AH44" s="1309"/>
      <c r="AI44" s="1309"/>
      <c r="AJ44" s="1309"/>
      <c r="AK44" s="1301"/>
    </row>
    <row r="45" spans="1:37" ht="15.75" customHeight="1">
      <c r="A45" s="1272"/>
      <c r="B45" s="1272"/>
      <c r="C45" s="1272"/>
      <c r="D45" s="1272"/>
      <c r="E45" s="1272"/>
      <c r="F45" s="1272"/>
      <c r="G45" s="1272"/>
      <c r="H45" s="1272"/>
      <c r="I45" s="1272"/>
      <c r="J45" s="1272"/>
      <c r="K45" s="1272"/>
      <c r="L45" s="1272"/>
      <c r="M45" s="1272"/>
      <c r="N45" s="1273"/>
      <c r="O45" s="1272"/>
      <c r="P45" s="1272"/>
      <c r="Q45" s="1272"/>
      <c r="R45" s="1272"/>
      <c r="S45" s="1272"/>
      <c r="T45" s="1272"/>
      <c r="U45" s="1272"/>
      <c r="V45" s="1272"/>
      <c r="W45" s="1272"/>
      <c r="X45" s="1272"/>
      <c r="Y45" s="1272"/>
      <c r="Z45" s="1272"/>
      <c r="AA45" s="1272"/>
      <c r="AB45" s="1272"/>
      <c r="AC45" s="1272"/>
      <c r="AD45" s="1272"/>
      <c r="AE45" s="1272"/>
      <c r="AF45" s="1272"/>
      <c r="AG45" s="1272"/>
      <c r="AH45" s="1272"/>
      <c r="AI45" s="1272"/>
      <c r="AJ45" s="1272"/>
      <c r="AK45" s="1272"/>
    </row>
    <row r="46" spans="1:37" ht="15.75" customHeight="1">
      <c r="A46" s="1272"/>
      <c r="B46" s="1272"/>
      <c r="C46" s="1272"/>
      <c r="D46" s="1272"/>
      <c r="E46" s="1272"/>
      <c r="F46" s="1272"/>
      <c r="G46" s="1272"/>
      <c r="H46" s="1272"/>
      <c r="I46" s="1272"/>
      <c r="J46" s="1272"/>
      <c r="K46" s="1272"/>
      <c r="L46" s="1272"/>
      <c r="M46" s="1272"/>
      <c r="N46" s="1273"/>
      <c r="O46" s="1272"/>
      <c r="P46" s="1272"/>
      <c r="Q46" s="1272"/>
      <c r="R46" s="1272"/>
      <c r="S46" s="1272"/>
      <c r="T46" s="1272"/>
      <c r="U46" s="1272"/>
      <c r="V46" s="1272"/>
      <c r="W46" s="1272"/>
      <c r="X46" s="1272"/>
      <c r="Y46" s="1272"/>
      <c r="Z46" s="1272"/>
      <c r="AA46" s="1272"/>
      <c r="AB46" s="1272"/>
      <c r="AC46" s="1272"/>
      <c r="AD46" s="1272"/>
      <c r="AE46" s="1272"/>
      <c r="AF46" s="1272"/>
      <c r="AG46" s="1272"/>
      <c r="AH46" s="1272"/>
      <c r="AI46" s="1272"/>
      <c r="AJ46" s="1272"/>
      <c r="AK46" s="1272"/>
    </row>
    <row r="47" spans="1:37" ht="15.75" customHeight="1">
      <c r="A47" s="1272"/>
      <c r="B47" s="1272"/>
      <c r="C47" s="1272"/>
      <c r="D47" s="1272"/>
      <c r="E47" s="1272"/>
      <c r="F47" s="1272"/>
      <c r="G47" s="1272"/>
      <c r="H47" s="1272"/>
      <c r="I47" s="1272"/>
      <c r="J47" s="1272"/>
      <c r="K47" s="1272"/>
      <c r="L47" s="1272"/>
      <c r="M47" s="1272"/>
      <c r="N47" s="1273"/>
      <c r="O47" s="1272"/>
      <c r="P47" s="1272"/>
      <c r="Q47" s="1272"/>
      <c r="R47" s="1272"/>
      <c r="S47" s="1272"/>
      <c r="T47" s="1272"/>
      <c r="U47" s="1272"/>
      <c r="V47" s="1272"/>
      <c r="W47" s="1272"/>
      <c r="X47" s="1272"/>
      <c r="Y47" s="1272"/>
      <c r="Z47" s="1272"/>
      <c r="AA47" s="1272"/>
      <c r="AB47" s="1272"/>
      <c r="AC47" s="1272"/>
      <c r="AD47" s="1272"/>
      <c r="AE47" s="1272"/>
      <c r="AF47" s="1272"/>
      <c r="AG47" s="1272"/>
      <c r="AH47" s="1272"/>
      <c r="AI47" s="1272"/>
      <c r="AJ47" s="1272"/>
      <c r="AK47" s="1272"/>
    </row>
    <row r="48" spans="1:37" ht="15.75" customHeight="1">
      <c r="A48" s="1272"/>
      <c r="B48" s="1272"/>
      <c r="C48" s="1272"/>
      <c r="D48" s="1272"/>
      <c r="E48" s="1272"/>
      <c r="F48" s="1272"/>
      <c r="G48" s="1272"/>
      <c r="H48" s="1272"/>
      <c r="I48" s="1272"/>
      <c r="J48" s="1272"/>
      <c r="K48" s="1272"/>
      <c r="L48" s="1272"/>
      <c r="M48" s="1272"/>
      <c r="N48" s="1273"/>
      <c r="O48" s="1272"/>
      <c r="P48" s="1272"/>
      <c r="Q48" s="1272"/>
      <c r="R48" s="1272"/>
      <c r="S48" s="1272"/>
      <c r="T48" s="1272"/>
      <c r="U48" s="1272"/>
      <c r="V48" s="1272"/>
      <c r="W48" s="1272"/>
      <c r="X48" s="1272"/>
      <c r="Y48" s="1272"/>
      <c r="Z48" s="1272"/>
      <c r="AA48" s="1272"/>
      <c r="AB48" s="1272"/>
      <c r="AC48" s="1272"/>
      <c r="AD48" s="1272"/>
      <c r="AE48" s="1272"/>
      <c r="AF48" s="1272"/>
      <c r="AG48" s="1272"/>
      <c r="AH48" s="1272"/>
      <c r="AI48" s="1272"/>
      <c r="AJ48" s="1272"/>
      <c r="AK48" s="1272"/>
    </row>
    <row r="49" spans="1:1" ht="15.75" customHeight="1">
      <c r="A49" s="1272"/>
    </row>
    <row r="50" spans="1:1" ht="15.75" customHeight="1">
      <c r="A50" s="1272"/>
    </row>
    <row r="51" spans="1:1" ht="15.75" customHeight="1">
      <c r="A51" s="1272"/>
    </row>
    <row r="52" spans="1:1" ht="15.75" customHeight="1">
      <c r="A52" s="1272"/>
    </row>
    <row r="53" spans="1:1" ht="15.75" customHeight="1">
      <c r="A53" s="1272"/>
    </row>
    <row r="54" spans="1:1" ht="15.75" customHeight="1">
      <c r="A54" s="1272"/>
    </row>
    <row r="55" spans="1:1" ht="15.75" customHeight="1">
      <c r="A55" s="1272"/>
    </row>
    <row r="56" spans="1:1" ht="15.75" customHeight="1">
      <c r="A56" s="1272"/>
    </row>
    <row r="57" spans="1:1" ht="15.75" customHeight="1">
      <c r="A57" s="1272"/>
    </row>
    <row r="58" spans="1:1" ht="15.75" customHeight="1">
      <c r="A58" s="1272"/>
    </row>
    <row r="59" spans="1:1" ht="15.75" customHeight="1">
      <c r="A59" s="1272"/>
    </row>
    <row r="60" spans="1:1" ht="15.75" customHeight="1">
      <c r="A60" s="1272"/>
    </row>
    <row r="61" spans="1:1" ht="15.75" customHeight="1">
      <c r="A61" s="1272"/>
    </row>
    <row r="62" spans="1:1" ht="15.75" customHeight="1">
      <c r="A62" s="1272"/>
    </row>
    <row r="63" spans="1:1" ht="15.75" customHeight="1">
      <c r="A63" s="1272"/>
    </row>
    <row r="64" spans="1:1" ht="15.75" customHeight="1">
      <c r="A64" s="1272"/>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341" spans="1:1">
      <c r="A341" s="1273"/>
    </row>
    <row r="342" spans="1:1">
      <c r="A342" s="1273"/>
    </row>
    <row r="343" spans="1:1">
      <c r="A343" s="1273"/>
    </row>
    <row r="344" spans="1:1">
      <c r="A344" s="1273"/>
    </row>
    <row r="345" spans="1:1">
      <c r="A345" s="1273"/>
    </row>
    <row r="346" spans="1:1">
      <c r="A346" s="1273"/>
    </row>
    <row r="347" spans="1:1">
      <c r="A347" s="1273"/>
    </row>
    <row r="348" spans="1:1">
      <c r="A348" s="1273"/>
    </row>
    <row r="349" spans="1:1">
      <c r="A349" s="1273"/>
    </row>
    <row r="350" spans="1:1">
      <c r="A350" s="1273"/>
    </row>
    <row r="351" spans="1:1">
      <c r="A351" s="1273"/>
    </row>
    <row r="352" spans="1:1">
      <c r="A352" s="1273"/>
    </row>
    <row r="353" spans="1:1">
      <c r="A353" s="1273"/>
    </row>
    <row r="354" spans="1:1">
      <c r="A354" s="1273"/>
    </row>
    <row r="355" spans="1:1">
      <c r="A355" s="1273"/>
    </row>
    <row r="356" spans="1:1">
      <c r="A356" s="1273"/>
    </row>
    <row r="357" spans="1:1">
      <c r="A357" s="1273"/>
    </row>
    <row r="358" spans="1:1">
      <c r="A358" s="1273"/>
    </row>
    <row r="359" spans="1:1">
      <c r="A359" s="1273"/>
    </row>
    <row r="360" spans="1:1">
      <c r="A360" s="1273"/>
    </row>
    <row r="361" spans="1:1">
      <c r="A361" s="1273"/>
    </row>
    <row r="362" spans="1:1">
      <c r="A362" s="1273"/>
    </row>
    <row r="363" spans="1:1">
      <c r="A363" s="1273"/>
    </row>
  </sheetData>
  <customSheetViews>
    <customSheetView guid="{77361B37-359A-4BD7-AABE-B5C029043447}" showGridLines="0">
      <selection activeCell="H7" sqref="H7"/>
      <rowBreaks count="2" manualBreakCount="2">
        <brk id="40" max="16383" man="1"/>
        <brk id="80" max="16383" man="1"/>
      </rowBreaks>
      <pageMargins left="0" right="0" top="0" bottom="0" header="0" footer="0"/>
      <pageSetup paperSize="9" orientation="landscape" horizontalDpi="300" verticalDpi="300" r:id="rId1"/>
      <headerFooter alignWithMargins="0">
        <oddFooter>&amp;C&amp;P</oddFooter>
      </headerFooter>
    </customSheetView>
  </customSheetViews>
  <mergeCells count="54">
    <mergeCell ref="N25:U25"/>
    <mergeCell ref="N26:U30"/>
    <mergeCell ref="N31:U31"/>
    <mergeCell ref="V25:AB25"/>
    <mergeCell ref="V26:AB30"/>
    <mergeCell ref="V31:AB31"/>
    <mergeCell ref="AC26:AK30"/>
    <mergeCell ref="AC25:AK25"/>
    <mergeCell ref="AC31:AK31"/>
    <mergeCell ref="Q4:Z4"/>
    <mergeCell ref="B21:G21"/>
    <mergeCell ref="B22:G22"/>
    <mergeCell ref="B25:M25"/>
    <mergeCell ref="B14:G14"/>
    <mergeCell ref="B15:G15"/>
    <mergeCell ref="B16:G16"/>
    <mergeCell ref="B17:G17"/>
    <mergeCell ref="B19:G19"/>
    <mergeCell ref="Q5:U12"/>
    <mergeCell ref="V5:Z12"/>
    <mergeCell ref="B26:M28"/>
    <mergeCell ref="I14:M14"/>
    <mergeCell ref="AT3:AV3"/>
    <mergeCell ref="AT4:BA4"/>
    <mergeCell ref="AF4:AL4"/>
    <mergeCell ref="I5:P7"/>
    <mergeCell ref="B20:G20"/>
    <mergeCell ref="B4:H4"/>
    <mergeCell ref="I4:P4"/>
    <mergeCell ref="I10:O11"/>
    <mergeCell ref="P10:P11"/>
    <mergeCell ref="B5:H8"/>
    <mergeCell ref="AT19:BA19"/>
    <mergeCell ref="AT20:BA20"/>
    <mergeCell ref="AT14:BA14"/>
    <mergeCell ref="AT15:BA15"/>
    <mergeCell ref="AT16:BA16"/>
    <mergeCell ref="AA13:AE13"/>
    <mergeCell ref="B18:G18"/>
    <mergeCell ref="AT18:BA18"/>
    <mergeCell ref="A4:A13"/>
    <mergeCell ref="A25:A31"/>
    <mergeCell ref="AM4:AS4"/>
    <mergeCell ref="AA4:AE4"/>
    <mergeCell ref="AT21:BA21"/>
    <mergeCell ref="AT22:BA22"/>
    <mergeCell ref="AT17:BA17"/>
    <mergeCell ref="AT5:BA12"/>
    <mergeCell ref="AM5:AS12"/>
    <mergeCell ref="AF5:AL12"/>
    <mergeCell ref="AA5:AE12"/>
    <mergeCell ref="Q13:Z13"/>
    <mergeCell ref="AF13:AL13"/>
    <mergeCell ref="AM13:AS13"/>
  </mergeCells>
  <phoneticPr fontId="0" type="noConversion"/>
  <pageMargins left="0.78740157480314965" right="0.78740157480314965" top="0.78740157480314965" bottom="0.78740157480314965" header="0.31496062992125984" footer="0.31496062992125984"/>
  <pageSetup paperSize="9" scale="80" orientation="landscape" r:id="rId2"/>
  <headerFooter alignWithMargins="0">
    <oddFooter>&amp;C&amp;P</oddFooter>
  </headerFooter>
  <legacy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96"/>
  <sheetViews>
    <sheetView view="pageBreakPreview" topLeftCell="A65" zoomScaleNormal="100" zoomScaleSheetLayoutView="100" workbookViewId="0">
      <selection activeCell="AD93" sqref="AD93"/>
    </sheetView>
  </sheetViews>
  <sheetFormatPr defaultColWidth="9.140625" defaultRowHeight="12.75"/>
  <cols>
    <col min="1" max="1" width="7.28515625" style="548" customWidth="1"/>
    <col min="2" max="7" width="5.28515625" style="269" customWidth="1"/>
    <col min="8" max="8" width="2.28515625" style="269" customWidth="1"/>
    <col min="9" max="14" width="6.42578125" style="269" customWidth="1"/>
    <col min="15" max="15" width="7" style="269" customWidth="1"/>
    <col min="16" max="16" width="5.42578125" style="269" customWidth="1"/>
    <col min="17" max="17" width="5.28515625" style="269" bestFit="1" customWidth="1"/>
    <col min="18" max="18" width="4.28515625" style="269" customWidth="1"/>
    <col min="19" max="19" width="4.140625" style="534" customWidth="1"/>
    <col min="20" max="20" width="3" style="534" customWidth="1"/>
    <col min="21" max="21" width="2.42578125" style="269" customWidth="1"/>
    <col min="22" max="22" width="7" style="269" customWidth="1"/>
    <col min="23" max="23" width="1.28515625" style="269" customWidth="1"/>
    <col min="24" max="16384" width="9.140625" style="269"/>
  </cols>
  <sheetData>
    <row r="1" spans="1:23" ht="15.75">
      <c r="A1" s="577" t="s">
        <v>1196</v>
      </c>
      <c r="W1" s="576"/>
    </row>
    <row r="2" spans="1:23">
      <c r="A2" s="1599" t="s">
        <v>859</v>
      </c>
      <c r="W2" s="1589" t="s">
        <v>860</v>
      </c>
    </row>
    <row r="3" spans="1:23">
      <c r="A3" s="535" t="s">
        <v>909</v>
      </c>
      <c r="B3" s="3241" t="s">
        <v>910</v>
      </c>
      <c r="C3" s="3241"/>
      <c r="D3" s="3241"/>
      <c r="E3" s="3241"/>
      <c r="F3" s="3241"/>
      <c r="G3" s="3241"/>
      <c r="H3" s="3242" t="s">
        <v>911</v>
      </c>
      <c r="I3" s="3242"/>
      <c r="J3" s="3242"/>
      <c r="K3" s="3242"/>
      <c r="L3" s="3242"/>
      <c r="M3" s="3242"/>
      <c r="N3" s="3242"/>
      <c r="O3" s="3242"/>
      <c r="P3" s="3242"/>
      <c r="Q3" s="3242"/>
      <c r="R3" s="3242"/>
      <c r="S3" s="3243"/>
      <c r="T3" s="537"/>
      <c r="U3" s="3244" t="s">
        <v>912</v>
      </c>
      <c r="V3" s="3242"/>
      <c r="W3" s="3245"/>
    </row>
    <row r="4" spans="1:23" s="516" customFormat="1">
      <c r="A4" s="3254">
        <v>-10.01</v>
      </c>
      <c r="B4" s="3062" t="s">
        <v>1197</v>
      </c>
      <c r="C4" s="3002"/>
      <c r="D4" s="3002"/>
      <c r="E4" s="3002"/>
      <c r="F4" s="3002"/>
      <c r="G4" s="3063"/>
      <c r="H4" s="538"/>
      <c r="I4" s="531"/>
      <c r="J4" s="539"/>
      <c r="K4" s="539"/>
      <c r="L4" s="539"/>
      <c r="M4" s="539"/>
      <c r="N4" s="539"/>
      <c r="O4" s="539"/>
      <c r="P4" s="539"/>
      <c r="Q4" s="539"/>
      <c r="R4" s="539"/>
      <c r="S4" s="517"/>
      <c r="T4" s="544"/>
      <c r="U4" s="522"/>
      <c r="V4" s="552"/>
      <c r="W4" s="523"/>
    </row>
    <row r="5" spans="1:23" s="516" customFormat="1">
      <c r="A5" s="3255"/>
      <c r="B5" s="3064"/>
      <c r="C5" s="2357"/>
      <c r="D5" s="2357"/>
      <c r="E5" s="2357"/>
      <c r="F5" s="2357"/>
      <c r="G5" s="3065"/>
      <c r="H5" s="540"/>
      <c r="I5" s="516" t="s">
        <v>1198</v>
      </c>
      <c r="S5" s="1489">
        <v>1</v>
      </c>
      <c r="T5" s="545"/>
      <c r="U5" s="522"/>
      <c r="V5" s="552"/>
      <c r="W5" s="523"/>
    </row>
    <row r="6" spans="1:23" s="516" customFormat="1">
      <c r="A6" s="3255"/>
      <c r="B6" s="3064"/>
      <c r="C6" s="2357"/>
      <c r="D6" s="2357"/>
      <c r="E6" s="2357"/>
      <c r="F6" s="2357"/>
      <c r="G6" s="3065"/>
      <c r="H6" s="540"/>
      <c r="I6" s="516" t="s">
        <v>1199</v>
      </c>
      <c r="S6" s="1489">
        <v>2</v>
      </c>
      <c r="T6" s="545"/>
      <c r="U6" s="541"/>
      <c r="V6" s="549"/>
      <c r="W6" s="523"/>
    </row>
    <row r="7" spans="1:23" s="516" customFormat="1">
      <c r="A7" s="3255"/>
      <c r="B7" s="3064"/>
      <c r="C7" s="2357"/>
      <c r="D7" s="2357"/>
      <c r="E7" s="2357"/>
      <c r="F7" s="2357"/>
      <c r="G7" s="3065"/>
      <c r="H7" s="540"/>
      <c r="I7" s="516" t="s">
        <v>1200</v>
      </c>
      <c r="Q7" s="1487"/>
      <c r="S7" s="1489">
        <v>3</v>
      </c>
      <c r="T7" s="545"/>
      <c r="V7" s="1546"/>
      <c r="W7" s="523"/>
    </row>
    <row r="8" spans="1:23" s="516" customFormat="1">
      <c r="A8" s="3255"/>
      <c r="B8" s="3064"/>
      <c r="C8" s="2357"/>
      <c r="D8" s="2357"/>
      <c r="E8" s="2357"/>
      <c r="F8" s="2357"/>
      <c r="G8" s="3065"/>
      <c r="H8" s="540"/>
      <c r="I8" s="516" t="s">
        <v>1201</v>
      </c>
      <c r="Q8" s="1487"/>
      <c r="S8" s="1489">
        <v>4</v>
      </c>
      <c r="T8" s="545"/>
      <c r="V8" s="549"/>
      <c r="W8" s="523"/>
    </row>
    <row r="9" spans="1:23" s="516" customFormat="1">
      <c r="A9" s="3256"/>
      <c r="B9" s="3072"/>
      <c r="C9" s="3073"/>
      <c r="D9" s="3073"/>
      <c r="E9" s="3073"/>
      <c r="F9" s="3073"/>
      <c r="G9" s="3074"/>
      <c r="H9" s="542"/>
      <c r="I9" s="528"/>
      <c r="J9" s="528"/>
      <c r="K9" s="528"/>
      <c r="L9" s="528"/>
      <c r="M9" s="528"/>
      <c r="N9" s="528"/>
      <c r="O9" s="528"/>
      <c r="P9" s="528"/>
      <c r="Q9" s="528"/>
      <c r="R9" s="528"/>
      <c r="S9" s="518"/>
      <c r="T9" s="546"/>
      <c r="U9" s="524"/>
      <c r="V9" s="553"/>
      <c r="W9" s="525"/>
    </row>
    <row r="10" spans="1:23" s="516" customFormat="1" ht="15" customHeight="1">
      <c r="A10" s="3254">
        <f>+A4-0.01</f>
        <v>-10.02</v>
      </c>
      <c r="B10" s="3069" t="s">
        <v>1202</v>
      </c>
      <c r="C10" s="3070"/>
      <c r="D10" s="3070"/>
      <c r="E10" s="3070"/>
      <c r="F10" s="3070"/>
      <c r="G10" s="3071"/>
      <c r="H10" s="543"/>
      <c r="I10" s="531"/>
      <c r="J10" s="531"/>
      <c r="K10" s="531"/>
      <c r="L10" s="531"/>
      <c r="M10" s="531"/>
      <c r="N10" s="531"/>
      <c r="O10" s="531"/>
      <c r="P10" s="531"/>
      <c r="Q10" s="531"/>
      <c r="R10" s="531"/>
      <c r="S10" s="520"/>
      <c r="T10" s="530"/>
      <c r="U10" s="531"/>
      <c r="V10" s="551"/>
      <c r="W10" s="526"/>
    </row>
    <row r="11" spans="1:23" s="516" customFormat="1" ht="15" customHeight="1">
      <c r="A11" s="3255"/>
      <c r="B11" s="3258" t="s">
        <v>1203</v>
      </c>
      <c r="C11" s="3259"/>
      <c r="D11" s="3259"/>
      <c r="E11" s="3259"/>
      <c r="F11" s="3259"/>
      <c r="G11" s="3260"/>
      <c r="H11" s="540"/>
      <c r="I11" s="516" t="s">
        <v>1204</v>
      </c>
      <c r="S11" s="1489">
        <v>1</v>
      </c>
      <c r="T11" s="532"/>
      <c r="V11" s="1546"/>
      <c r="W11" s="527"/>
    </row>
    <row r="12" spans="1:23" s="516" customFormat="1" ht="15" customHeight="1">
      <c r="A12" s="3255"/>
      <c r="B12" s="3258"/>
      <c r="C12" s="3259"/>
      <c r="D12" s="3259"/>
      <c r="E12" s="3259"/>
      <c r="F12" s="3259"/>
      <c r="G12" s="3260"/>
      <c r="H12" s="540"/>
      <c r="I12" s="516" t="s">
        <v>1205</v>
      </c>
      <c r="S12" s="1489">
        <v>2</v>
      </c>
      <c r="T12" s="532"/>
      <c r="V12" s="555"/>
      <c r="W12" s="527"/>
    </row>
    <row r="13" spans="1:23" s="516" customFormat="1" ht="15" customHeight="1">
      <c r="A13" s="3255"/>
      <c r="B13" s="3258"/>
      <c r="C13" s="3259"/>
      <c r="D13" s="3259"/>
      <c r="E13" s="3259"/>
      <c r="F13" s="3259"/>
      <c r="G13" s="3260"/>
      <c r="H13" s="540"/>
      <c r="T13" s="532"/>
      <c r="W13" s="527"/>
    </row>
    <row r="14" spans="1:23" s="516" customFormat="1" ht="15" customHeight="1">
      <c r="A14" s="3255"/>
      <c r="B14" s="3261"/>
      <c r="C14" s="3262"/>
      <c r="D14" s="3262"/>
      <c r="E14" s="3262"/>
      <c r="F14" s="3262"/>
      <c r="G14" s="3263"/>
      <c r="H14" s="540"/>
      <c r="S14" s="1489"/>
      <c r="T14" s="532"/>
      <c r="V14" s="1546"/>
      <c r="W14" s="527"/>
    </row>
    <row r="15" spans="1:23" s="516" customFormat="1" ht="15" customHeight="1">
      <c r="A15" s="3257">
        <f>+A10-0.01</f>
        <v>-10.029999999999999</v>
      </c>
      <c r="B15" s="3069" t="s">
        <v>1206</v>
      </c>
      <c r="C15" s="3070"/>
      <c r="D15" s="3070"/>
      <c r="E15" s="3070"/>
      <c r="F15" s="3070"/>
      <c r="G15" s="3071"/>
      <c r="H15" s="538"/>
      <c r="I15" s="539"/>
      <c r="J15" s="539"/>
      <c r="K15" s="539"/>
      <c r="L15" s="539"/>
      <c r="M15" s="539"/>
      <c r="N15" s="539"/>
      <c r="O15" s="539"/>
      <c r="P15" s="539"/>
      <c r="Q15" s="539"/>
      <c r="R15" s="539"/>
      <c r="S15" s="517"/>
      <c r="T15" s="547"/>
      <c r="U15" s="522"/>
      <c r="V15" s="552"/>
      <c r="W15" s="523"/>
    </row>
    <row r="16" spans="1:23" s="516" customFormat="1" ht="15" customHeight="1">
      <c r="A16" s="3255"/>
      <c r="B16" s="3064"/>
      <c r="C16" s="2357"/>
      <c r="D16" s="2357"/>
      <c r="E16" s="2357"/>
      <c r="F16" s="2357"/>
      <c r="G16" s="3065"/>
      <c r="H16" s="540"/>
      <c r="Q16" s="1490" t="s">
        <v>815</v>
      </c>
      <c r="R16" s="536"/>
      <c r="S16" s="521"/>
      <c r="T16" s="532"/>
      <c r="U16" s="522"/>
      <c r="V16" s="552"/>
      <c r="W16" s="523"/>
    </row>
    <row r="17" spans="1:23" s="516" customFormat="1" ht="15" customHeight="1">
      <c r="A17" s="3255"/>
      <c r="B17" s="3064"/>
      <c r="C17" s="2357"/>
      <c r="D17" s="2357"/>
      <c r="E17" s="2357"/>
      <c r="F17" s="2357"/>
      <c r="G17" s="3065"/>
      <c r="H17" s="540"/>
      <c r="Q17" s="1490"/>
      <c r="R17" s="1489"/>
      <c r="S17" s="1489"/>
      <c r="T17" s="532"/>
      <c r="U17" s="522"/>
      <c r="V17" s="552"/>
      <c r="W17" s="523"/>
    </row>
    <row r="18" spans="1:23" s="516" customFormat="1" ht="15" customHeight="1">
      <c r="A18" s="3255"/>
      <c r="B18" s="3064"/>
      <c r="C18" s="2357"/>
      <c r="D18" s="2357"/>
      <c r="E18" s="2357"/>
      <c r="F18" s="2357"/>
      <c r="G18" s="3065"/>
      <c r="H18" s="540"/>
      <c r="Q18" s="1490"/>
      <c r="R18" s="1489"/>
      <c r="S18" s="1489"/>
      <c r="T18" s="532"/>
      <c r="U18" s="522"/>
      <c r="V18" s="552"/>
      <c r="W18" s="523"/>
    </row>
    <row r="19" spans="1:23" s="516" customFormat="1" ht="15" customHeight="1">
      <c r="A19" s="3254">
        <f>+A15-0.01</f>
        <v>-10.039999999999999</v>
      </c>
      <c r="B19" s="3062" t="s">
        <v>1207</v>
      </c>
      <c r="C19" s="3002"/>
      <c r="D19" s="3002"/>
      <c r="E19" s="3002"/>
      <c r="F19" s="3002"/>
      <c r="G19" s="3063"/>
      <c r="H19" s="543"/>
      <c r="I19" s="531"/>
      <c r="J19" s="531"/>
      <c r="K19" s="531"/>
      <c r="L19" s="531"/>
      <c r="M19" s="531"/>
      <c r="N19" s="531"/>
      <c r="O19" s="531"/>
      <c r="P19" s="531"/>
      <c r="Q19" s="531"/>
      <c r="R19" s="531"/>
      <c r="S19" s="520"/>
      <c r="T19" s="544"/>
      <c r="U19" s="531"/>
      <c r="V19" s="551"/>
      <c r="W19" s="526"/>
    </row>
    <row r="20" spans="1:23" s="516" customFormat="1" ht="15" customHeight="1">
      <c r="A20" s="3255"/>
      <c r="B20" s="3064"/>
      <c r="C20" s="2357"/>
      <c r="D20" s="2357"/>
      <c r="E20" s="2357"/>
      <c r="F20" s="2357"/>
      <c r="G20" s="3065"/>
      <c r="H20" s="540"/>
      <c r="T20" s="532"/>
      <c r="V20" s="1546"/>
      <c r="W20" s="527"/>
    </row>
    <row r="21" spans="1:23" s="516" customFormat="1" ht="15" customHeight="1">
      <c r="A21" s="3255"/>
      <c r="B21" s="3064"/>
      <c r="C21" s="2357"/>
      <c r="D21" s="2357"/>
      <c r="E21" s="2357"/>
      <c r="F21" s="2357"/>
      <c r="G21" s="3065"/>
      <c r="H21" s="540"/>
      <c r="Q21" s="1490" t="s">
        <v>815</v>
      </c>
      <c r="R21" s="536"/>
      <c r="S21" s="521"/>
      <c r="T21" s="532"/>
      <c r="V21" s="1546"/>
      <c r="W21" s="527"/>
    </row>
    <row r="22" spans="1:23" s="516" customFormat="1" ht="15" customHeight="1">
      <c r="A22" s="3255"/>
      <c r="B22" s="3064"/>
      <c r="C22" s="2357"/>
      <c r="D22" s="2357"/>
      <c r="E22" s="2357"/>
      <c r="F22" s="2357"/>
      <c r="G22" s="3065"/>
      <c r="H22" s="540"/>
      <c r="Q22" s="1490"/>
      <c r="R22" s="1489"/>
      <c r="S22" s="1489"/>
      <c r="T22" s="532"/>
      <c r="V22" s="1546"/>
      <c r="W22" s="527"/>
    </row>
    <row r="23" spans="1:23" s="516" customFormat="1" ht="15" customHeight="1">
      <c r="A23" s="3264"/>
      <c r="B23" s="3066"/>
      <c r="C23" s="3004"/>
      <c r="D23" s="3004"/>
      <c r="E23" s="3004"/>
      <c r="F23" s="3004"/>
      <c r="G23" s="3067"/>
      <c r="H23" s="542"/>
      <c r="I23" s="528"/>
      <c r="J23" s="528"/>
      <c r="K23" s="528"/>
      <c r="L23" s="528"/>
      <c r="M23" s="528"/>
      <c r="N23" s="528"/>
      <c r="O23" s="528"/>
      <c r="P23" s="528"/>
      <c r="Q23" s="1056"/>
      <c r="R23" s="528"/>
      <c r="S23" s="518"/>
      <c r="T23" s="546"/>
      <c r="U23" s="528"/>
      <c r="V23" s="550"/>
      <c r="W23" s="529"/>
    </row>
    <row r="24" spans="1:23" s="516" customFormat="1">
      <c r="A24" s="3254">
        <f>+A19-0.01</f>
        <v>-10.049999999999999</v>
      </c>
      <c r="B24" s="3062" t="s">
        <v>1208</v>
      </c>
      <c r="C24" s="3002"/>
      <c r="D24" s="3002"/>
      <c r="E24" s="3002"/>
      <c r="F24" s="3002"/>
      <c r="G24" s="3063"/>
      <c r="H24" s="543"/>
      <c r="I24" s="531"/>
      <c r="J24" s="531"/>
      <c r="K24" s="531"/>
      <c r="L24" s="531"/>
      <c r="M24" s="531"/>
      <c r="N24" s="531"/>
      <c r="O24" s="531"/>
      <c r="P24" s="531"/>
      <c r="Q24" s="531"/>
      <c r="R24" s="531"/>
      <c r="S24" s="520"/>
      <c r="T24" s="530"/>
      <c r="U24" s="531"/>
      <c r="V24" s="551"/>
      <c r="W24" s="526"/>
    </row>
    <row r="25" spans="1:23" s="516" customFormat="1">
      <c r="A25" s="3255"/>
      <c r="B25" s="3064"/>
      <c r="C25" s="2357"/>
      <c r="D25" s="2357"/>
      <c r="E25" s="2357"/>
      <c r="F25" s="2357"/>
      <c r="G25" s="3065"/>
      <c r="H25" s="540"/>
      <c r="I25" s="516" t="s">
        <v>1209</v>
      </c>
      <c r="S25" s="1489">
        <v>1</v>
      </c>
      <c r="T25" s="532"/>
      <c r="V25" s="1546"/>
      <c r="W25" s="527"/>
    </row>
    <row r="26" spans="1:23" s="516" customFormat="1">
      <c r="A26" s="3255"/>
      <c r="B26" s="3064"/>
      <c r="C26" s="2357"/>
      <c r="D26" s="2357"/>
      <c r="E26" s="2357"/>
      <c r="F26" s="2357"/>
      <c r="G26" s="3065"/>
      <c r="H26" s="540"/>
      <c r="I26" s="516" t="s">
        <v>1210</v>
      </c>
      <c r="S26" s="1489">
        <v>2</v>
      </c>
      <c r="T26" s="532"/>
      <c r="U26" s="516" t="s">
        <v>91</v>
      </c>
      <c r="V26" s="555">
        <f>A34</f>
        <v>-10.069999999999999</v>
      </c>
      <c r="W26" s="527"/>
    </row>
    <row r="27" spans="1:23" s="516" customFormat="1">
      <c r="A27" s="3264"/>
      <c r="B27" s="3066"/>
      <c r="C27" s="3004"/>
      <c r="D27" s="3004"/>
      <c r="E27" s="3004"/>
      <c r="F27" s="3004"/>
      <c r="G27" s="3067"/>
      <c r="H27" s="542"/>
      <c r="I27" s="528"/>
      <c r="J27" s="528"/>
      <c r="K27" s="528"/>
      <c r="L27" s="528"/>
      <c r="M27" s="528"/>
      <c r="N27" s="528"/>
      <c r="O27" s="528"/>
      <c r="P27" s="528"/>
      <c r="Q27" s="528"/>
      <c r="R27" s="528"/>
      <c r="S27" s="518"/>
      <c r="T27" s="519"/>
      <c r="U27" s="528"/>
      <c r="V27" s="550"/>
      <c r="W27" s="529"/>
    </row>
    <row r="28" spans="1:23" s="516" customFormat="1">
      <c r="A28" s="3257">
        <f>+A24-0.01</f>
        <v>-10.059999999999999</v>
      </c>
      <c r="B28" s="3069" t="s">
        <v>1211</v>
      </c>
      <c r="C28" s="3070"/>
      <c r="D28" s="3070"/>
      <c r="E28" s="3070"/>
      <c r="F28" s="3070"/>
      <c r="G28" s="3071"/>
      <c r="H28" s="538"/>
      <c r="I28" s="531"/>
      <c r="J28" s="539"/>
      <c r="K28" s="539"/>
      <c r="L28" s="539"/>
      <c r="M28" s="539"/>
      <c r="N28" s="539"/>
      <c r="O28" s="539"/>
      <c r="P28" s="539"/>
      <c r="Q28" s="539"/>
      <c r="R28" s="539"/>
      <c r="S28" s="517"/>
      <c r="T28" s="547"/>
      <c r="U28" s="538"/>
      <c r="V28" s="1074"/>
      <c r="W28" s="1054"/>
    </row>
    <row r="29" spans="1:23" s="516" customFormat="1">
      <c r="A29" s="3255"/>
      <c r="B29" s="3064"/>
      <c r="C29" s="2357"/>
      <c r="D29" s="2357"/>
      <c r="E29" s="2357"/>
      <c r="F29" s="2357"/>
      <c r="G29" s="3065"/>
      <c r="H29" s="540"/>
      <c r="O29" s="1487"/>
      <c r="P29" s="1487" t="s">
        <v>1212</v>
      </c>
      <c r="Q29" s="533"/>
      <c r="R29" s="918"/>
      <c r="S29" s="919"/>
      <c r="T29" s="545"/>
      <c r="V29" s="549"/>
      <c r="W29" s="1055"/>
    </row>
    <row r="30" spans="1:23" s="516" customFormat="1">
      <c r="A30" s="3255"/>
      <c r="B30" s="3064"/>
      <c r="C30" s="2357"/>
      <c r="D30" s="2357"/>
      <c r="E30" s="2357"/>
      <c r="F30" s="2357"/>
      <c r="G30" s="3065"/>
      <c r="H30" s="540"/>
      <c r="O30" s="1487"/>
      <c r="P30" s="1487"/>
      <c r="Q30" s="1489"/>
      <c r="S30" s="1489"/>
      <c r="T30" s="545"/>
      <c r="V30" s="549"/>
      <c r="W30" s="1055"/>
    </row>
    <row r="31" spans="1:23" s="516" customFormat="1">
      <c r="A31" s="3255"/>
      <c r="B31" s="3064"/>
      <c r="C31" s="2357"/>
      <c r="D31" s="2357"/>
      <c r="E31" s="2357"/>
      <c r="F31" s="2357"/>
      <c r="G31" s="3065"/>
      <c r="H31" s="540"/>
      <c r="O31" s="1487"/>
      <c r="P31" s="1487" t="s">
        <v>1213</v>
      </c>
      <c r="Q31" s="533"/>
      <c r="R31" s="918"/>
      <c r="S31" s="919"/>
      <c r="T31" s="545"/>
      <c r="V31" s="549"/>
      <c r="W31" s="1055"/>
    </row>
    <row r="32" spans="1:23" s="516" customFormat="1">
      <c r="A32" s="3255"/>
      <c r="B32" s="3064"/>
      <c r="C32" s="2357"/>
      <c r="D32" s="2357"/>
      <c r="E32" s="2357"/>
      <c r="F32" s="2357"/>
      <c r="G32" s="3065"/>
      <c r="H32" s="540"/>
      <c r="S32" s="1489"/>
      <c r="T32" s="545"/>
      <c r="U32" s="540"/>
      <c r="V32" s="1546"/>
      <c r="W32" s="527"/>
    </row>
    <row r="33" spans="1:23" s="516" customFormat="1" ht="12.75" customHeight="1">
      <c r="A33" s="3293" t="s">
        <v>1214</v>
      </c>
      <c r="B33" s="3294"/>
      <c r="C33" s="3294"/>
      <c r="D33" s="3294"/>
      <c r="E33" s="3294"/>
      <c r="F33" s="3294"/>
      <c r="G33" s="3294"/>
      <c r="H33" s="3294"/>
      <c r="I33" s="3294"/>
      <c r="J33" s="3294"/>
      <c r="K33" s="3294"/>
      <c r="L33" s="3294"/>
      <c r="M33" s="3294"/>
      <c r="N33" s="3294"/>
      <c r="O33" s="3294"/>
      <c r="P33" s="3294"/>
      <c r="Q33" s="3294"/>
      <c r="R33" s="3294"/>
      <c r="S33" s="3294"/>
      <c r="T33" s="3294"/>
      <c r="U33" s="3294"/>
      <c r="V33" s="3294"/>
      <c r="W33" s="3295"/>
    </row>
    <row r="34" spans="1:23" ht="14.25" customHeight="1">
      <c r="A34" s="3246">
        <f>A28-0.01</f>
        <v>-10.069999999999999</v>
      </c>
      <c r="B34" s="3248" t="s">
        <v>1215</v>
      </c>
      <c r="C34" s="3249"/>
      <c r="D34" s="3249"/>
      <c r="E34" s="3249"/>
      <c r="F34" s="3249"/>
      <c r="G34" s="3250"/>
      <c r="H34" s="1075"/>
      <c r="I34" s="1568"/>
      <c r="J34" s="1568"/>
      <c r="K34" s="1568"/>
      <c r="L34" s="1568"/>
      <c r="M34" s="1568"/>
      <c r="N34" s="1568"/>
      <c r="O34" s="1568"/>
      <c r="P34" s="1569"/>
      <c r="S34" s="269"/>
      <c r="T34" s="1050"/>
      <c r="U34" s="1075"/>
      <c r="V34" s="1568"/>
      <c r="W34" s="1076"/>
    </row>
    <row r="35" spans="1:23" ht="14.25" customHeight="1">
      <c r="A35" s="3246"/>
      <c r="B35" s="3248"/>
      <c r="C35" s="3249"/>
      <c r="D35" s="3249"/>
      <c r="E35" s="3249"/>
      <c r="F35" s="3249"/>
      <c r="G35" s="3250"/>
      <c r="H35" s="1075"/>
      <c r="I35" s="1568"/>
      <c r="K35" s="1568"/>
      <c r="L35" s="1568"/>
      <c r="M35" s="1568"/>
      <c r="N35" s="1568"/>
      <c r="O35" s="1568"/>
      <c r="P35" s="1568"/>
      <c r="Q35" s="1569" t="s">
        <v>104</v>
      </c>
      <c r="R35" s="1568"/>
      <c r="S35" s="1569" t="s">
        <v>108</v>
      </c>
      <c r="T35" s="1050"/>
      <c r="U35" s="1075"/>
      <c r="V35" s="1568"/>
      <c r="W35" s="1076"/>
    </row>
    <row r="36" spans="1:23" ht="14.25" customHeight="1">
      <c r="A36" s="3246"/>
      <c r="B36" s="3248"/>
      <c r="C36" s="3249"/>
      <c r="D36" s="3249"/>
      <c r="E36" s="3249"/>
      <c r="F36" s="3249"/>
      <c r="G36" s="3250"/>
      <c r="H36" s="1075"/>
      <c r="I36" s="1568" t="s">
        <v>1216</v>
      </c>
      <c r="J36" s="1568"/>
      <c r="K36" s="1568"/>
      <c r="L36" s="1568"/>
      <c r="M36" s="1568"/>
      <c r="N36" s="1568"/>
      <c r="O36" s="1568"/>
      <c r="P36" s="1570"/>
      <c r="Q36" s="1570">
        <v>1</v>
      </c>
      <c r="R36" s="1570"/>
      <c r="S36" s="1570">
        <v>2</v>
      </c>
      <c r="T36" s="1050"/>
      <c r="U36" s="1077"/>
      <c r="V36" s="1571"/>
      <c r="W36" s="1078"/>
    </row>
    <row r="37" spans="1:23" ht="14.25" customHeight="1">
      <c r="A37" s="3246"/>
      <c r="B37" s="3248"/>
      <c r="C37" s="3249"/>
      <c r="D37" s="3249"/>
      <c r="E37" s="3249"/>
      <c r="F37" s="3249"/>
      <c r="G37" s="3250"/>
      <c r="H37" s="1075"/>
      <c r="I37" s="1568" t="s">
        <v>1217</v>
      </c>
      <c r="J37" s="1568"/>
      <c r="K37" s="1568"/>
      <c r="L37" s="1568"/>
      <c r="M37" s="1568"/>
      <c r="N37" s="1568"/>
      <c r="O37" s="1568"/>
      <c r="P37" s="1570"/>
      <c r="Q37" s="1570">
        <v>1</v>
      </c>
      <c r="R37" s="1570"/>
      <c r="S37" s="1570">
        <v>2</v>
      </c>
      <c r="T37" s="1050"/>
      <c r="U37" s="1075"/>
      <c r="V37" s="1568"/>
      <c r="W37" s="1076"/>
    </row>
    <row r="38" spans="1:23" ht="14.25" customHeight="1">
      <c r="A38" s="3246"/>
      <c r="B38" s="3248"/>
      <c r="C38" s="3249"/>
      <c r="D38" s="3249"/>
      <c r="E38" s="3249"/>
      <c r="F38" s="3249"/>
      <c r="G38" s="3250"/>
      <c r="H38" s="1075"/>
      <c r="I38" s="1568" t="s">
        <v>1218</v>
      </c>
      <c r="J38" s="1568"/>
      <c r="K38" s="1568"/>
      <c r="L38" s="1568"/>
      <c r="M38" s="1568"/>
      <c r="N38" s="1568"/>
      <c r="O38" s="1568"/>
      <c r="P38" s="1570"/>
      <c r="Q38" s="1570">
        <v>1</v>
      </c>
      <c r="R38" s="1570"/>
      <c r="S38" s="1570">
        <v>2</v>
      </c>
      <c r="T38" s="1050"/>
      <c r="U38" s="1075"/>
      <c r="V38" s="1568"/>
      <c r="W38" s="1076"/>
    </row>
    <row r="39" spans="1:23" ht="14.25" customHeight="1">
      <c r="A39" s="3246"/>
      <c r="B39" s="3248"/>
      <c r="C39" s="3249"/>
      <c r="D39" s="3249"/>
      <c r="E39" s="3249"/>
      <c r="F39" s="3249"/>
      <c r="G39" s="3250"/>
      <c r="H39" s="1075"/>
      <c r="I39" s="1568" t="s">
        <v>1219</v>
      </c>
      <c r="J39" s="1568"/>
      <c r="K39" s="1568"/>
      <c r="L39" s="1568"/>
      <c r="M39" s="1568"/>
      <c r="N39" s="1568"/>
      <c r="O39" s="1568"/>
      <c r="P39" s="1570"/>
      <c r="Q39" s="1570">
        <v>1</v>
      </c>
      <c r="R39" s="1570"/>
      <c r="S39" s="1570">
        <v>2</v>
      </c>
      <c r="T39" s="1050"/>
      <c r="U39" s="1075"/>
      <c r="V39" s="1568"/>
      <c r="W39" s="1076"/>
    </row>
    <row r="40" spans="1:23" ht="14.25" customHeight="1">
      <c r="A40" s="3246"/>
      <c r="B40" s="3248"/>
      <c r="C40" s="3249"/>
      <c r="D40" s="3249"/>
      <c r="E40" s="3249"/>
      <c r="F40" s="3249"/>
      <c r="G40" s="3250"/>
      <c r="H40" s="1075"/>
      <c r="I40" s="1568" t="s">
        <v>1220</v>
      </c>
      <c r="J40" s="1568"/>
      <c r="K40" s="1568"/>
      <c r="L40" s="1568"/>
      <c r="M40" s="1568"/>
      <c r="N40" s="1568"/>
      <c r="O40" s="1568"/>
      <c r="P40" s="1570"/>
      <c r="Q40" s="1570">
        <v>1</v>
      </c>
      <c r="R40" s="1570"/>
      <c r="S40" s="1570">
        <v>2</v>
      </c>
      <c r="T40" s="1050"/>
      <c r="U40" s="1075"/>
      <c r="V40" s="1568"/>
      <c r="W40" s="1076"/>
    </row>
    <row r="41" spans="1:23" ht="14.25" customHeight="1">
      <c r="A41" s="3246"/>
      <c r="B41" s="3248"/>
      <c r="C41" s="3249"/>
      <c r="D41" s="3249"/>
      <c r="E41" s="3249"/>
      <c r="F41" s="3249"/>
      <c r="G41" s="3250"/>
      <c r="H41" s="1075"/>
      <c r="I41" s="1568" t="s">
        <v>1221</v>
      </c>
      <c r="J41" s="1568"/>
      <c r="K41" s="1568"/>
      <c r="L41" s="1568"/>
      <c r="M41" s="1568"/>
      <c r="N41" s="1568"/>
      <c r="O41" s="1568"/>
      <c r="P41" s="1570"/>
      <c r="Q41" s="1570">
        <v>1</v>
      </c>
      <c r="R41" s="1570"/>
      <c r="S41" s="1570">
        <v>2</v>
      </c>
      <c r="T41" s="1050"/>
      <c r="U41" s="1075"/>
      <c r="V41" s="1568"/>
      <c r="W41" s="1076"/>
    </row>
    <row r="42" spans="1:23" ht="14.25" customHeight="1">
      <c r="A42" s="3246"/>
      <c r="B42" s="3248"/>
      <c r="C42" s="3249"/>
      <c r="D42" s="3249"/>
      <c r="E42" s="3249"/>
      <c r="F42" s="3249"/>
      <c r="G42" s="3250"/>
      <c r="H42" s="1075"/>
      <c r="I42" s="1572" t="s">
        <v>1222</v>
      </c>
      <c r="J42" s="1568"/>
      <c r="K42" s="1568"/>
      <c r="L42" s="1568"/>
      <c r="M42" s="1568"/>
      <c r="N42" s="1568"/>
      <c r="O42" s="1568"/>
      <c r="P42" s="1570"/>
      <c r="T42" s="1050"/>
      <c r="U42" s="1075"/>
      <c r="V42" s="1568"/>
      <c r="W42" s="1076"/>
    </row>
    <row r="43" spans="1:23" ht="14.25" customHeight="1">
      <c r="A43" s="3246"/>
      <c r="B43" s="3248"/>
      <c r="C43" s="3249"/>
      <c r="D43" s="3249"/>
      <c r="E43" s="3249"/>
      <c r="F43" s="3249"/>
      <c r="G43" s="3250"/>
      <c r="H43" s="1075"/>
      <c r="I43" s="1573" t="s">
        <v>1223</v>
      </c>
      <c r="J43" s="1574"/>
      <c r="K43" s="1568"/>
      <c r="L43" s="1568"/>
      <c r="M43" s="1568"/>
      <c r="N43" s="1568"/>
      <c r="O43" s="1568"/>
      <c r="P43" s="1570"/>
      <c r="Q43" s="1570">
        <v>1</v>
      </c>
      <c r="R43" s="1570"/>
      <c r="S43" s="1570">
        <v>2</v>
      </c>
      <c r="T43" s="1050"/>
      <c r="U43" s="1075"/>
      <c r="V43" s="1568"/>
      <c r="W43" s="1076"/>
    </row>
    <row r="44" spans="1:23" ht="14.25" customHeight="1">
      <c r="A44" s="3247"/>
      <c r="B44" s="3251"/>
      <c r="C44" s="3252"/>
      <c r="D44" s="3252"/>
      <c r="E44" s="3252"/>
      <c r="F44" s="3252"/>
      <c r="G44" s="3253"/>
      <c r="H44" s="1079"/>
      <c r="I44" s="1080"/>
      <c r="J44" s="1080"/>
      <c r="K44" s="1080"/>
      <c r="L44" s="1080"/>
      <c r="M44" s="1080"/>
      <c r="N44" s="1080"/>
      <c r="O44" s="1080"/>
      <c r="P44" s="1081"/>
      <c r="Q44" s="1080"/>
      <c r="R44" s="1080"/>
      <c r="S44" s="1051"/>
      <c r="T44" s="1052"/>
      <c r="U44" s="1079"/>
      <c r="V44" s="1080"/>
      <c r="W44" s="1082"/>
    </row>
    <row r="45" spans="1:23" s="516" customFormat="1">
      <c r="A45" s="3254">
        <f>+A34-0.01</f>
        <v>-10.079999999999998</v>
      </c>
      <c r="B45" s="3062" t="s">
        <v>1224</v>
      </c>
      <c r="C45" s="3002"/>
      <c r="D45" s="3002"/>
      <c r="E45" s="3002"/>
      <c r="F45" s="3002"/>
      <c r="G45" s="3063"/>
      <c r="H45" s="543"/>
      <c r="I45" s="531"/>
      <c r="J45" s="531"/>
      <c r="K45" s="531"/>
      <c r="L45" s="531"/>
      <c r="M45" s="531"/>
      <c r="N45" s="531"/>
      <c r="O45" s="531"/>
      <c r="P45" s="531"/>
      <c r="Q45" s="531"/>
      <c r="R45" s="531"/>
      <c r="S45" s="520"/>
      <c r="T45" s="530"/>
      <c r="U45" s="531"/>
      <c r="V45" s="551"/>
      <c r="W45" s="526"/>
    </row>
    <row r="46" spans="1:23" s="516" customFormat="1">
      <c r="A46" s="3255"/>
      <c r="B46" s="3064"/>
      <c r="C46" s="2357"/>
      <c r="D46" s="2357"/>
      <c r="E46" s="2357"/>
      <c r="F46" s="2357"/>
      <c r="G46" s="3065"/>
      <c r="H46" s="540"/>
      <c r="I46" s="516" t="s">
        <v>1209</v>
      </c>
      <c r="S46" s="1489">
        <v>1</v>
      </c>
      <c r="T46" s="532"/>
      <c r="V46" s="1546"/>
      <c r="W46" s="527"/>
    </row>
    <row r="47" spans="1:23" s="516" customFormat="1">
      <c r="A47" s="3255"/>
      <c r="B47" s="3064"/>
      <c r="C47" s="2357"/>
      <c r="D47" s="2357"/>
      <c r="E47" s="2357"/>
      <c r="F47" s="2357"/>
      <c r="G47" s="3065"/>
      <c r="H47" s="540"/>
      <c r="I47" s="516" t="s">
        <v>1210</v>
      </c>
      <c r="S47" s="1489">
        <v>2</v>
      </c>
      <c r="T47" s="532"/>
      <c r="U47" s="516" t="s">
        <v>91</v>
      </c>
      <c r="V47" s="555">
        <f>+A62</f>
        <v>-10.099999999999998</v>
      </c>
      <c r="W47" s="527"/>
    </row>
    <row r="48" spans="1:23" s="516" customFormat="1">
      <c r="A48" s="3264"/>
      <c r="B48" s="3066"/>
      <c r="C48" s="3004"/>
      <c r="D48" s="3004"/>
      <c r="E48" s="3004"/>
      <c r="F48" s="3004"/>
      <c r="G48" s="3067"/>
      <c r="H48" s="542"/>
      <c r="I48" s="528"/>
      <c r="J48" s="528"/>
      <c r="K48" s="528"/>
      <c r="L48" s="528"/>
      <c r="M48" s="528"/>
      <c r="N48" s="528"/>
      <c r="O48" s="528"/>
      <c r="P48" s="528"/>
      <c r="Q48" s="528"/>
      <c r="R48" s="528"/>
      <c r="S48" s="518"/>
      <c r="T48" s="519"/>
      <c r="U48" s="528"/>
      <c r="V48" s="550"/>
      <c r="W48" s="529"/>
    </row>
    <row r="49" spans="1:23" ht="17.25" customHeight="1">
      <c r="A49" s="3284">
        <f>+A45-0.01</f>
        <v>-10.089999999999998</v>
      </c>
      <c r="B49" s="3274" t="s">
        <v>1225</v>
      </c>
      <c r="C49" s="3268"/>
      <c r="D49" s="3268"/>
      <c r="E49" s="3268"/>
      <c r="F49" s="3268"/>
      <c r="G49" s="3269"/>
      <c r="H49" s="1083"/>
      <c r="I49" s="1071"/>
      <c r="J49" s="1071"/>
      <c r="K49" s="1071"/>
      <c r="L49" s="1071"/>
      <c r="M49" s="1071"/>
      <c r="N49" s="1071"/>
      <c r="O49" s="1071"/>
      <c r="P49" s="1071"/>
      <c r="Q49" s="1071"/>
      <c r="R49" s="1071"/>
      <c r="S49" s="1071"/>
      <c r="T49" s="1049"/>
      <c r="U49" s="3275"/>
      <c r="V49" s="3276"/>
      <c r="W49" s="3277"/>
    </row>
    <row r="50" spans="1:23" ht="17.25" customHeight="1">
      <c r="A50" s="3246"/>
      <c r="B50" s="3248"/>
      <c r="C50" s="3249"/>
      <c r="D50" s="3249"/>
      <c r="E50" s="3249"/>
      <c r="F50" s="3249"/>
      <c r="G50" s="3271"/>
      <c r="H50" s="1084"/>
      <c r="S50" s="269"/>
      <c r="T50" s="1050"/>
      <c r="U50" s="3278"/>
      <c r="V50" s="3279"/>
      <c r="W50" s="3280"/>
    </row>
    <row r="51" spans="1:23" ht="17.25" customHeight="1">
      <c r="A51" s="3246"/>
      <c r="B51" s="3248"/>
      <c r="C51" s="3249"/>
      <c r="D51" s="3249"/>
      <c r="E51" s="3249"/>
      <c r="F51" s="3249"/>
      <c r="G51" s="3271"/>
      <c r="H51" s="1084"/>
      <c r="I51" s="1568" t="s">
        <v>1226</v>
      </c>
      <c r="J51" s="1568"/>
      <c r="K51" s="1568"/>
      <c r="L51" s="1568"/>
      <c r="M51" s="1568"/>
      <c r="N51" s="1568"/>
      <c r="O51" s="1568"/>
      <c r="P51" s="1568"/>
      <c r="Q51" s="1575"/>
      <c r="R51" s="1568"/>
      <c r="S51" s="1570">
        <v>1</v>
      </c>
      <c r="T51" s="1050"/>
      <c r="U51" s="3278"/>
      <c r="V51" s="3279"/>
      <c r="W51" s="3280"/>
    </row>
    <row r="52" spans="1:23" ht="17.25" customHeight="1">
      <c r="A52" s="3246"/>
      <c r="B52" s="3248"/>
      <c r="C52" s="3249"/>
      <c r="D52" s="3249"/>
      <c r="E52" s="3249"/>
      <c r="F52" s="3249"/>
      <c r="G52" s="3271"/>
      <c r="H52" s="1084"/>
      <c r="I52" s="1568" t="s">
        <v>1227</v>
      </c>
      <c r="J52" s="1568"/>
      <c r="K52" s="1568"/>
      <c r="L52" s="1568"/>
      <c r="M52" s="1568"/>
      <c r="N52" s="1568"/>
      <c r="O52" s="1568"/>
      <c r="P52" s="1568"/>
      <c r="Q52" s="1575"/>
      <c r="R52" s="1568"/>
      <c r="S52" s="1570">
        <v>2</v>
      </c>
      <c r="T52" s="1050"/>
      <c r="U52" s="3278"/>
      <c r="V52" s="3279"/>
      <c r="W52" s="3280"/>
    </row>
    <row r="53" spans="1:23" ht="17.25" customHeight="1">
      <c r="A53" s="3246"/>
      <c r="B53" s="3248"/>
      <c r="C53" s="3249"/>
      <c r="D53" s="3249"/>
      <c r="E53" s="3249"/>
      <c r="F53" s="3249"/>
      <c r="G53" s="3271"/>
      <c r="H53" s="1084"/>
      <c r="I53" s="1568" t="s">
        <v>1228</v>
      </c>
      <c r="J53" s="1568"/>
      <c r="K53" s="1568"/>
      <c r="L53" s="1568"/>
      <c r="M53" s="1568"/>
      <c r="N53" s="1568"/>
      <c r="O53" s="1568"/>
      <c r="P53" s="1568"/>
      <c r="Q53" s="1575"/>
      <c r="R53" s="1568"/>
      <c r="S53" s="1570">
        <v>3</v>
      </c>
      <c r="T53" s="1050"/>
      <c r="U53" s="3278"/>
      <c r="V53" s="3279"/>
      <c r="W53" s="3280"/>
    </row>
    <row r="54" spans="1:23" ht="17.25" customHeight="1">
      <c r="A54" s="3246"/>
      <c r="B54" s="3248"/>
      <c r="C54" s="3249"/>
      <c r="D54" s="3249"/>
      <c r="E54" s="3249"/>
      <c r="F54" s="3249"/>
      <c r="G54" s="3271"/>
      <c r="H54" s="1084"/>
      <c r="I54" s="1568" t="s">
        <v>1229</v>
      </c>
      <c r="J54" s="1568"/>
      <c r="K54" s="1568"/>
      <c r="L54" s="1568"/>
      <c r="M54" s="1568"/>
      <c r="N54" s="1568"/>
      <c r="O54" s="1568"/>
      <c r="P54" s="1575"/>
      <c r="Q54" s="1568"/>
      <c r="R54" s="1568"/>
      <c r="S54" s="1570">
        <v>4</v>
      </c>
      <c r="T54" s="1050"/>
      <c r="U54" s="3278"/>
      <c r="V54" s="3279"/>
      <c r="W54" s="3280"/>
    </row>
    <row r="55" spans="1:23" ht="17.25" customHeight="1">
      <c r="A55" s="3246"/>
      <c r="B55" s="3248"/>
      <c r="C55" s="3249"/>
      <c r="D55" s="3249"/>
      <c r="E55" s="3249"/>
      <c r="F55" s="3249"/>
      <c r="G55" s="3271"/>
      <c r="H55" s="1084"/>
      <c r="I55" s="1568" t="s">
        <v>1230</v>
      </c>
      <c r="J55" s="1568"/>
      <c r="K55" s="1568"/>
      <c r="L55" s="1568"/>
      <c r="M55" s="1568"/>
      <c r="N55" s="1568"/>
      <c r="O55" s="1568"/>
      <c r="P55" s="1575"/>
      <c r="Q55" s="1575"/>
      <c r="R55" s="1568"/>
      <c r="S55" s="1570">
        <v>5</v>
      </c>
      <c r="T55" s="1050"/>
      <c r="U55" s="3278"/>
      <c r="V55" s="3279"/>
      <c r="W55" s="3280"/>
    </row>
    <row r="56" spans="1:23" ht="16.5" customHeight="1">
      <c r="A56" s="3246"/>
      <c r="B56" s="3296" t="s">
        <v>1231</v>
      </c>
      <c r="C56" s="3297"/>
      <c r="D56" s="3297"/>
      <c r="E56" s="3297"/>
      <c r="F56" s="3297"/>
      <c r="G56" s="3298"/>
      <c r="H56" s="1084"/>
      <c r="I56" s="1568" t="s">
        <v>1232</v>
      </c>
      <c r="J56" s="1568"/>
      <c r="K56" s="1568"/>
      <c r="L56" s="1568"/>
      <c r="M56" s="1568"/>
      <c r="N56" s="1568"/>
      <c r="O56" s="1568"/>
      <c r="P56" s="1575"/>
      <c r="Q56" s="1568"/>
      <c r="R56" s="1568"/>
      <c r="S56" s="1570">
        <v>6</v>
      </c>
      <c r="T56" s="1050"/>
      <c r="U56" s="3278"/>
      <c r="V56" s="3279"/>
      <c r="W56" s="3280"/>
    </row>
    <row r="57" spans="1:23" ht="14.25" customHeight="1">
      <c r="A57" s="3246"/>
      <c r="B57" s="3296"/>
      <c r="C57" s="3297"/>
      <c r="D57" s="3297"/>
      <c r="E57" s="3297"/>
      <c r="F57" s="3297"/>
      <c r="G57" s="3298"/>
      <c r="H57" s="1084"/>
      <c r="I57" s="1568"/>
      <c r="J57" s="1568"/>
      <c r="K57" s="1568"/>
      <c r="L57" s="1568"/>
      <c r="M57" s="1568"/>
      <c r="N57" s="1568"/>
      <c r="O57" s="1568"/>
      <c r="P57" s="1575"/>
      <c r="Q57" s="1568"/>
      <c r="R57" s="1568"/>
      <c r="S57" s="1570"/>
      <c r="T57" s="1050"/>
      <c r="U57" s="3278"/>
      <c r="V57" s="3279"/>
      <c r="W57" s="3280"/>
    </row>
    <row r="58" spans="1:23" ht="14.25" customHeight="1">
      <c r="A58" s="3246"/>
      <c r="B58" s="3296"/>
      <c r="C58" s="3297"/>
      <c r="D58" s="3297"/>
      <c r="E58" s="3297"/>
      <c r="F58" s="3297"/>
      <c r="G58" s="3298"/>
      <c r="H58" s="1084"/>
      <c r="I58" s="1568"/>
      <c r="J58" s="1568"/>
      <c r="K58" s="1568"/>
      <c r="L58" s="1568"/>
      <c r="M58" s="1568"/>
      <c r="N58" s="1568"/>
      <c r="O58" s="1568"/>
      <c r="P58" s="1575"/>
      <c r="Q58" s="1568"/>
      <c r="R58" s="1568"/>
      <c r="S58" s="1570"/>
      <c r="T58" s="1050"/>
      <c r="U58" s="3278"/>
      <c r="V58" s="3279"/>
      <c r="W58" s="3280"/>
    </row>
    <row r="59" spans="1:23" ht="14.25" customHeight="1">
      <c r="A59" s="3246"/>
      <c r="B59" s="3296"/>
      <c r="C59" s="3297"/>
      <c r="D59" s="3297"/>
      <c r="E59" s="3297"/>
      <c r="F59" s="3297"/>
      <c r="G59" s="3298"/>
      <c r="H59" s="1084"/>
      <c r="I59" s="1568"/>
      <c r="J59" s="1568"/>
      <c r="K59" s="1568"/>
      <c r="L59" s="1568"/>
      <c r="M59" s="1568"/>
      <c r="N59" s="1568"/>
      <c r="O59" s="1568"/>
      <c r="P59" s="1575"/>
      <c r="Q59" s="1568"/>
      <c r="R59" s="1568"/>
      <c r="S59" s="1570"/>
      <c r="T59" s="1050"/>
      <c r="U59" s="3278"/>
      <c r="V59" s="3279"/>
      <c r="W59" s="3280"/>
    </row>
    <row r="60" spans="1:23" ht="14.25" customHeight="1">
      <c r="A60" s="3246"/>
      <c r="B60" s="3296"/>
      <c r="C60" s="3297"/>
      <c r="D60" s="3297"/>
      <c r="E60" s="3297"/>
      <c r="F60" s="3297"/>
      <c r="G60" s="3298"/>
      <c r="H60" s="1084"/>
      <c r="I60" s="1568"/>
      <c r="J60" s="1568"/>
      <c r="K60" s="1568"/>
      <c r="L60" s="1568"/>
      <c r="M60" s="1568"/>
      <c r="N60" s="1568"/>
      <c r="O60" s="1568"/>
      <c r="P60" s="1575"/>
      <c r="Q60" s="1568"/>
      <c r="R60" s="1568"/>
      <c r="S60" s="1570"/>
      <c r="T60" s="1050"/>
      <c r="U60" s="3278"/>
      <c r="V60" s="3279"/>
      <c r="W60" s="3280"/>
    </row>
    <row r="61" spans="1:23" ht="3.75" customHeight="1">
      <c r="A61" s="3285"/>
      <c r="B61" s="1085"/>
      <c r="C61" s="1086"/>
      <c r="D61" s="1086"/>
      <c r="E61" s="1086"/>
      <c r="F61" s="1086"/>
      <c r="G61" s="1087"/>
      <c r="H61" s="1088"/>
      <c r="I61" s="1080"/>
      <c r="J61" s="1080"/>
      <c r="K61" s="1080"/>
      <c r="L61" s="1080"/>
      <c r="M61" s="1080"/>
      <c r="N61" s="1080"/>
      <c r="O61" s="1080"/>
      <c r="P61" s="1081"/>
      <c r="Q61" s="1080"/>
      <c r="R61" s="1080"/>
      <c r="S61" s="1089"/>
      <c r="T61" s="1052"/>
      <c r="U61" s="3281"/>
      <c r="V61" s="3282"/>
      <c r="W61" s="3283"/>
    </row>
    <row r="62" spans="1:23" ht="15.75" customHeight="1">
      <c r="A62" s="3289">
        <f>+A49-0.01</f>
        <v>-10.099999999999998</v>
      </c>
      <c r="B62" s="3290" t="s">
        <v>1233</v>
      </c>
      <c r="C62" s="3291"/>
      <c r="D62" s="3291"/>
      <c r="E62" s="3291"/>
      <c r="F62" s="3291"/>
      <c r="G62" s="3292"/>
      <c r="H62" s="1075"/>
      <c r="I62" s="1568"/>
      <c r="J62" s="1568"/>
      <c r="K62" s="1568"/>
      <c r="L62" s="1568"/>
      <c r="M62" s="1568"/>
      <c r="N62" s="1568"/>
      <c r="O62" s="1568"/>
      <c r="P62" s="1568"/>
      <c r="Q62" s="1568"/>
      <c r="R62" s="1568"/>
      <c r="S62" s="1569"/>
      <c r="T62" s="1090"/>
      <c r="U62" s="1075"/>
      <c r="V62" s="1568"/>
      <c r="W62" s="1076"/>
    </row>
    <row r="63" spans="1:23" ht="15.75" customHeight="1">
      <c r="A63" s="3246"/>
      <c r="B63" s="3248"/>
      <c r="C63" s="3249"/>
      <c r="D63" s="3249"/>
      <c r="E63" s="3249"/>
      <c r="F63" s="3249"/>
      <c r="G63" s="3250"/>
      <c r="H63" s="1075"/>
      <c r="I63" s="1568"/>
      <c r="J63" s="1568"/>
      <c r="K63" s="1568"/>
      <c r="L63" s="1568"/>
      <c r="M63" s="1568"/>
      <c r="N63" s="1568"/>
      <c r="O63" s="1568"/>
      <c r="P63" s="1569" t="s">
        <v>104</v>
      </c>
      <c r="Q63" s="1569" t="s">
        <v>108</v>
      </c>
      <c r="R63" s="1569"/>
      <c r="S63" s="1569" t="s">
        <v>416</v>
      </c>
      <c r="T63" s="1090"/>
      <c r="U63" s="1075"/>
      <c r="V63" s="1568"/>
      <c r="W63" s="1076"/>
    </row>
    <row r="64" spans="1:23" ht="15.75" customHeight="1">
      <c r="A64" s="3246"/>
      <c r="B64" s="3248"/>
      <c r="C64" s="3249"/>
      <c r="D64" s="3249"/>
      <c r="E64" s="3249"/>
      <c r="F64" s="3249"/>
      <c r="G64" s="3250"/>
      <c r="H64" s="1075"/>
      <c r="I64" s="1568" t="s">
        <v>1234</v>
      </c>
      <c r="J64" s="1568"/>
      <c r="K64" s="1568"/>
      <c r="L64" s="1568"/>
      <c r="M64" s="1568"/>
      <c r="N64" s="1568"/>
      <c r="O64" s="1568"/>
      <c r="P64" s="1570">
        <v>1</v>
      </c>
      <c r="Q64" s="1570">
        <v>2</v>
      </c>
      <c r="R64" s="1570"/>
      <c r="S64" s="1570">
        <v>3</v>
      </c>
      <c r="T64" s="1050"/>
      <c r="U64" s="1075"/>
      <c r="V64" s="1568"/>
      <c r="W64" s="1076"/>
    </row>
    <row r="65" spans="1:23" ht="15.75" customHeight="1">
      <c r="A65" s="3246"/>
      <c r="B65" s="3248"/>
      <c r="C65" s="3249"/>
      <c r="D65" s="3249"/>
      <c r="E65" s="3249"/>
      <c r="F65" s="3249"/>
      <c r="G65" s="3250"/>
      <c r="H65" s="1075"/>
      <c r="I65" s="1568" t="s">
        <v>1235</v>
      </c>
      <c r="J65" s="1568"/>
      <c r="K65" s="1568"/>
      <c r="L65" s="1568"/>
      <c r="M65" s="1568"/>
      <c r="N65" s="1568"/>
      <c r="O65" s="1568"/>
      <c r="P65" s="1570">
        <v>1</v>
      </c>
      <c r="Q65" s="1570">
        <v>2</v>
      </c>
      <c r="R65" s="1570"/>
      <c r="S65" s="1570">
        <v>3</v>
      </c>
      <c r="T65" s="1090"/>
      <c r="U65" s="1075"/>
      <c r="V65" s="1568"/>
      <c r="W65" s="1076"/>
    </row>
    <row r="66" spans="1:23" ht="15.75" customHeight="1">
      <c r="A66" s="3247"/>
      <c r="B66" s="3251"/>
      <c r="C66" s="3252"/>
      <c r="D66" s="3252"/>
      <c r="E66" s="3252"/>
      <c r="F66" s="3252"/>
      <c r="G66" s="3253"/>
      <c r="H66" s="1079"/>
      <c r="I66" s="1080"/>
      <c r="J66" s="1080"/>
      <c r="K66" s="1080"/>
      <c r="L66" s="1080"/>
      <c r="M66" s="1080"/>
      <c r="N66" s="1080"/>
      <c r="O66" s="1080"/>
      <c r="P66" s="1080"/>
      <c r="Q66" s="1080"/>
      <c r="R66" s="1080"/>
      <c r="S66" s="1051"/>
      <c r="T66" s="1091"/>
      <c r="U66" s="1079"/>
      <c r="V66" s="1080"/>
      <c r="W66" s="1082"/>
    </row>
    <row r="67" spans="1:23">
      <c r="A67" s="1092"/>
      <c r="B67" s="3274" t="s">
        <v>1236</v>
      </c>
      <c r="C67" s="3268"/>
      <c r="D67" s="3268"/>
      <c r="E67" s="3268"/>
      <c r="F67" s="3268"/>
      <c r="G67" s="3269"/>
      <c r="H67" s="1093"/>
      <c r="I67" s="1093"/>
      <c r="J67" s="1093"/>
      <c r="K67" s="1093"/>
      <c r="L67" s="1093"/>
      <c r="M67" s="1093"/>
      <c r="N67" s="1093"/>
      <c r="O67" s="1093"/>
      <c r="P67" s="1093"/>
      <c r="Q67" s="1093"/>
      <c r="R67" s="1093"/>
      <c r="S67" s="1048"/>
      <c r="T67" s="1093"/>
      <c r="U67" s="1094"/>
      <c r="V67" s="1093"/>
      <c r="W67" s="1095"/>
    </row>
    <row r="68" spans="1:23" ht="15" customHeight="1">
      <c r="A68" s="3246">
        <f>+A62-0.01</f>
        <v>-10.109999999999998</v>
      </c>
      <c r="B68" s="3248"/>
      <c r="C68" s="3249"/>
      <c r="D68" s="3249"/>
      <c r="E68" s="3249"/>
      <c r="F68" s="3249"/>
      <c r="G68" s="3271"/>
      <c r="H68" s="1568"/>
      <c r="I68" s="1568" t="s">
        <v>1237</v>
      </c>
      <c r="J68" s="1568"/>
      <c r="K68" s="1568"/>
      <c r="L68" s="1568"/>
      <c r="M68" s="1568"/>
      <c r="N68" s="1568"/>
      <c r="O68" s="1568"/>
      <c r="P68" s="1568"/>
      <c r="Q68" s="1575"/>
      <c r="R68" s="1568"/>
      <c r="S68" s="1570">
        <v>1</v>
      </c>
      <c r="T68" s="1050"/>
      <c r="U68" s="1075"/>
      <c r="V68" s="1568"/>
      <c r="W68" s="1076"/>
    </row>
    <row r="69" spans="1:23" ht="15" customHeight="1">
      <c r="A69" s="3246"/>
      <c r="B69" s="3248"/>
      <c r="C69" s="3249"/>
      <c r="D69" s="3249"/>
      <c r="E69" s="3249"/>
      <c r="F69" s="3249"/>
      <c r="G69" s="3271"/>
      <c r="H69" s="1568"/>
      <c r="I69" s="1568" t="s">
        <v>1238</v>
      </c>
      <c r="J69" s="1568"/>
      <c r="K69" s="1568"/>
      <c r="L69" s="1568"/>
      <c r="M69" s="1568"/>
      <c r="N69" s="1568"/>
      <c r="O69" s="1568"/>
      <c r="P69" s="1568"/>
      <c r="Q69" s="1575"/>
      <c r="R69" s="1568"/>
      <c r="S69" s="1570">
        <v>2</v>
      </c>
      <c r="T69" s="1050"/>
      <c r="U69" s="1075"/>
      <c r="V69" s="1568"/>
      <c r="W69" s="1076"/>
    </row>
    <row r="70" spans="1:23" ht="15" customHeight="1">
      <c r="A70" s="3246"/>
      <c r="B70" s="3248"/>
      <c r="C70" s="3249"/>
      <c r="D70" s="3249"/>
      <c r="E70" s="3249"/>
      <c r="F70" s="3249"/>
      <c r="G70" s="3271"/>
      <c r="H70" s="1568"/>
      <c r="I70" s="1568" t="s">
        <v>1239</v>
      </c>
      <c r="J70" s="1568"/>
      <c r="K70" s="1568"/>
      <c r="L70" s="1568"/>
      <c r="M70" s="1568"/>
      <c r="N70" s="1568"/>
      <c r="O70" s="1568"/>
      <c r="P70" s="1568"/>
      <c r="Q70" s="1575"/>
      <c r="R70" s="1568"/>
      <c r="S70" s="1570">
        <v>3</v>
      </c>
      <c r="T70" s="1050"/>
      <c r="U70" s="1077"/>
      <c r="V70" s="1571"/>
      <c r="W70" s="1078"/>
    </row>
    <row r="71" spans="1:23" ht="15" customHeight="1">
      <c r="A71" s="3246"/>
      <c r="B71" s="3248"/>
      <c r="C71" s="3249"/>
      <c r="D71" s="3249"/>
      <c r="E71" s="3249"/>
      <c r="F71" s="3249"/>
      <c r="G71" s="3271"/>
      <c r="H71" s="1568"/>
      <c r="I71" s="1568" t="s">
        <v>1240</v>
      </c>
      <c r="J71" s="1568"/>
      <c r="K71" s="1568"/>
      <c r="L71" s="1568"/>
      <c r="M71" s="1568"/>
      <c r="N71" s="1568"/>
      <c r="O71" s="1568"/>
      <c r="P71" s="1575"/>
      <c r="Q71" s="1568"/>
      <c r="R71" s="1568"/>
      <c r="S71" s="1570">
        <v>4</v>
      </c>
      <c r="T71" s="1050"/>
      <c r="U71" s="3286"/>
      <c r="V71" s="3287"/>
      <c r="W71" s="3288"/>
    </row>
    <row r="72" spans="1:23" ht="15" customHeight="1">
      <c r="A72" s="3246"/>
      <c r="B72" s="3248"/>
      <c r="C72" s="3249"/>
      <c r="D72" s="3249"/>
      <c r="E72" s="3249"/>
      <c r="F72" s="3249"/>
      <c r="G72" s="3271"/>
      <c r="H72" s="1568"/>
      <c r="I72" s="1568" t="s">
        <v>1241</v>
      </c>
      <c r="J72" s="1568"/>
      <c r="K72" s="1568"/>
      <c r="L72" s="1568"/>
      <c r="M72" s="1568"/>
      <c r="N72" s="1568"/>
      <c r="O72" s="1568"/>
      <c r="P72" s="1575"/>
      <c r="Q72" s="1575"/>
      <c r="R72" s="1568"/>
      <c r="S72" s="1570">
        <v>5</v>
      </c>
      <c r="T72" s="1050"/>
      <c r="U72" s="3286"/>
      <c r="V72" s="3287"/>
      <c r="W72" s="3288"/>
    </row>
    <row r="73" spans="1:23" ht="15" customHeight="1">
      <c r="A73" s="3246"/>
      <c r="B73" s="3248"/>
      <c r="C73" s="3249"/>
      <c r="D73" s="3249"/>
      <c r="E73" s="3249"/>
      <c r="F73" s="3249"/>
      <c r="G73" s="3271"/>
      <c r="H73" s="1568"/>
      <c r="I73" s="1568" t="s">
        <v>1232</v>
      </c>
      <c r="J73" s="1568"/>
      <c r="K73" s="1568"/>
      <c r="L73" s="1568"/>
      <c r="M73" s="1568"/>
      <c r="N73" s="1568"/>
      <c r="O73" s="1568"/>
      <c r="P73" s="1575"/>
      <c r="Q73" s="1568"/>
      <c r="R73" s="1568"/>
      <c r="S73" s="1570">
        <v>6</v>
      </c>
      <c r="T73" s="1050"/>
      <c r="U73" s="1075"/>
      <c r="V73" s="1568"/>
      <c r="W73" s="1076"/>
    </row>
    <row r="74" spans="1:23">
      <c r="A74" s="1096"/>
      <c r="B74" s="1350"/>
      <c r="C74" s="1567"/>
      <c r="D74" s="1567"/>
      <c r="E74" s="1567"/>
      <c r="F74" s="1567"/>
      <c r="G74" s="1351"/>
      <c r="H74" s="1568"/>
      <c r="I74" s="1568"/>
      <c r="J74" s="1568"/>
      <c r="K74" s="1568"/>
      <c r="L74" s="1568"/>
      <c r="M74" s="1568"/>
      <c r="N74" s="1568"/>
      <c r="O74" s="1568"/>
      <c r="P74" s="1575"/>
      <c r="Q74" s="1568"/>
      <c r="R74" s="1568"/>
      <c r="S74" s="1570"/>
      <c r="T74" s="1050"/>
      <c r="U74" s="1075"/>
      <c r="V74" s="1568"/>
      <c r="W74" s="1076"/>
    </row>
    <row r="75" spans="1:23" ht="15" customHeight="1">
      <c r="A75" s="3265">
        <f>+A68-0.01</f>
        <v>-10.119999999999997</v>
      </c>
      <c r="B75" s="3267" t="s">
        <v>1242</v>
      </c>
      <c r="C75" s="3268"/>
      <c r="D75" s="3268"/>
      <c r="E75" s="3268"/>
      <c r="F75" s="3268"/>
      <c r="G75" s="3269"/>
      <c r="H75" s="1098"/>
      <c r="I75" s="1098"/>
      <c r="J75" s="1098"/>
      <c r="K75" s="1098"/>
      <c r="L75" s="1098"/>
      <c r="M75" s="1098"/>
      <c r="N75" s="1098"/>
      <c r="O75" s="1098"/>
      <c r="P75" s="1098"/>
      <c r="Q75" s="1098"/>
      <c r="R75" s="1098"/>
      <c r="S75" s="1099"/>
      <c r="T75" s="1100"/>
      <c r="U75" s="1097"/>
      <c r="V75" s="1098"/>
      <c r="W75" s="1101"/>
    </row>
    <row r="76" spans="1:23" ht="15" customHeight="1">
      <c r="A76" s="3266"/>
      <c r="B76" s="3270"/>
      <c r="C76" s="3249"/>
      <c r="D76" s="3249"/>
      <c r="E76" s="3249"/>
      <c r="F76" s="3249"/>
      <c r="G76" s="3271"/>
      <c r="H76" s="1568"/>
      <c r="I76" s="1568" t="s">
        <v>1243</v>
      </c>
      <c r="J76" s="1568"/>
      <c r="K76" s="1568"/>
      <c r="L76" s="1568"/>
      <c r="M76" s="1568"/>
      <c r="N76" s="1568"/>
      <c r="O76" s="1568"/>
      <c r="P76" s="1568"/>
      <c r="Q76" s="1575"/>
      <c r="R76" s="1568"/>
      <c r="S76" s="1570">
        <v>1</v>
      </c>
      <c r="T76" s="1050"/>
      <c r="U76" s="1075"/>
      <c r="V76" s="1568"/>
      <c r="W76" s="1076"/>
    </row>
    <row r="77" spans="1:23" ht="15" customHeight="1">
      <c r="A77" s="3266"/>
      <c r="B77" s="3270"/>
      <c r="C77" s="3249"/>
      <c r="D77" s="3249"/>
      <c r="E77" s="3249"/>
      <c r="F77" s="3249"/>
      <c r="G77" s="3271"/>
      <c r="H77" s="1568"/>
      <c r="I77" s="1568" t="s">
        <v>1244</v>
      </c>
      <c r="J77" s="1568"/>
      <c r="K77" s="1568"/>
      <c r="L77" s="1568"/>
      <c r="M77" s="1568"/>
      <c r="N77" s="1568"/>
      <c r="O77" s="1568"/>
      <c r="P77" s="1568"/>
      <c r="Q77" s="1575"/>
      <c r="R77" s="1568"/>
      <c r="S77" s="1570">
        <v>2</v>
      </c>
      <c r="T77" s="1050"/>
      <c r="U77" s="1077"/>
      <c r="V77" s="1571"/>
      <c r="W77" s="1078"/>
    </row>
    <row r="78" spans="1:23" ht="15" customHeight="1">
      <c r="A78" s="3266"/>
      <c r="B78" s="3270"/>
      <c r="C78" s="3249"/>
      <c r="D78" s="3249"/>
      <c r="E78" s="3249"/>
      <c r="F78" s="3249"/>
      <c r="G78" s="3271"/>
      <c r="H78" s="1568"/>
      <c r="I78" s="1568" t="s">
        <v>1245</v>
      </c>
      <c r="J78" s="1568"/>
      <c r="K78" s="1568"/>
      <c r="L78" s="1568"/>
      <c r="M78" s="1568"/>
      <c r="N78" s="1568"/>
      <c r="O78" s="1568"/>
      <c r="P78" s="1568"/>
      <c r="Q78" s="1575"/>
      <c r="R78" s="1568"/>
      <c r="S78" s="1570">
        <v>3</v>
      </c>
      <c r="T78" s="1050"/>
      <c r="U78" s="1075"/>
      <c r="V78" s="1568"/>
      <c r="W78" s="1076"/>
    </row>
    <row r="79" spans="1:23" ht="15" customHeight="1">
      <c r="A79" s="3266"/>
      <c r="B79" s="3270"/>
      <c r="C79" s="3249"/>
      <c r="D79" s="3249"/>
      <c r="E79" s="3249"/>
      <c r="F79" s="3249"/>
      <c r="G79" s="3271"/>
      <c r="H79" s="1568"/>
      <c r="I79" s="1568" t="s">
        <v>1246</v>
      </c>
      <c r="J79" s="1568"/>
      <c r="K79" s="1568"/>
      <c r="L79" s="1568"/>
      <c r="M79" s="1568"/>
      <c r="N79" s="1568"/>
      <c r="O79" s="1568"/>
      <c r="P79" s="1568"/>
      <c r="Q79" s="1575"/>
      <c r="R79" s="1568"/>
      <c r="S79" s="1570">
        <v>4</v>
      </c>
      <c r="T79" s="1050"/>
      <c r="U79" s="1075"/>
      <c r="V79" s="1568"/>
      <c r="W79" s="1076"/>
    </row>
    <row r="80" spans="1:23" ht="15" customHeight="1">
      <c r="A80" s="3266"/>
      <c r="B80" s="3270"/>
      <c r="C80" s="3249"/>
      <c r="D80" s="3249"/>
      <c r="E80" s="3249"/>
      <c r="F80" s="3249"/>
      <c r="G80" s="3271"/>
      <c r="H80" s="1568"/>
      <c r="I80" s="1568"/>
      <c r="J80" s="1568"/>
      <c r="K80" s="1568"/>
      <c r="L80" s="1568"/>
      <c r="M80" s="1568"/>
      <c r="N80" s="1568"/>
      <c r="O80" s="1568"/>
      <c r="P80" s="1575"/>
      <c r="Q80" s="1568"/>
      <c r="R80" s="1568"/>
      <c r="S80" s="1569"/>
      <c r="T80" s="1050"/>
      <c r="U80" s="1075"/>
      <c r="V80" s="1568"/>
      <c r="W80" s="1076"/>
    </row>
    <row r="81" spans="1:23" ht="15" customHeight="1">
      <c r="A81" s="3272">
        <f>+A75-0.01</f>
        <v>-10.129999999999997</v>
      </c>
      <c r="B81" s="3267" t="s">
        <v>1247</v>
      </c>
      <c r="C81" s="3268"/>
      <c r="D81" s="3268"/>
      <c r="E81" s="3268"/>
      <c r="F81" s="3268"/>
      <c r="G81" s="3269"/>
      <c r="H81" s="1093"/>
      <c r="I81" s="1093"/>
      <c r="J81" s="1093"/>
      <c r="K81" s="1093"/>
      <c r="L81" s="1093"/>
      <c r="M81" s="1093"/>
      <c r="N81" s="1093"/>
      <c r="O81" s="1093"/>
      <c r="P81" s="1048" t="s">
        <v>104</v>
      </c>
      <c r="Q81" s="1048" t="s">
        <v>108</v>
      </c>
      <c r="R81" s="1093"/>
      <c r="S81" s="1048" t="s">
        <v>416</v>
      </c>
      <c r="T81" s="1049"/>
      <c r="U81" s="1093"/>
      <c r="V81" s="1093"/>
      <c r="W81" s="1095"/>
    </row>
    <row r="82" spans="1:23" ht="15" customHeight="1">
      <c r="A82" s="3266"/>
      <c r="B82" s="3270"/>
      <c r="C82" s="3249"/>
      <c r="D82" s="3249"/>
      <c r="E82" s="3249"/>
      <c r="F82" s="3249"/>
      <c r="G82" s="3271"/>
      <c r="H82" s="1568"/>
      <c r="I82" s="1568" t="s">
        <v>1248</v>
      </c>
      <c r="J82" s="1568"/>
      <c r="K82" s="1568"/>
      <c r="L82" s="1568"/>
      <c r="M82" s="1568"/>
      <c r="N82" s="1568"/>
      <c r="O82" s="1568"/>
      <c r="P82" s="1569"/>
      <c r="Q82" s="1569"/>
      <c r="R82" s="1568"/>
      <c r="S82" s="1569"/>
      <c r="T82" s="1050"/>
      <c r="U82" s="1568"/>
      <c r="V82" s="1568"/>
      <c r="W82" s="1076"/>
    </row>
    <row r="83" spans="1:23" ht="15" customHeight="1">
      <c r="A83" s="3266"/>
      <c r="B83" s="3270"/>
      <c r="C83" s="3249"/>
      <c r="D83" s="3249"/>
      <c r="E83" s="3249"/>
      <c r="F83" s="3249"/>
      <c r="G83" s="3271"/>
      <c r="H83" s="1568"/>
      <c r="I83" s="1782" t="s">
        <v>1249</v>
      </c>
      <c r="J83" s="1568"/>
      <c r="K83" s="1568"/>
      <c r="L83" s="1568"/>
      <c r="M83" s="1568"/>
      <c r="N83" s="1568"/>
      <c r="O83" s="1568"/>
      <c r="P83" s="1570">
        <v>1</v>
      </c>
      <c r="Q83" s="1783">
        <v>2</v>
      </c>
      <c r="R83" s="1570"/>
      <c r="S83" s="1570">
        <v>3</v>
      </c>
      <c r="T83" s="1050"/>
      <c r="U83" s="1571"/>
      <c r="V83" s="1571"/>
      <c r="W83" s="1078"/>
    </row>
    <row r="84" spans="1:23" ht="15" customHeight="1">
      <c r="A84" s="3266"/>
      <c r="B84" s="3270"/>
      <c r="C84" s="3249"/>
      <c r="D84" s="3249"/>
      <c r="E84" s="3249"/>
      <c r="F84" s="3249"/>
      <c r="G84" s="3271"/>
      <c r="H84" s="1568"/>
      <c r="I84" s="1782" t="s">
        <v>1250</v>
      </c>
      <c r="J84" s="1568"/>
      <c r="K84" s="1568"/>
      <c r="L84" s="1568"/>
      <c r="M84" s="1568"/>
      <c r="N84" s="1568"/>
      <c r="O84" s="1568"/>
      <c r="P84" s="1570">
        <v>1</v>
      </c>
      <c r="Q84" s="1783">
        <v>2</v>
      </c>
      <c r="R84" s="1570"/>
      <c r="S84" s="1570">
        <v>3</v>
      </c>
      <c r="T84" s="1050"/>
      <c r="U84" s="1568"/>
      <c r="V84" s="1568"/>
      <c r="W84" s="1076"/>
    </row>
    <row r="85" spans="1:23" ht="15" customHeight="1">
      <c r="A85" s="3266"/>
      <c r="B85" s="3270"/>
      <c r="C85" s="3249"/>
      <c r="D85" s="3249"/>
      <c r="E85" s="3249"/>
      <c r="F85" s="3249"/>
      <c r="G85" s="3271"/>
      <c r="H85" s="1568"/>
      <c r="I85" s="1782" t="s">
        <v>1251</v>
      </c>
      <c r="J85" s="1568"/>
      <c r="K85" s="1568"/>
      <c r="L85" s="1568"/>
      <c r="M85" s="1568"/>
      <c r="N85" s="1568"/>
      <c r="O85" s="1568"/>
      <c r="P85" s="1570">
        <v>1</v>
      </c>
      <c r="Q85" s="1783">
        <v>2</v>
      </c>
      <c r="R85" s="1570"/>
      <c r="S85" s="1570">
        <v>3</v>
      </c>
      <c r="T85" s="1050"/>
      <c r="U85" s="1568"/>
      <c r="V85" s="1568"/>
      <c r="W85" s="1076"/>
    </row>
    <row r="86" spans="1:23" ht="15" customHeight="1">
      <c r="A86" s="3266"/>
      <c r="B86" s="1143"/>
      <c r="C86" s="1784"/>
      <c r="D86" s="1784"/>
      <c r="E86" s="1784"/>
      <c r="F86" s="1784"/>
      <c r="G86" s="1144"/>
      <c r="H86" s="1568"/>
      <c r="I86" s="1782" t="s">
        <v>1252</v>
      </c>
      <c r="J86" s="1568"/>
      <c r="K86" s="1568"/>
      <c r="L86" s="1568"/>
      <c r="M86" s="1568"/>
      <c r="N86" s="1568"/>
      <c r="O86" s="1568"/>
      <c r="P86" s="1570">
        <v>1</v>
      </c>
      <c r="Q86" s="1783">
        <v>2</v>
      </c>
      <c r="R86" s="1570"/>
      <c r="S86" s="1570">
        <v>3</v>
      </c>
      <c r="T86" s="1050"/>
      <c r="U86" s="1568"/>
      <c r="V86" s="1568"/>
      <c r="W86" s="1076"/>
    </row>
    <row r="87" spans="1:23" ht="15" customHeight="1">
      <c r="A87" s="3266"/>
      <c r="B87" s="1143"/>
      <c r="C87" s="1784"/>
      <c r="D87" s="1784"/>
      <c r="E87" s="1784"/>
      <c r="F87" s="1784"/>
      <c r="G87" s="1144"/>
      <c r="H87" s="1568"/>
      <c r="I87" s="1568" t="s">
        <v>1253</v>
      </c>
      <c r="J87" s="1568"/>
      <c r="K87" s="1568"/>
      <c r="L87" s="1568"/>
      <c r="M87" s="1568"/>
      <c r="N87" s="1568"/>
      <c r="O87" s="1568"/>
      <c r="P87" s="1570"/>
      <c r="Q87" s="1783"/>
      <c r="R87" s="1570"/>
      <c r="S87" s="1570"/>
      <c r="T87" s="1050"/>
      <c r="U87" s="1568"/>
      <c r="V87" s="1568"/>
      <c r="W87" s="1076"/>
    </row>
    <row r="88" spans="1:23" ht="15" customHeight="1">
      <c r="A88" s="3266"/>
      <c r="B88" s="1143"/>
      <c r="C88" s="1784"/>
      <c r="D88" s="1784"/>
      <c r="E88" s="1784"/>
      <c r="F88" s="1784"/>
      <c r="G88" s="1144"/>
      <c r="H88" s="1568"/>
      <c r="I88" s="1782" t="s">
        <v>1254</v>
      </c>
      <c r="J88" s="1568"/>
      <c r="K88" s="1568"/>
      <c r="L88" s="1568"/>
      <c r="M88" s="1568"/>
      <c r="N88" s="1568"/>
      <c r="O88" s="1568"/>
      <c r="P88" s="1570">
        <v>1</v>
      </c>
      <c r="Q88" s="1783">
        <v>2</v>
      </c>
      <c r="R88" s="1570"/>
      <c r="S88" s="1570">
        <v>3</v>
      </c>
      <c r="T88" s="1050"/>
      <c r="U88" s="1568"/>
      <c r="V88" s="1568"/>
      <c r="W88" s="1076"/>
    </row>
    <row r="89" spans="1:23" ht="15" customHeight="1">
      <c r="A89" s="3266"/>
      <c r="B89" s="1143"/>
      <c r="C89" s="1784"/>
      <c r="D89" s="1784"/>
      <c r="E89" s="1784"/>
      <c r="F89" s="1784"/>
      <c r="G89" s="1144"/>
      <c r="H89" s="1568"/>
      <c r="I89" s="1782" t="s">
        <v>1255</v>
      </c>
      <c r="J89" s="1568"/>
      <c r="K89" s="1568"/>
      <c r="L89" s="1568"/>
      <c r="M89" s="1568"/>
      <c r="N89" s="1568"/>
      <c r="O89" s="1568"/>
      <c r="P89" s="1570">
        <v>1</v>
      </c>
      <c r="Q89" s="1783">
        <v>2</v>
      </c>
      <c r="R89" s="1570"/>
      <c r="S89" s="1570">
        <v>3</v>
      </c>
      <c r="T89" s="1050"/>
      <c r="U89" s="1568"/>
      <c r="V89" s="1568"/>
      <c r="W89" s="1076"/>
    </row>
    <row r="90" spans="1:23" ht="15" customHeight="1">
      <c r="A90" s="3266"/>
      <c r="B90" s="1143"/>
      <c r="C90" s="1784"/>
      <c r="D90" s="1784"/>
      <c r="E90" s="1784"/>
      <c r="F90" s="1784"/>
      <c r="G90" s="1144"/>
      <c r="H90" s="1568"/>
      <c r="I90" s="1782" t="s">
        <v>1256</v>
      </c>
      <c r="J90" s="1568"/>
      <c r="K90" s="1568"/>
      <c r="L90" s="1568"/>
      <c r="M90" s="1568"/>
      <c r="N90" s="1568"/>
      <c r="O90" s="1568"/>
      <c r="P90" s="1570">
        <v>1</v>
      </c>
      <c r="Q90" s="1783">
        <v>2</v>
      </c>
      <c r="R90" s="1570"/>
      <c r="S90" s="1570">
        <v>3</v>
      </c>
      <c r="T90" s="1050"/>
      <c r="U90" s="1568"/>
      <c r="V90" s="1568"/>
      <c r="W90" s="1076"/>
    </row>
    <row r="91" spans="1:23">
      <c r="A91" s="3266"/>
      <c r="B91" s="1143"/>
      <c r="C91" s="1784"/>
      <c r="D91" s="1784"/>
      <c r="E91" s="1784"/>
      <c r="F91" s="1784"/>
      <c r="G91" s="1144"/>
      <c r="H91" s="1568"/>
      <c r="I91" s="1782"/>
      <c r="J91" s="1568"/>
      <c r="K91" s="1568"/>
      <c r="L91" s="1568"/>
      <c r="M91" s="1568"/>
      <c r="N91" s="1568"/>
      <c r="O91" s="1568"/>
      <c r="P91" s="1570"/>
      <c r="Q91" s="1783"/>
      <c r="R91" s="1570"/>
      <c r="S91" s="1570"/>
      <c r="T91" s="1050"/>
      <c r="U91" s="1568"/>
      <c r="V91" s="1568"/>
      <c r="W91" s="1076"/>
    </row>
    <row r="92" spans="1:23" ht="15" customHeight="1">
      <c r="A92" s="3266"/>
      <c r="B92" s="1143"/>
      <c r="C92" s="1784"/>
      <c r="D92" s="1784"/>
      <c r="E92" s="1784"/>
      <c r="F92" s="1784"/>
      <c r="G92" s="1144"/>
      <c r="H92" s="1568"/>
      <c r="I92" s="1572" t="s">
        <v>1257</v>
      </c>
      <c r="J92" s="1568"/>
      <c r="K92" s="1568"/>
      <c r="L92" s="1568"/>
      <c r="M92" s="1568"/>
      <c r="N92" s="1568"/>
      <c r="O92" s="1568"/>
      <c r="P92" s="1570">
        <v>1</v>
      </c>
      <c r="Q92" s="1783">
        <v>2</v>
      </c>
      <c r="R92" s="1570"/>
      <c r="S92" s="1570">
        <v>3</v>
      </c>
      <c r="T92" s="1050"/>
      <c r="U92" s="1568"/>
      <c r="V92" s="1568"/>
      <c r="W92" s="1076"/>
    </row>
    <row r="93" spans="1:23" ht="15" customHeight="1">
      <c r="A93" s="3266"/>
      <c r="B93" s="1143"/>
      <c r="C93" s="1784"/>
      <c r="D93" s="1784"/>
      <c r="E93" s="1784"/>
      <c r="F93" s="1784"/>
      <c r="G93" s="1144"/>
      <c r="H93" s="1568"/>
      <c r="I93" s="1572" t="s">
        <v>1258</v>
      </c>
      <c r="J93" s="1568"/>
      <c r="K93" s="1568"/>
      <c r="L93" s="1568"/>
      <c r="M93" s="1568"/>
      <c r="N93" s="1568"/>
      <c r="O93" s="1568"/>
      <c r="P93" s="1570">
        <v>1</v>
      </c>
      <c r="Q93" s="1783">
        <v>2</v>
      </c>
      <c r="R93" s="1570"/>
      <c r="S93" s="1570">
        <v>3</v>
      </c>
      <c r="T93" s="1050"/>
      <c r="U93" s="1568"/>
      <c r="V93" s="1568"/>
      <c r="W93" s="1076"/>
    </row>
    <row r="94" spans="1:23" ht="15" customHeight="1">
      <c r="A94" s="3266"/>
      <c r="B94" s="1143"/>
      <c r="C94" s="1784"/>
      <c r="D94" s="1784"/>
      <c r="E94" s="1784"/>
      <c r="F94" s="1784"/>
      <c r="G94" s="1144"/>
      <c r="H94" s="1568"/>
      <c r="I94" s="1572" t="s">
        <v>1259</v>
      </c>
      <c r="J94" s="1568"/>
      <c r="K94" s="1568"/>
      <c r="L94" s="1568"/>
      <c r="M94" s="1568"/>
      <c r="N94" s="1568"/>
      <c r="O94" s="1568"/>
      <c r="P94" s="1570">
        <v>1</v>
      </c>
      <c r="Q94" s="1783">
        <v>2</v>
      </c>
      <c r="R94" s="1570"/>
      <c r="S94" s="1570">
        <v>3</v>
      </c>
      <c r="T94" s="1050"/>
      <c r="U94" s="1568"/>
      <c r="V94" s="1568"/>
      <c r="W94" s="1076"/>
    </row>
    <row r="95" spans="1:23">
      <c r="A95" s="3266"/>
      <c r="B95" s="1143"/>
      <c r="C95" s="1784"/>
      <c r="D95" s="1784"/>
      <c r="E95" s="1784"/>
      <c r="F95" s="1784"/>
      <c r="G95" s="1144"/>
      <c r="H95" s="1568"/>
      <c r="I95" s="1572"/>
      <c r="J95" s="1568"/>
      <c r="K95" s="1568"/>
      <c r="L95" s="1568"/>
      <c r="M95" s="1568"/>
      <c r="N95" s="1568"/>
      <c r="O95" s="1568"/>
      <c r="P95" s="1570"/>
      <c r="Q95" s="1570"/>
      <c r="R95" s="1570"/>
      <c r="S95" s="1570"/>
      <c r="T95" s="1050"/>
      <c r="U95" s="1568"/>
      <c r="V95" s="1568"/>
      <c r="W95" s="1076"/>
    </row>
    <row r="96" spans="1:23">
      <c r="A96" s="3273"/>
      <c r="B96" s="1145"/>
      <c r="C96" s="1102"/>
      <c r="D96" s="1102"/>
      <c r="E96" s="1102"/>
      <c r="F96" s="1102"/>
      <c r="G96" s="1146"/>
      <c r="H96" s="1080"/>
      <c r="I96" s="1080"/>
      <c r="J96" s="1080"/>
      <c r="K96" s="1080"/>
      <c r="L96" s="1080"/>
      <c r="M96" s="1080"/>
      <c r="N96" s="1080"/>
      <c r="O96" s="1080"/>
      <c r="P96" s="1081"/>
      <c r="Q96" s="1080"/>
      <c r="R96" s="1080"/>
      <c r="S96" s="1051"/>
      <c r="T96" s="1052"/>
      <c r="U96" s="1080"/>
      <c r="V96" s="1080"/>
      <c r="W96" s="1082"/>
    </row>
  </sheetData>
  <mergeCells count="34">
    <mergeCell ref="A28:A32"/>
    <mergeCell ref="B28:G32"/>
    <mergeCell ref="U49:W61"/>
    <mergeCell ref="A49:A61"/>
    <mergeCell ref="U71:W72"/>
    <mergeCell ref="A62:A66"/>
    <mergeCell ref="B62:G66"/>
    <mergeCell ref="A45:A48"/>
    <mergeCell ref="B45:G48"/>
    <mergeCell ref="A33:W33"/>
    <mergeCell ref="B49:G55"/>
    <mergeCell ref="B56:G60"/>
    <mergeCell ref="A75:A80"/>
    <mergeCell ref="B75:G80"/>
    <mergeCell ref="A81:A96"/>
    <mergeCell ref="A68:A73"/>
    <mergeCell ref="B81:G85"/>
    <mergeCell ref="B67:G73"/>
    <mergeCell ref="B3:G3"/>
    <mergeCell ref="H3:S3"/>
    <mergeCell ref="U3:W3"/>
    <mergeCell ref="A34:A44"/>
    <mergeCell ref="B34:G44"/>
    <mergeCell ref="A4:A9"/>
    <mergeCell ref="B4:G9"/>
    <mergeCell ref="A10:A14"/>
    <mergeCell ref="A15:A18"/>
    <mergeCell ref="B15:G18"/>
    <mergeCell ref="B10:G10"/>
    <mergeCell ref="B11:G14"/>
    <mergeCell ref="A19:A23"/>
    <mergeCell ref="B19:G23"/>
    <mergeCell ref="A24:A27"/>
    <mergeCell ref="B24:G27"/>
  </mergeCells>
  <pageMargins left="0.45" right="0.45" top="0.75" bottom="0.5" header="0.3" footer="0.3"/>
  <pageSetup paperSize="9" scale="80" orientation="portrait" r:id="rId1"/>
  <rowBreaks count="1" manualBreakCount="1">
    <brk id="61" max="22"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3">
    <tabColor rgb="FFFF0000"/>
  </sheetPr>
  <dimension ref="A1:BL47"/>
  <sheetViews>
    <sheetView showGridLines="0" view="pageBreakPreview" topLeftCell="A9" zoomScaleSheetLayoutView="100" workbookViewId="0">
      <selection activeCell="U33" sqref="U33"/>
    </sheetView>
  </sheetViews>
  <sheetFormatPr defaultColWidth="9.140625" defaultRowHeight="12.75"/>
  <cols>
    <col min="1" max="1" width="3.42578125" style="47" customWidth="1"/>
    <col min="2" max="2" width="4" style="47" customWidth="1"/>
    <col min="3" max="3" width="3.42578125" style="47" customWidth="1"/>
    <col min="4" max="4" width="3.7109375" style="47" customWidth="1"/>
    <col min="5" max="5" width="3.42578125" style="47" customWidth="1"/>
    <col min="6" max="6" width="5.140625" style="47" customWidth="1"/>
    <col min="7" max="7" width="12.7109375" style="47" customWidth="1"/>
    <col min="8" max="11" width="3.85546875" style="47" customWidth="1"/>
    <col min="12" max="14" width="2.28515625" style="47" customWidth="1"/>
    <col min="15" max="15" width="2.85546875" style="47" customWidth="1"/>
    <col min="16" max="16" width="2.28515625" style="47" customWidth="1"/>
    <col min="17" max="17" width="3.28515625" style="47" customWidth="1"/>
    <col min="18" max="23" width="2.42578125" style="47" customWidth="1"/>
    <col min="24" max="24" width="2.7109375" style="47" customWidth="1"/>
    <col min="25" max="25" width="3" style="47" customWidth="1"/>
    <col min="26" max="28" width="1.85546875" style="47" customWidth="1"/>
    <col min="29" max="29" width="4" style="47" customWidth="1"/>
    <col min="30" max="30" width="1.28515625" style="47" customWidth="1"/>
    <col min="31" max="31" width="3.28515625" style="47" customWidth="1"/>
    <col min="32" max="32" width="2.7109375" style="47" customWidth="1"/>
    <col min="33" max="36" width="3.140625" style="47" customWidth="1"/>
    <col min="37" max="37" width="18.7109375" style="47" customWidth="1"/>
    <col min="38" max="41" width="3.85546875" style="47" customWidth="1"/>
    <col min="42" max="45" width="3.140625" style="47" customWidth="1"/>
    <col min="46" max="46" width="2.7109375" style="47" customWidth="1"/>
    <col min="47" max="51" width="2.42578125" style="47" customWidth="1"/>
    <col min="52" max="52" width="2.28515625" style="47" customWidth="1"/>
    <col min="53" max="57" width="2.42578125" style="47" customWidth="1"/>
    <col min="58" max="58" width="1.85546875" style="47" customWidth="1"/>
    <col min="59" max="64" width="2.7109375" style="47" customWidth="1"/>
    <col min="65" max="16384" width="9.140625" style="47"/>
  </cols>
  <sheetData>
    <row r="1" spans="1:58" ht="15.75">
      <c r="A1" s="3" t="s">
        <v>1260</v>
      </c>
    </row>
    <row r="2" spans="1:58" ht="6" customHeight="1">
      <c r="A2" s="171"/>
    </row>
    <row r="3" spans="1:58">
      <c r="A3" s="1688" t="s">
        <v>859</v>
      </c>
      <c r="C3" s="171"/>
      <c r="J3" s="171"/>
      <c r="BF3" s="1585" t="s">
        <v>860</v>
      </c>
    </row>
    <row r="4" spans="1:58" s="97" customFormat="1">
      <c r="A4" s="3299" t="s">
        <v>1261</v>
      </c>
      <c r="B4" s="3302" t="s">
        <v>1262</v>
      </c>
      <c r="C4" s="3303"/>
      <c r="D4" s="3303"/>
      <c r="E4" s="3303"/>
      <c r="F4" s="3303"/>
      <c r="G4" s="3304"/>
      <c r="H4" s="1952">
        <v>-11.01</v>
      </c>
      <c r="I4" s="1954"/>
      <c r="J4" s="1954"/>
      <c r="K4" s="1953"/>
      <c r="L4" s="1952">
        <f>H4-0.01</f>
        <v>-11.02</v>
      </c>
      <c r="M4" s="1954"/>
      <c r="N4" s="1954"/>
      <c r="O4" s="1954"/>
      <c r="P4" s="1954"/>
      <c r="Q4" s="1953"/>
      <c r="R4" s="1952">
        <f>+L4-0.01</f>
        <v>-11.03</v>
      </c>
      <c r="S4" s="1954"/>
      <c r="T4" s="1954"/>
      <c r="U4" s="1954"/>
      <c r="V4" s="1954"/>
      <c r="W4" s="1953"/>
      <c r="X4" s="1952">
        <f>R4-0.01</f>
        <v>-11.04</v>
      </c>
      <c r="Y4" s="1954"/>
      <c r="Z4" s="1954"/>
      <c r="AA4" s="1954"/>
      <c r="AB4" s="1954"/>
      <c r="AC4" s="1953"/>
      <c r="AE4" s="3299" t="s">
        <v>1261</v>
      </c>
      <c r="AF4" s="3302" t="s">
        <v>1262</v>
      </c>
      <c r="AG4" s="3303"/>
      <c r="AH4" s="3303"/>
      <c r="AI4" s="3303"/>
      <c r="AJ4" s="3303"/>
      <c r="AK4" s="3304"/>
      <c r="AL4" s="1952">
        <v>-11.01</v>
      </c>
      <c r="AM4" s="1954"/>
      <c r="AN4" s="1954"/>
      <c r="AO4" s="1953"/>
      <c r="AP4" s="1952">
        <f>AL4-0.01</f>
        <v>-11.02</v>
      </c>
      <c r="AQ4" s="1954"/>
      <c r="AR4" s="1954"/>
      <c r="AS4" s="1954"/>
      <c r="AT4" s="1954"/>
      <c r="AU4" s="1952">
        <f>+AP4-0.01</f>
        <v>-11.03</v>
      </c>
      <c r="AV4" s="1954"/>
      <c r="AW4" s="1954"/>
      <c r="AX4" s="1954"/>
      <c r="AY4" s="1954"/>
      <c r="AZ4" s="1953"/>
      <c r="BA4" s="1952">
        <f>AU4-0.01</f>
        <v>-11.04</v>
      </c>
      <c r="BB4" s="1954"/>
      <c r="BC4" s="1954"/>
      <c r="BD4" s="1954"/>
      <c r="BE4" s="1954"/>
      <c r="BF4" s="1953"/>
    </row>
    <row r="5" spans="1:58" ht="12.75" customHeight="1">
      <c r="A5" s="3300"/>
      <c r="B5" s="3190"/>
      <c r="C5" s="2187"/>
      <c r="D5" s="2187"/>
      <c r="E5" s="2187"/>
      <c r="F5" s="2187"/>
      <c r="G5" s="3305"/>
      <c r="H5" s="1955" t="s">
        <v>1263</v>
      </c>
      <c r="I5" s="1956"/>
      <c r="J5" s="1956"/>
      <c r="K5" s="1957"/>
      <c r="L5" s="1955" t="s">
        <v>1264</v>
      </c>
      <c r="M5" s="1956"/>
      <c r="N5" s="1956"/>
      <c r="O5" s="1956"/>
      <c r="P5" s="1956"/>
      <c r="Q5" s="1957"/>
      <c r="R5" s="1955" t="s">
        <v>1265</v>
      </c>
      <c r="S5" s="1956"/>
      <c r="T5" s="1956"/>
      <c r="U5" s="1956"/>
      <c r="V5" s="1956"/>
      <c r="W5" s="1957"/>
      <c r="X5" s="1955" t="s">
        <v>1266</v>
      </c>
      <c r="Y5" s="1956"/>
      <c r="Z5" s="1956"/>
      <c r="AA5" s="1956"/>
      <c r="AB5" s="1956"/>
      <c r="AC5" s="1957"/>
      <c r="AE5" s="3300"/>
      <c r="AF5" s="3190"/>
      <c r="AG5" s="2187"/>
      <c r="AH5" s="2187"/>
      <c r="AI5" s="2187"/>
      <c r="AJ5" s="2187"/>
      <c r="AK5" s="3305"/>
      <c r="AL5" s="1955" t="s">
        <v>1263</v>
      </c>
      <c r="AM5" s="1956"/>
      <c r="AN5" s="1956"/>
      <c r="AO5" s="1957"/>
      <c r="AP5" s="1955" t="s">
        <v>1264</v>
      </c>
      <c r="AQ5" s="1956"/>
      <c r="AR5" s="1956"/>
      <c r="AS5" s="1956"/>
      <c r="AT5" s="1956"/>
      <c r="AU5" s="1955" t="s">
        <v>1265</v>
      </c>
      <c r="AV5" s="1956"/>
      <c r="AW5" s="1956"/>
      <c r="AX5" s="1956"/>
      <c r="AY5" s="1956"/>
      <c r="AZ5" s="1957"/>
      <c r="BA5" s="1955" t="s">
        <v>1266</v>
      </c>
      <c r="BB5" s="1956"/>
      <c r="BC5" s="1956"/>
      <c r="BD5" s="1956"/>
      <c r="BE5" s="1956"/>
      <c r="BF5" s="1957"/>
    </row>
    <row r="6" spans="1:58">
      <c r="A6" s="3300"/>
      <c r="B6" s="3190"/>
      <c r="C6" s="2187"/>
      <c r="D6" s="2187"/>
      <c r="E6" s="2187"/>
      <c r="F6" s="2187"/>
      <c r="G6" s="3305"/>
      <c r="H6" s="1955"/>
      <c r="I6" s="1956"/>
      <c r="J6" s="1956"/>
      <c r="K6" s="1957"/>
      <c r="L6" s="1955"/>
      <c r="M6" s="1956"/>
      <c r="N6" s="1956"/>
      <c r="O6" s="1956"/>
      <c r="P6" s="1956"/>
      <c r="Q6" s="1957"/>
      <c r="R6" s="1955"/>
      <c r="S6" s="1956"/>
      <c r="T6" s="1956"/>
      <c r="U6" s="1956"/>
      <c r="V6" s="1956"/>
      <c r="W6" s="1957"/>
      <c r="X6" s="1955"/>
      <c r="Y6" s="1956"/>
      <c r="Z6" s="1956"/>
      <c r="AA6" s="1956"/>
      <c r="AB6" s="1956"/>
      <c r="AC6" s="1957"/>
      <c r="AE6" s="3300"/>
      <c r="AF6" s="3190"/>
      <c r="AG6" s="2187"/>
      <c r="AH6" s="2187"/>
      <c r="AI6" s="2187"/>
      <c r="AJ6" s="2187"/>
      <c r="AK6" s="3305"/>
      <c r="AL6" s="1955"/>
      <c r="AM6" s="1956"/>
      <c r="AN6" s="1956"/>
      <c r="AO6" s="1957"/>
      <c r="AP6" s="1955"/>
      <c r="AQ6" s="1956"/>
      <c r="AR6" s="1956"/>
      <c r="AS6" s="1956"/>
      <c r="AT6" s="1956"/>
      <c r="AU6" s="1955"/>
      <c r="AV6" s="1956"/>
      <c r="AW6" s="1956"/>
      <c r="AX6" s="1956"/>
      <c r="AY6" s="1956"/>
      <c r="AZ6" s="1957"/>
      <c r="BA6" s="1955"/>
      <c r="BB6" s="1956"/>
      <c r="BC6" s="1956"/>
      <c r="BD6" s="1956"/>
      <c r="BE6" s="1956"/>
      <c r="BF6" s="1957"/>
    </row>
    <row r="7" spans="1:58">
      <c r="A7" s="3300"/>
      <c r="B7" s="3190"/>
      <c r="C7" s="2187"/>
      <c r="D7" s="2187"/>
      <c r="E7" s="2187"/>
      <c r="F7" s="2187"/>
      <c r="G7" s="3305"/>
      <c r="H7" s="1955"/>
      <c r="I7" s="1956"/>
      <c r="J7" s="1956"/>
      <c r="K7" s="1957"/>
      <c r="L7" s="1955"/>
      <c r="M7" s="1956"/>
      <c r="N7" s="1956"/>
      <c r="O7" s="1956"/>
      <c r="P7" s="1956"/>
      <c r="Q7" s="1957"/>
      <c r="R7" s="1955"/>
      <c r="S7" s="1956"/>
      <c r="T7" s="1956"/>
      <c r="U7" s="1956"/>
      <c r="V7" s="1956"/>
      <c r="W7" s="1957"/>
      <c r="X7" s="1955"/>
      <c r="Y7" s="1956"/>
      <c r="Z7" s="1956"/>
      <c r="AA7" s="1956"/>
      <c r="AB7" s="1956"/>
      <c r="AC7" s="1957"/>
      <c r="AE7" s="3300"/>
      <c r="AF7" s="3190"/>
      <c r="AG7" s="2187"/>
      <c r="AH7" s="2187"/>
      <c r="AI7" s="2187"/>
      <c r="AJ7" s="2187"/>
      <c r="AK7" s="3305"/>
      <c r="AL7" s="1955"/>
      <c r="AM7" s="1956"/>
      <c r="AN7" s="1956"/>
      <c r="AO7" s="1957"/>
      <c r="AP7" s="1955"/>
      <c r="AQ7" s="1956"/>
      <c r="AR7" s="1956"/>
      <c r="AS7" s="1956"/>
      <c r="AT7" s="1956"/>
      <c r="AU7" s="1955"/>
      <c r="AV7" s="1956"/>
      <c r="AW7" s="1956"/>
      <c r="AX7" s="1956"/>
      <c r="AY7" s="1956"/>
      <c r="AZ7" s="1957"/>
      <c r="BA7" s="1955"/>
      <c r="BB7" s="1956"/>
      <c r="BC7" s="1956"/>
      <c r="BD7" s="1956"/>
      <c r="BE7" s="1956"/>
      <c r="BF7" s="1957"/>
    </row>
    <row r="8" spans="1:58" ht="15" customHeight="1">
      <c r="A8" s="3300"/>
      <c r="B8" s="3190"/>
      <c r="C8" s="2187"/>
      <c r="D8" s="2187"/>
      <c r="E8" s="2187"/>
      <c r="F8" s="2187"/>
      <c r="G8" s="3305"/>
      <c r="H8" s="1955"/>
      <c r="I8" s="1956"/>
      <c r="J8" s="1956"/>
      <c r="K8" s="1957"/>
      <c r="L8" s="1955"/>
      <c r="M8" s="1956"/>
      <c r="N8" s="1956"/>
      <c r="O8" s="1956"/>
      <c r="P8" s="1956"/>
      <c r="Q8" s="1957"/>
      <c r="R8" s="1955"/>
      <c r="S8" s="1956"/>
      <c r="T8" s="1956"/>
      <c r="U8" s="1956"/>
      <c r="V8" s="1956"/>
      <c r="W8" s="1957"/>
      <c r="X8" s="1955"/>
      <c r="Y8" s="1956"/>
      <c r="Z8" s="1956"/>
      <c r="AA8" s="1956"/>
      <c r="AB8" s="1956"/>
      <c r="AC8" s="1957"/>
      <c r="AE8" s="3300"/>
      <c r="AF8" s="3190"/>
      <c r="AG8" s="2187"/>
      <c r="AH8" s="2187"/>
      <c r="AI8" s="2187"/>
      <c r="AJ8" s="2187"/>
      <c r="AK8" s="3305"/>
      <c r="AL8" s="1955"/>
      <c r="AM8" s="1956"/>
      <c r="AN8" s="1956"/>
      <c r="AO8" s="1957"/>
      <c r="AP8" s="1955"/>
      <c r="AQ8" s="1956"/>
      <c r="AR8" s="1956"/>
      <c r="AS8" s="1956"/>
      <c r="AT8" s="1956"/>
      <c r="AU8" s="1955"/>
      <c r="AV8" s="1956"/>
      <c r="AW8" s="1956"/>
      <c r="AX8" s="1956"/>
      <c r="AY8" s="1956"/>
      <c r="AZ8" s="1957"/>
      <c r="BA8" s="1955"/>
      <c r="BB8" s="1956"/>
      <c r="BC8" s="1956"/>
      <c r="BD8" s="1956"/>
      <c r="BE8" s="1956"/>
      <c r="BF8" s="1957"/>
    </row>
    <row r="9" spans="1:58" ht="15" customHeight="1">
      <c r="A9" s="3300"/>
      <c r="B9" s="3190"/>
      <c r="C9" s="2187"/>
      <c r="D9" s="2187"/>
      <c r="E9" s="2187"/>
      <c r="F9" s="2187"/>
      <c r="G9" s="3305"/>
      <c r="H9" s="3308" t="s">
        <v>1267</v>
      </c>
      <c r="I9" s="3309"/>
      <c r="J9" s="3309"/>
      <c r="K9" s="3310"/>
      <c r="L9" s="1955"/>
      <c r="M9" s="1956"/>
      <c r="N9" s="1956"/>
      <c r="O9" s="1956"/>
      <c r="P9" s="1956"/>
      <c r="Q9" s="1957"/>
      <c r="R9" s="1955"/>
      <c r="S9" s="1956"/>
      <c r="T9" s="1956"/>
      <c r="U9" s="1956"/>
      <c r="V9" s="1956"/>
      <c r="W9" s="1957"/>
      <c r="X9" s="1955"/>
      <c r="Y9" s="1956"/>
      <c r="Z9" s="1956"/>
      <c r="AA9" s="1956"/>
      <c r="AB9" s="1956"/>
      <c r="AC9" s="1957"/>
      <c r="AE9" s="3300"/>
      <c r="AF9" s="3190"/>
      <c r="AG9" s="2187"/>
      <c r="AH9" s="2187"/>
      <c r="AI9" s="2187"/>
      <c r="AJ9" s="2187"/>
      <c r="AK9" s="3305"/>
      <c r="AL9" s="1785"/>
      <c r="AM9" s="1600"/>
      <c r="AN9" s="1600"/>
      <c r="AO9" s="1141"/>
      <c r="AP9" s="1955"/>
      <c r="AQ9" s="1956"/>
      <c r="AR9" s="1956"/>
      <c r="AS9" s="1956"/>
      <c r="AT9" s="1956"/>
      <c r="AU9" s="1955"/>
      <c r="AV9" s="1956"/>
      <c r="AW9" s="1956"/>
      <c r="AX9" s="1956"/>
      <c r="AY9" s="1956"/>
      <c r="AZ9" s="1957"/>
      <c r="BA9" s="1955"/>
      <c r="BB9" s="1956"/>
      <c r="BC9" s="1956"/>
      <c r="BD9" s="1956"/>
      <c r="BE9" s="1956"/>
      <c r="BF9" s="1957"/>
    </row>
    <row r="10" spans="1:58" ht="15" customHeight="1">
      <c r="A10" s="3300"/>
      <c r="B10" s="3190"/>
      <c r="C10" s="2187"/>
      <c r="D10" s="2187"/>
      <c r="E10" s="2187"/>
      <c r="F10" s="2187"/>
      <c r="G10" s="3305"/>
      <c r="H10" s="3308"/>
      <c r="I10" s="3309"/>
      <c r="J10" s="3309"/>
      <c r="K10" s="3310"/>
      <c r="L10" s="1955"/>
      <c r="M10" s="1956"/>
      <c r="N10" s="1956"/>
      <c r="O10" s="1956"/>
      <c r="P10" s="1956"/>
      <c r="Q10" s="1957"/>
      <c r="R10" s="1955"/>
      <c r="S10" s="1956"/>
      <c r="T10" s="1956"/>
      <c r="U10" s="1956"/>
      <c r="V10" s="1956"/>
      <c r="W10" s="1957"/>
      <c r="X10" s="1955"/>
      <c r="Y10" s="1956"/>
      <c r="Z10" s="1956"/>
      <c r="AA10" s="1956"/>
      <c r="AB10" s="1956"/>
      <c r="AC10" s="1957"/>
      <c r="AE10" s="3300"/>
      <c r="AF10" s="3190"/>
      <c r="AG10" s="2187"/>
      <c r="AH10" s="2187"/>
      <c r="AI10" s="2187"/>
      <c r="AJ10" s="2187"/>
      <c r="AK10" s="3305"/>
      <c r="AL10" s="3308" t="s">
        <v>1268</v>
      </c>
      <c r="AM10" s="3309"/>
      <c r="AN10" s="3309"/>
      <c r="AO10" s="3310"/>
      <c r="AP10" s="1955"/>
      <c r="AQ10" s="1956"/>
      <c r="AR10" s="1956"/>
      <c r="AS10" s="1956"/>
      <c r="AT10" s="1956"/>
      <c r="AU10" s="1955"/>
      <c r="AV10" s="1956"/>
      <c r="AW10" s="1956"/>
      <c r="AX10" s="1956"/>
      <c r="AY10" s="1956"/>
      <c r="AZ10" s="1957"/>
      <c r="BA10" s="1955"/>
      <c r="BB10" s="1956"/>
      <c r="BC10" s="1956"/>
      <c r="BD10" s="1956"/>
      <c r="BE10" s="1956"/>
      <c r="BF10" s="1957"/>
    </row>
    <row r="11" spans="1:58">
      <c r="A11" s="3300"/>
      <c r="B11" s="3190"/>
      <c r="C11" s="2187"/>
      <c r="D11" s="2187"/>
      <c r="E11" s="2187"/>
      <c r="F11" s="2187"/>
      <c r="G11" s="3305"/>
      <c r="H11" s="3308"/>
      <c r="I11" s="3309"/>
      <c r="J11" s="3309"/>
      <c r="K11" s="3310"/>
      <c r="L11" s="3320"/>
      <c r="M11" s="3321"/>
      <c r="N11" s="3321"/>
      <c r="O11" s="3321"/>
      <c r="P11" s="3321"/>
      <c r="Q11" s="3322"/>
      <c r="R11" s="3320"/>
      <c r="S11" s="3321"/>
      <c r="T11" s="3321"/>
      <c r="U11" s="3321"/>
      <c r="V11" s="3321"/>
      <c r="W11" s="3322"/>
      <c r="X11" s="3320"/>
      <c r="Y11" s="3321"/>
      <c r="Z11" s="3321"/>
      <c r="AA11" s="3321"/>
      <c r="AB11" s="3321"/>
      <c r="AC11" s="3322"/>
      <c r="AE11" s="3300"/>
      <c r="AF11" s="3190"/>
      <c r="AG11" s="2187"/>
      <c r="AH11" s="2187"/>
      <c r="AI11" s="2187"/>
      <c r="AJ11" s="2187"/>
      <c r="AK11" s="3305"/>
      <c r="AL11" s="3308"/>
      <c r="AM11" s="3309"/>
      <c r="AN11" s="3309"/>
      <c r="AO11" s="3310"/>
      <c r="AP11" s="1955"/>
      <c r="AQ11" s="1956"/>
      <c r="AR11" s="1956"/>
      <c r="AS11" s="1956"/>
      <c r="AT11" s="1956"/>
      <c r="AU11" s="3320"/>
      <c r="AV11" s="3321"/>
      <c r="AW11" s="3321"/>
      <c r="AX11" s="3321"/>
      <c r="AY11" s="3321"/>
      <c r="AZ11" s="3322"/>
      <c r="BA11" s="1955"/>
      <c r="BB11" s="1956"/>
      <c r="BC11" s="1956"/>
      <c r="BD11" s="1956"/>
      <c r="BE11" s="1956"/>
      <c r="BF11" s="1957"/>
    </row>
    <row r="12" spans="1:58" ht="17.25" customHeight="1">
      <c r="A12" s="3300"/>
      <c r="B12" s="3190"/>
      <c r="C12" s="2187"/>
      <c r="D12" s="2187"/>
      <c r="E12" s="2187"/>
      <c r="F12" s="2187"/>
      <c r="G12" s="3305"/>
      <c r="H12" s="3308"/>
      <c r="I12" s="3309"/>
      <c r="J12" s="3309"/>
      <c r="K12" s="3310"/>
      <c r="L12" s="3308" t="s">
        <v>1269</v>
      </c>
      <c r="M12" s="3314"/>
      <c r="N12" s="3314"/>
      <c r="O12" s="3314"/>
      <c r="P12" s="3314"/>
      <c r="Q12" s="3315"/>
      <c r="R12" s="3308" t="s">
        <v>1270</v>
      </c>
      <c r="S12" s="3314"/>
      <c r="T12" s="3314"/>
      <c r="U12" s="3314"/>
      <c r="V12" s="3314"/>
      <c r="W12" s="3315"/>
      <c r="X12" s="3308" t="s">
        <v>1271</v>
      </c>
      <c r="Y12" s="3314"/>
      <c r="Z12" s="3314"/>
      <c r="AA12" s="3314"/>
      <c r="AB12" s="3314"/>
      <c r="AC12" s="3315"/>
      <c r="AE12" s="3300"/>
      <c r="AF12" s="3190"/>
      <c r="AG12" s="2187"/>
      <c r="AH12" s="2187"/>
      <c r="AI12" s="2187"/>
      <c r="AJ12" s="2187"/>
      <c r="AK12" s="3305"/>
      <c r="AL12" s="3308"/>
      <c r="AM12" s="3309"/>
      <c r="AN12" s="3309"/>
      <c r="AO12" s="3310"/>
      <c r="AP12" s="3308" t="s">
        <v>1269</v>
      </c>
      <c r="AQ12" s="3309"/>
      <c r="AR12" s="3309"/>
      <c r="AS12" s="3309"/>
      <c r="AT12" s="3309"/>
      <c r="AU12" s="3308" t="s">
        <v>1270</v>
      </c>
      <c r="AV12" s="3314"/>
      <c r="AW12" s="3314"/>
      <c r="AX12" s="3314"/>
      <c r="AY12" s="3314"/>
      <c r="AZ12" s="3315"/>
      <c r="BA12" s="1955"/>
      <c r="BB12" s="1956"/>
      <c r="BC12" s="1956"/>
      <c r="BD12" s="1956"/>
      <c r="BE12" s="1956"/>
      <c r="BF12" s="1957"/>
    </row>
    <row r="13" spans="1:58" ht="17.25" customHeight="1">
      <c r="A13" s="3300"/>
      <c r="B13" s="3190"/>
      <c r="C13" s="2187"/>
      <c r="D13" s="2187"/>
      <c r="E13" s="2187"/>
      <c r="F13" s="2187"/>
      <c r="G13" s="3305"/>
      <c r="H13" s="3308"/>
      <c r="I13" s="3309"/>
      <c r="J13" s="3309"/>
      <c r="K13" s="3310"/>
      <c r="L13" s="3316"/>
      <c r="M13" s="3314"/>
      <c r="N13" s="3314"/>
      <c r="O13" s="3314"/>
      <c r="P13" s="3314"/>
      <c r="Q13" s="3315"/>
      <c r="R13" s="3316"/>
      <c r="S13" s="3314"/>
      <c r="T13" s="3314"/>
      <c r="U13" s="3314"/>
      <c r="V13" s="3314"/>
      <c r="W13" s="3315"/>
      <c r="X13" s="3316"/>
      <c r="Y13" s="3314"/>
      <c r="Z13" s="3314"/>
      <c r="AA13" s="3314"/>
      <c r="AB13" s="3314"/>
      <c r="AC13" s="3315"/>
      <c r="AE13" s="3300"/>
      <c r="AF13" s="3190"/>
      <c r="AG13" s="2187"/>
      <c r="AH13" s="2187"/>
      <c r="AI13" s="2187"/>
      <c r="AJ13" s="2187"/>
      <c r="AK13" s="3305"/>
      <c r="AL13" s="3308"/>
      <c r="AM13" s="3309"/>
      <c r="AN13" s="3309"/>
      <c r="AO13" s="3310"/>
      <c r="AP13" s="3308"/>
      <c r="AQ13" s="3309"/>
      <c r="AR13" s="3309"/>
      <c r="AS13" s="3309"/>
      <c r="AT13" s="3309"/>
      <c r="AU13" s="3316"/>
      <c r="AV13" s="3314"/>
      <c r="AW13" s="3314"/>
      <c r="AX13" s="3314"/>
      <c r="AY13" s="3314"/>
      <c r="AZ13" s="3315"/>
      <c r="BA13" s="3308" t="s">
        <v>1271</v>
      </c>
      <c r="BB13" s="3309"/>
      <c r="BC13" s="3309"/>
      <c r="BD13" s="3309"/>
      <c r="BE13" s="3309"/>
      <c r="BF13" s="3310"/>
    </row>
    <row r="14" spans="1:58" ht="17.25" customHeight="1">
      <c r="A14" s="3300"/>
      <c r="B14" s="3190"/>
      <c r="C14" s="2187"/>
      <c r="D14" s="2187"/>
      <c r="E14" s="2187"/>
      <c r="F14" s="2187"/>
      <c r="G14" s="3305"/>
      <c r="H14" s="3308"/>
      <c r="I14" s="3309"/>
      <c r="J14" s="3309"/>
      <c r="K14" s="3310"/>
      <c r="L14" s="3316"/>
      <c r="M14" s="3314"/>
      <c r="N14" s="3314"/>
      <c r="O14" s="3314"/>
      <c r="P14" s="3314"/>
      <c r="Q14" s="3315"/>
      <c r="R14" s="3316"/>
      <c r="S14" s="3314"/>
      <c r="T14" s="3314"/>
      <c r="U14" s="3314"/>
      <c r="V14" s="3314"/>
      <c r="W14" s="3315"/>
      <c r="X14" s="3316"/>
      <c r="Y14" s="3314"/>
      <c r="Z14" s="3314"/>
      <c r="AA14" s="3314"/>
      <c r="AB14" s="3314"/>
      <c r="AC14" s="3315"/>
      <c r="AE14" s="3300"/>
      <c r="AF14" s="3190"/>
      <c r="AG14" s="2187"/>
      <c r="AH14" s="2187"/>
      <c r="AI14" s="2187"/>
      <c r="AJ14" s="2187"/>
      <c r="AK14" s="3305"/>
      <c r="AL14" s="3308"/>
      <c r="AM14" s="3309"/>
      <c r="AN14" s="3309"/>
      <c r="AO14" s="3310"/>
      <c r="AP14" s="3308"/>
      <c r="AQ14" s="3309"/>
      <c r="AR14" s="3309"/>
      <c r="AS14" s="3309"/>
      <c r="AT14" s="3309"/>
      <c r="AU14" s="3316"/>
      <c r="AV14" s="3314"/>
      <c r="AW14" s="3314"/>
      <c r="AX14" s="3314"/>
      <c r="AY14" s="3314"/>
      <c r="AZ14" s="3315"/>
      <c r="BA14" s="3308"/>
      <c r="BB14" s="3309"/>
      <c r="BC14" s="3309"/>
      <c r="BD14" s="3309"/>
      <c r="BE14" s="3309"/>
      <c r="BF14" s="3310"/>
    </row>
    <row r="15" spans="1:58" ht="17.25" customHeight="1">
      <c r="A15" s="3300"/>
      <c r="B15" s="3190"/>
      <c r="C15" s="2187"/>
      <c r="D15" s="2187"/>
      <c r="E15" s="2187"/>
      <c r="F15" s="2187"/>
      <c r="G15" s="3305"/>
      <c r="H15" s="3308"/>
      <c r="I15" s="3309"/>
      <c r="J15" s="3309"/>
      <c r="K15" s="3310"/>
      <c r="L15" s="3316"/>
      <c r="M15" s="3314"/>
      <c r="N15" s="3314"/>
      <c r="O15" s="3314"/>
      <c r="P15" s="3314"/>
      <c r="Q15" s="3315"/>
      <c r="R15" s="3316"/>
      <c r="S15" s="3314"/>
      <c r="T15" s="3314"/>
      <c r="U15" s="3314"/>
      <c r="V15" s="3314"/>
      <c r="W15" s="3315"/>
      <c r="X15" s="3316"/>
      <c r="Y15" s="3314"/>
      <c r="Z15" s="3314"/>
      <c r="AA15" s="3314"/>
      <c r="AB15" s="3314"/>
      <c r="AC15" s="3315"/>
      <c r="AE15" s="3300"/>
      <c r="AF15" s="3190"/>
      <c r="AG15" s="2187"/>
      <c r="AH15" s="2187"/>
      <c r="AI15" s="2187"/>
      <c r="AJ15" s="2187"/>
      <c r="AK15" s="3305"/>
      <c r="AL15" s="3308"/>
      <c r="AM15" s="3309"/>
      <c r="AN15" s="3309"/>
      <c r="AO15" s="3310"/>
      <c r="AP15" s="3308"/>
      <c r="AQ15" s="3309"/>
      <c r="AR15" s="3309"/>
      <c r="AS15" s="3309"/>
      <c r="AT15" s="3309"/>
      <c r="AU15" s="3316"/>
      <c r="AV15" s="3314"/>
      <c r="AW15" s="3314"/>
      <c r="AX15" s="3314"/>
      <c r="AY15" s="3314"/>
      <c r="AZ15" s="3315"/>
      <c r="BA15" s="3308"/>
      <c r="BB15" s="3309"/>
      <c r="BC15" s="3309"/>
      <c r="BD15" s="3309"/>
      <c r="BE15" s="3309"/>
      <c r="BF15" s="3310"/>
    </row>
    <row r="16" spans="1:58" ht="17.25" customHeight="1">
      <c r="A16" s="3300"/>
      <c r="B16" s="3190"/>
      <c r="C16" s="2187"/>
      <c r="D16" s="2187"/>
      <c r="E16" s="2187"/>
      <c r="F16" s="2187"/>
      <c r="G16" s="3305"/>
      <c r="H16" s="3311"/>
      <c r="I16" s="3312"/>
      <c r="J16" s="3312"/>
      <c r="K16" s="3313"/>
      <c r="L16" s="3317"/>
      <c r="M16" s="3318"/>
      <c r="N16" s="3318"/>
      <c r="O16" s="3318"/>
      <c r="P16" s="3318"/>
      <c r="Q16" s="3319"/>
      <c r="R16" s="3317"/>
      <c r="S16" s="3318"/>
      <c r="T16" s="3318"/>
      <c r="U16" s="3318"/>
      <c r="V16" s="3318"/>
      <c r="W16" s="3319"/>
      <c r="X16" s="3317"/>
      <c r="Y16" s="3318"/>
      <c r="Z16" s="3318"/>
      <c r="AA16" s="3318"/>
      <c r="AB16" s="3318"/>
      <c r="AC16" s="3319"/>
      <c r="AE16" s="3300"/>
      <c r="AF16" s="3190"/>
      <c r="AG16" s="2187"/>
      <c r="AH16" s="2187"/>
      <c r="AI16" s="2187"/>
      <c r="AJ16" s="2187"/>
      <c r="AK16" s="3305"/>
      <c r="AL16" s="3311"/>
      <c r="AM16" s="3312"/>
      <c r="AN16" s="3312"/>
      <c r="AO16" s="3313"/>
      <c r="AP16" s="3311"/>
      <c r="AQ16" s="3312"/>
      <c r="AR16" s="3312"/>
      <c r="AS16" s="3312"/>
      <c r="AT16" s="3312"/>
      <c r="AU16" s="3317"/>
      <c r="AV16" s="3318"/>
      <c r="AW16" s="3318"/>
      <c r="AX16" s="3318"/>
      <c r="AY16" s="3318"/>
      <c r="AZ16" s="3319"/>
      <c r="BA16" s="3311"/>
      <c r="BB16" s="3312"/>
      <c r="BC16" s="3312"/>
      <c r="BD16" s="3312"/>
      <c r="BE16" s="3312"/>
      <c r="BF16" s="3313"/>
    </row>
    <row r="17" spans="1:58" ht="13.5" customHeight="1">
      <c r="A17" s="3301"/>
      <c r="B17" s="3306"/>
      <c r="C17" s="2967"/>
      <c r="D17" s="2967"/>
      <c r="E17" s="2967"/>
      <c r="F17" s="2967"/>
      <c r="G17" s="3307"/>
      <c r="H17" s="1976" t="s">
        <v>815</v>
      </c>
      <c r="I17" s="1993"/>
      <c r="J17" s="1993"/>
      <c r="K17" s="1977"/>
      <c r="L17" s="1976" t="s">
        <v>43</v>
      </c>
      <c r="M17" s="1993"/>
      <c r="N17" s="1993"/>
      <c r="O17" s="1993"/>
      <c r="P17" s="1993"/>
      <c r="Q17" s="1977"/>
      <c r="R17" s="1976" t="s">
        <v>293</v>
      </c>
      <c r="S17" s="1993"/>
      <c r="T17" s="1993"/>
      <c r="U17" s="1993"/>
      <c r="V17" s="1993"/>
      <c r="W17" s="1977"/>
      <c r="X17" s="1976" t="s">
        <v>293</v>
      </c>
      <c r="Y17" s="1993"/>
      <c r="Z17" s="1993"/>
      <c r="AA17" s="1993"/>
      <c r="AB17" s="1993"/>
      <c r="AC17" s="1977"/>
      <c r="AE17" s="3301"/>
      <c r="AF17" s="3306"/>
      <c r="AG17" s="2967"/>
      <c r="AH17" s="2967"/>
      <c r="AI17" s="2967"/>
      <c r="AJ17" s="2967"/>
      <c r="AK17" s="3307"/>
      <c r="AL17" s="1976" t="s">
        <v>815</v>
      </c>
      <c r="AM17" s="1993"/>
      <c r="AN17" s="1993"/>
      <c r="AO17" s="1977"/>
      <c r="AP17" s="1976" t="s">
        <v>43</v>
      </c>
      <c r="AQ17" s="1993"/>
      <c r="AR17" s="1993"/>
      <c r="AS17" s="1993"/>
      <c r="AT17" s="1977"/>
      <c r="AU17" s="1976" t="s">
        <v>293</v>
      </c>
      <c r="AV17" s="1993"/>
      <c r="AW17" s="1993"/>
      <c r="AX17" s="1993"/>
      <c r="AY17" s="1993"/>
      <c r="AZ17" s="1977"/>
      <c r="BA17" s="1976" t="s">
        <v>293</v>
      </c>
      <c r="BB17" s="1993"/>
      <c r="BC17" s="1993"/>
      <c r="BD17" s="1993"/>
      <c r="BE17" s="1993"/>
      <c r="BF17" s="1977"/>
    </row>
    <row r="18" spans="1:58" ht="14.25" customHeight="1">
      <c r="A18" s="731" t="s">
        <v>1272</v>
      </c>
      <c r="B18" s="732"/>
      <c r="C18" s="732"/>
      <c r="D18" s="732"/>
      <c r="E18" s="732"/>
      <c r="F18" s="732"/>
      <c r="G18" s="732"/>
      <c r="H18" s="732"/>
      <c r="I18" s="732"/>
      <c r="J18" s="732"/>
      <c r="K18" s="732"/>
      <c r="L18" s="732"/>
      <c r="M18" s="732"/>
      <c r="N18" s="732"/>
      <c r="O18" s="732"/>
      <c r="P18" s="732"/>
      <c r="Q18" s="732"/>
      <c r="R18" s="732"/>
      <c r="S18" s="732"/>
      <c r="T18" s="732"/>
      <c r="U18" s="732"/>
      <c r="V18" s="732"/>
      <c r="W18" s="732"/>
      <c r="X18" s="732"/>
      <c r="Y18" s="732"/>
      <c r="Z18" s="732"/>
      <c r="AA18" s="732"/>
      <c r="AB18" s="732"/>
      <c r="AC18" s="737"/>
      <c r="AE18" s="731" t="s">
        <v>1273</v>
      </c>
      <c r="AF18" s="732"/>
      <c r="AG18" s="732"/>
      <c r="AH18" s="732"/>
      <c r="AI18" s="732"/>
      <c r="AJ18" s="732"/>
      <c r="AK18" s="732"/>
      <c r="AL18" s="732"/>
      <c r="AM18" s="732"/>
      <c r="AN18" s="732"/>
      <c r="AO18" s="732"/>
      <c r="AP18" s="732"/>
      <c r="AQ18" s="732"/>
      <c r="AR18" s="732"/>
      <c r="AS18" s="732"/>
      <c r="AT18" s="732"/>
      <c r="AU18" s="732"/>
      <c r="AV18" s="732"/>
      <c r="AW18" s="732"/>
      <c r="AX18" s="732"/>
      <c r="AY18" s="732"/>
      <c r="AZ18" s="732"/>
      <c r="BA18" s="732"/>
      <c r="BB18" s="732"/>
      <c r="BC18" s="732"/>
      <c r="BD18" s="732"/>
      <c r="BE18" s="732"/>
      <c r="BF18" s="737"/>
    </row>
    <row r="19" spans="1:58" ht="14.25" customHeight="1">
      <c r="A19" s="48">
        <v>1</v>
      </c>
      <c r="B19" s="729" t="s">
        <v>1274</v>
      </c>
      <c r="C19" s="49"/>
      <c r="D19" s="49"/>
      <c r="E19" s="49"/>
      <c r="F19" s="49"/>
      <c r="G19" s="730"/>
      <c r="H19" s="729"/>
      <c r="I19" s="49"/>
      <c r="J19" s="49"/>
      <c r="K19" s="730"/>
      <c r="L19" s="49"/>
      <c r="M19" s="49"/>
      <c r="N19" s="49"/>
      <c r="O19" s="49"/>
      <c r="P19" s="49"/>
      <c r="Q19" s="730"/>
      <c r="R19" s="49"/>
      <c r="S19" s="49"/>
      <c r="T19" s="49"/>
      <c r="U19" s="49"/>
      <c r="V19" s="49"/>
      <c r="W19" s="49"/>
      <c r="X19" s="729"/>
      <c r="Y19" s="49"/>
      <c r="Z19" s="49"/>
      <c r="AA19" s="49"/>
      <c r="AB19" s="49"/>
      <c r="AC19" s="730"/>
      <c r="AE19" s="48">
        <f>+A47+1</f>
        <v>29</v>
      </c>
      <c r="AF19" s="47" t="s">
        <v>1275</v>
      </c>
      <c r="AL19" s="729"/>
      <c r="AM19" s="49"/>
      <c r="AN19" s="49"/>
      <c r="AO19" s="730"/>
      <c r="AP19" s="49"/>
      <c r="AQ19" s="49"/>
      <c r="AR19" s="49"/>
      <c r="AS19" s="49"/>
      <c r="AT19" s="730"/>
      <c r="AU19" s="49"/>
      <c r="AV19" s="49"/>
      <c r="AW19" s="49"/>
      <c r="AX19" s="49"/>
      <c r="AY19" s="49"/>
      <c r="AZ19" s="49"/>
      <c r="BA19" s="729"/>
      <c r="BB19" s="49"/>
      <c r="BC19" s="49"/>
      <c r="BD19" s="49"/>
      <c r="BE19" s="49"/>
      <c r="BF19" s="730"/>
    </row>
    <row r="20" spans="1:58" ht="14.25" customHeight="1">
      <c r="A20" s="48">
        <f>+A19+1</f>
        <v>2</v>
      </c>
      <c r="B20" s="47" t="s">
        <v>1276</v>
      </c>
      <c r="H20" s="729"/>
      <c r="I20" s="49"/>
      <c r="J20" s="49"/>
      <c r="K20" s="730"/>
      <c r="L20" s="49"/>
      <c r="M20" s="49"/>
      <c r="N20" s="49"/>
      <c r="O20" s="49"/>
      <c r="P20" s="49"/>
      <c r="Q20" s="730"/>
      <c r="R20" s="49"/>
      <c r="S20" s="49"/>
      <c r="T20" s="49"/>
      <c r="U20" s="49"/>
      <c r="V20" s="49"/>
      <c r="W20" s="49"/>
      <c r="X20" s="729"/>
      <c r="Y20" s="49"/>
      <c r="Z20" s="49"/>
      <c r="AA20" s="49"/>
      <c r="AB20" s="49"/>
      <c r="AC20" s="730"/>
      <c r="AE20" s="48">
        <f>+AE19+1</f>
        <v>30</v>
      </c>
      <c r="AF20" s="729" t="s">
        <v>1277</v>
      </c>
      <c r="AG20" s="49"/>
      <c r="AH20" s="49"/>
      <c r="AI20" s="49"/>
      <c r="AJ20" s="49"/>
      <c r="AK20" s="730"/>
      <c r="AL20" s="729"/>
      <c r="AM20" s="49"/>
      <c r="AN20" s="49"/>
      <c r="AO20" s="730"/>
      <c r="AP20" s="49"/>
      <c r="AQ20" s="49"/>
      <c r="AR20" s="49"/>
      <c r="AS20" s="49"/>
      <c r="AT20" s="730"/>
      <c r="AU20" s="49"/>
      <c r="AV20" s="49"/>
      <c r="AW20" s="49"/>
      <c r="AX20" s="49"/>
      <c r="AY20" s="49"/>
      <c r="AZ20" s="49"/>
      <c r="BA20" s="729"/>
      <c r="BB20" s="49"/>
      <c r="BC20" s="49"/>
      <c r="BD20" s="49"/>
      <c r="BE20" s="49"/>
      <c r="BF20" s="730"/>
    </row>
    <row r="21" spans="1:58" ht="14.25" customHeight="1">
      <c r="A21" s="48">
        <f t="shared" ref="A21:A35" si="0">+A20+1</f>
        <v>3</v>
      </c>
      <c r="B21" s="729" t="s">
        <v>1278</v>
      </c>
      <c r="C21" s="49"/>
      <c r="D21" s="49"/>
      <c r="E21" s="49"/>
      <c r="F21" s="49"/>
      <c r="G21" s="730"/>
      <c r="H21" s="729"/>
      <c r="I21" s="49"/>
      <c r="J21" s="49"/>
      <c r="K21" s="730"/>
      <c r="L21" s="49"/>
      <c r="M21" s="49"/>
      <c r="N21" s="49"/>
      <c r="O21" s="49"/>
      <c r="P21" s="49"/>
      <c r="Q21" s="730"/>
      <c r="R21" s="49"/>
      <c r="S21" s="49"/>
      <c r="T21" s="49"/>
      <c r="U21" s="49"/>
      <c r="V21" s="49"/>
      <c r="W21" s="49"/>
      <c r="X21" s="729"/>
      <c r="Y21" s="49"/>
      <c r="Z21" s="49"/>
      <c r="AA21" s="49"/>
      <c r="AB21" s="49"/>
      <c r="AC21" s="730"/>
      <c r="AE21" s="48">
        <f t="shared" ref="AE21:AE32" si="1">+AE20+1</f>
        <v>31</v>
      </c>
      <c r="AF21" s="729" t="s">
        <v>1279</v>
      </c>
      <c r="AG21" s="49"/>
      <c r="AH21" s="49"/>
      <c r="AI21" s="49"/>
      <c r="AJ21" s="49"/>
      <c r="AK21" s="730"/>
      <c r="AL21" s="729"/>
      <c r="AM21" s="49"/>
      <c r="AN21" s="49"/>
      <c r="AO21" s="730"/>
      <c r="AP21" s="49"/>
      <c r="AQ21" s="49"/>
      <c r="AR21" s="49"/>
      <c r="AS21" s="49"/>
      <c r="AT21" s="730"/>
      <c r="AU21" s="49"/>
      <c r="AV21" s="49"/>
      <c r="AW21" s="49"/>
      <c r="AX21" s="49"/>
      <c r="AY21" s="49"/>
      <c r="AZ21" s="49"/>
      <c r="BA21" s="729"/>
      <c r="BB21" s="49"/>
      <c r="BC21" s="49"/>
      <c r="BD21" s="49"/>
      <c r="BE21" s="49"/>
      <c r="BF21" s="730"/>
    </row>
    <row r="22" spans="1:58" ht="14.25" customHeight="1">
      <c r="A22" s="48">
        <f t="shared" si="0"/>
        <v>4</v>
      </c>
      <c r="B22" s="729" t="s">
        <v>1280</v>
      </c>
      <c r="C22" s="49"/>
      <c r="D22" s="49"/>
      <c r="E22" s="49"/>
      <c r="F22" s="49"/>
      <c r="G22" s="730"/>
      <c r="H22" s="729"/>
      <c r="I22" s="49"/>
      <c r="J22" s="49"/>
      <c r="K22" s="730"/>
      <c r="L22" s="49"/>
      <c r="M22" s="49"/>
      <c r="N22" s="49"/>
      <c r="O22" s="49"/>
      <c r="P22" s="49"/>
      <c r="Q22" s="730"/>
      <c r="R22" s="49"/>
      <c r="S22" s="49"/>
      <c r="T22" s="49"/>
      <c r="U22" s="49"/>
      <c r="V22" s="49"/>
      <c r="W22" s="49"/>
      <c r="X22" s="729"/>
      <c r="Y22" s="49"/>
      <c r="Z22" s="49"/>
      <c r="AA22" s="49"/>
      <c r="AB22" s="49"/>
      <c r="AC22" s="730"/>
      <c r="AE22" s="48">
        <f t="shared" si="1"/>
        <v>32</v>
      </c>
      <c r="AF22" s="1103" t="s">
        <v>1281</v>
      </c>
      <c r="AG22" s="49"/>
      <c r="AH22" s="49"/>
      <c r="AI22" s="49"/>
      <c r="AJ22" s="49"/>
      <c r="AK22" s="730"/>
      <c r="AL22" s="729"/>
      <c r="AM22" s="49"/>
      <c r="AN22" s="49"/>
      <c r="AO22" s="730"/>
      <c r="AP22" s="49"/>
      <c r="AQ22" s="49"/>
      <c r="AR22" s="49"/>
      <c r="AS22" s="49"/>
      <c r="AT22" s="730"/>
      <c r="AU22" s="49"/>
      <c r="AV22" s="49"/>
      <c r="AW22" s="49"/>
      <c r="AX22" s="49"/>
      <c r="AY22" s="49"/>
      <c r="AZ22" s="49"/>
      <c r="BA22" s="729"/>
      <c r="BB22" s="49"/>
      <c r="BC22" s="49"/>
      <c r="BD22" s="49"/>
      <c r="BE22" s="49"/>
      <c r="BF22" s="730"/>
    </row>
    <row r="23" spans="1:58" ht="14.25" customHeight="1">
      <c r="A23" s="48">
        <f t="shared" si="0"/>
        <v>5</v>
      </c>
      <c r="B23" s="729" t="s">
        <v>1282</v>
      </c>
      <c r="C23" s="49"/>
      <c r="D23" s="49"/>
      <c r="E23" s="49"/>
      <c r="F23" s="49"/>
      <c r="G23" s="730"/>
      <c r="H23" s="729"/>
      <c r="I23" s="49"/>
      <c r="J23" s="49"/>
      <c r="K23" s="730"/>
      <c r="L23" s="49"/>
      <c r="M23" s="49"/>
      <c r="N23" s="49"/>
      <c r="O23" s="49"/>
      <c r="P23" s="49"/>
      <c r="Q23" s="730"/>
      <c r="R23" s="49"/>
      <c r="S23" s="49"/>
      <c r="T23" s="49"/>
      <c r="U23" s="49"/>
      <c r="V23" s="49"/>
      <c r="W23" s="49"/>
      <c r="X23" s="729"/>
      <c r="Y23" s="49"/>
      <c r="Z23" s="49"/>
      <c r="AA23" s="49"/>
      <c r="AB23" s="49"/>
      <c r="AC23" s="730"/>
      <c r="AE23" s="48">
        <f t="shared" si="1"/>
        <v>33</v>
      </c>
      <c r="AF23" s="729" t="s">
        <v>1283</v>
      </c>
      <c r="AG23" s="49"/>
      <c r="AH23" s="49"/>
      <c r="AI23" s="49"/>
      <c r="AJ23" s="49"/>
      <c r="AK23" s="730"/>
      <c r="AL23" s="729"/>
      <c r="AM23" s="49"/>
      <c r="AN23" s="49"/>
      <c r="AO23" s="730"/>
      <c r="AP23" s="729"/>
      <c r="AQ23" s="49"/>
      <c r="AR23" s="49"/>
      <c r="AS23" s="49"/>
      <c r="AT23" s="730"/>
      <c r="AU23" s="49"/>
      <c r="AV23" s="49"/>
      <c r="AW23" s="49"/>
      <c r="AX23" s="49"/>
      <c r="AY23" s="49"/>
      <c r="AZ23" s="49"/>
      <c r="BA23" s="729"/>
      <c r="BB23" s="49"/>
      <c r="BC23" s="49"/>
      <c r="BD23" s="49"/>
      <c r="BE23" s="49"/>
      <c r="BF23" s="730"/>
    </row>
    <row r="24" spans="1:58" ht="14.25" customHeight="1">
      <c r="A24" s="48">
        <f t="shared" si="0"/>
        <v>6</v>
      </c>
      <c r="B24" s="729" t="s">
        <v>1284</v>
      </c>
      <c r="C24" s="49"/>
      <c r="D24" s="49"/>
      <c r="E24" s="49"/>
      <c r="F24" s="49"/>
      <c r="G24" s="730"/>
      <c r="H24" s="729"/>
      <c r="I24" s="49"/>
      <c r="J24" s="49"/>
      <c r="K24" s="730"/>
      <c r="L24" s="49"/>
      <c r="M24" s="49"/>
      <c r="N24" s="49"/>
      <c r="O24" s="49"/>
      <c r="P24" s="49"/>
      <c r="Q24" s="730"/>
      <c r="R24" s="49"/>
      <c r="S24" s="49"/>
      <c r="T24" s="49"/>
      <c r="U24" s="49"/>
      <c r="V24" s="49"/>
      <c r="W24" s="49"/>
      <c r="X24" s="729"/>
      <c r="Y24" s="49"/>
      <c r="Z24" s="49"/>
      <c r="AA24" s="49"/>
      <c r="AB24" s="49"/>
      <c r="AC24" s="730"/>
      <c r="AE24" s="48">
        <f t="shared" si="1"/>
        <v>34</v>
      </c>
      <c r="AF24" s="1103" t="s">
        <v>1285</v>
      </c>
      <c r="AG24" s="49"/>
      <c r="AH24" s="49"/>
      <c r="AI24" s="49"/>
      <c r="AJ24" s="49"/>
      <c r="AK24" s="730"/>
      <c r="AL24" s="729"/>
      <c r="AM24" s="49"/>
      <c r="AN24" s="49"/>
      <c r="AO24" s="730"/>
      <c r="AP24" s="49"/>
      <c r="AQ24" s="49"/>
      <c r="AR24" s="49"/>
      <c r="AS24" s="49"/>
      <c r="AT24" s="730"/>
      <c r="AU24" s="49"/>
      <c r="AV24" s="49"/>
      <c r="AW24" s="49"/>
      <c r="AX24" s="49"/>
      <c r="AY24" s="49"/>
      <c r="AZ24" s="49"/>
      <c r="BA24" s="729"/>
      <c r="BB24" s="49"/>
      <c r="BC24" s="49"/>
      <c r="BD24" s="49"/>
      <c r="BE24" s="49"/>
      <c r="BF24" s="730"/>
    </row>
    <row r="25" spans="1:58" ht="14.25" customHeight="1">
      <c r="A25" s="48">
        <f t="shared" si="0"/>
        <v>7</v>
      </c>
      <c r="B25" s="729" t="s">
        <v>1286</v>
      </c>
      <c r="C25" s="49"/>
      <c r="D25" s="49"/>
      <c r="E25" s="49"/>
      <c r="F25" s="49"/>
      <c r="G25" s="730"/>
      <c r="H25" s="729"/>
      <c r="I25" s="49"/>
      <c r="J25" s="49"/>
      <c r="K25" s="730"/>
      <c r="L25" s="49"/>
      <c r="M25" s="49"/>
      <c r="N25" s="49"/>
      <c r="O25" s="49"/>
      <c r="P25" s="49"/>
      <c r="Q25" s="730"/>
      <c r="R25" s="49"/>
      <c r="S25" s="49"/>
      <c r="T25" s="49"/>
      <c r="U25" s="49"/>
      <c r="V25" s="49"/>
      <c r="W25" s="49"/>
      <c r="X25" s="729"/>
      <c r="Y25" s="49"/>
      <c r="Z25" s="49"/>
      <c r="AA25" s="49"/>
      <c r="AB25" s="49"/>
      <c r="AC25" s="730"/>
      <c r="AE25" s="48">
        <f t="shared" si="1"/>
        <v>35</v>
      </c>
      <c r="AF25" s="729" t="s">
        <v>1287</v>
      </c>
      <c r="AG25" s="49"/>
      <c r="AH25" s="49"/>
      <c r="AI25" s="49"/>
      <c r="AJ25" s="49"/>
      <c r="AK25" s="730"/>
      <c r="AL25" s="729"/>
      <c r="AM25" s="49"/>
      <c r="AN25" s="49"/>
      <c r="AO25" s="730"/>
      <c r="AP25" s="49"/>
      <c r="AQ25" s="49"/>
      <c r="AR25" s="49"/>
      <c r="AS25" s="49"/>
      <c r="AT25" s="730"/>
      <c r="AU25" s="49"/>
      <c r="AV25" s="49"/>
      <c r="AW25" s="49"/>
      <c r="AX25" s="49"/>
      <c r="AY25" s="49"/>
      <c r="AZ25" s="49"/>
      <c r="BA25" s="729"/>
      <c r="BB25" s="49"/>
      <c r="BC25" s="49"/>
      <c r="BD25" s="49"/>
      <c r="BE25" s="49"/>
      <c r="BF25" s="730"/>
    </row>
    <row r="26" spans="1:58" ht="14.25" customHeight="1">
      <c r="A26" s="48">
        <f t="shared" si="0"/>
        <v>8</v>
      </c>
      <c r="B26" s="729" t="s">
        <v>1288</v>
      </c>
      <c r="C26" s="49"/>
      <c r="D26" s="49"/>
      <c r="E26" s="49"/>
      <c r="F26" s="49"/>
      <c r="G26" s="730"/>
      <c r="H26" s="729"/>
      <c r="I26" s="49"/>
      <c r="J26" s="49"/>
      <c r="K26" s="730"/>
      <c r="L26" s="49"/>
      <c r="M26" s="49"/>
      <c r="N26" s="49"/>
      <c r="O26" s="49"/>
      <c r="P26" s="49"/>
      <c r="Q26" s="730"/>
      <c r="R26" s="49"/>
      <c r="S26" s="49"/>
      <c r="T26" s="49"/>
      <c r="U26" s="49"/>
      <c r="V26" s="49"/>
      <c r="W26" s="49"/>
      <c r="X26" s="729"/>
      <c r="Y26" s="49"/>
      <c r="Z26" s="49"/>
      <c r="AA26" s="49"/>
      <c r="AB26" s="49"/>
      <c r="AC26" s="730"/>
      <c r="AE26" s="48">
        <f t="shared" si="1"/>
        <v>36</v>
      </c>
      <c r="AF26" s="729" t="s">
        <v>1289</v>
      </c>
      <c r="AG26" s="49"/>
      <c r="AH26" s="49"/>
      <c r="AI26" s="49"/>
      <c r="AJ26" s="49"/>
      <c r="AK26" s="730"/>
      <c r="AL26" s="729"/>
      <c r="AM26" s="49"/>
      <c r="AN26" s="49"/>
      <c r="AO26" s="730"/>
      <c r="AP26" s="49"/>
      <c r="AQ26" s="49"/>
      <c r="AR26" s="49"/>
      <c r="AS26" s="49"/>
      <c r="AT26" s="730"/>
      <c r="AU26" s="49"/>
      <c r="AV26" s="49"/>
      <c r="AW26" s="49"/>
      <c r="AX26" s="49"/>
      <c r="AY26" s="49"/>
      <c r="AZ26" s="49"/>
      <c r="BA26" s="729"/>
      <c r="BB26" s="49"/>
      <c r="BC26" s="49"/>
      <c r="BD26" s="49"/>
      <c r="BE26" s="49"/>
      <c r="BF26" s="730"/>
    </row>
    <row r="27" spans="1:58" ht="14.25" customHeight="1">
      <c r="A27" s="48">
        <f t="shared" si="0"/>
        <v>9</v>
      </c>
      <c r="B27" s="729" t="s">
        <v>1290</v>
      </c>
      <c r="C27" s="49"/>
      <c r="D27" s="49"/>
      <c r="E27" s="49"/>
      <c r="F27" s="49"/>
      <c r="G27" s="730"/>
      <c r="H27" s="729"/>
      <c r="I27" s="49"/>
      <c r="J27" s="49"/>
      <c r="K27" s="730"/>
      <c r="L27" s="49"/>
      <c r="M27" s="49"/>
      <c r="N27" s="49"/>
      <c r="O27" s="49"/>
      <c r="P27" s="49"/>
      <c r="Q27" s="730"/>
      <c r="R27" s="49"/>
      <c r="S27" s="49"/>
      <c r="T27" s="49"/>
      <c r="U27" s="49"/>
      <c r="V27" s="49"/>
      <c r="W27" s="49"/>
      <c r="X27" s="729"/>
      <c r="Y27" s="49"/>
      <c r="Z27" s="49"/>
      <c r="AA27" s="49"/>
      <c r="AB27" s="49"/>
      <c r="AC27" s="730"/>
      <c r="AE27" s="48">
        <f t="shared" si="1"/>
        <v>37</v>
      </c>
      <c r="AF27" s="729" t="s">
        <v>1291</v>
      </c>
      <c r="AG27" s="49"/>
      <c r="AH27" s="49"/>
      <c r="AI27" s="49"/>
      <c r="AJ27" s="49"/>
      <c r="AK27" s="730"/>
      <c r="AL27" s="729"/>
      <c r="AM27" s="49"/>
      <c r="AN27" s="49"/>
      <c r="AO27" s="730"/>
      <c r="AP27" s="49"/>
      <c r="AQ27" s="49"/>
      <c r="AR27" s="49"/>
      <c r="AS27" s="49"/>
      <c r="AT27" s="730"/>
      <c r="AU27" s="49"/>
      <c r="AV27" s="49"/>
      <c r="AW27" s="49"/>
      <c r="AX27" s="49"/>
      <c r="AY27" s="49"/>
      <c r="AZ27" s="49"/>
      <c r="BA27" s="729"/>
      <c r="BB27" s="49"/>
      <c r="BC27" s="49"/>
      <c r="BD27" s="49"/>
      <c r="BE27" s="49"/>
      <c r="BF27" s="730"/>
    </row>
    <row r="28" spans="1:58" ht="14.25" customHeight="1">
      <c r="A28" s="48">
        <f t="shared" si="0"/>
        <v>10</v>
      </c>
      <c r="B28" s="729" t="s">
        <v>1292</v>
      </c>
      <c r="C28" s="49"/>
      <c r="D28" s="49"/>
      <c r="E28" s="49"/>
      <c r="F28" s="49"/>
      <c r="G28" s="730"/>
      <c r="H28" s="729"/>
      <c r="I28" s="49"/>
      <c r="J28" s="49"/>
      <c r="K28" s="730"/>
      <c r="L28" s="49"/>
      <c r="M28" s="49"/>
      <c r="N28" s="49"/>
      <c r="O28" s="49"/>
      <c r="P28" s="49"/>
      <c r="Q28" s="730"/>
      <c r="R28" s="49"/>
      <c r="S28" s="49"/>
      <c r="T28" s="49"/>
      <c r="U28" s="49"/>
      <c r="V28" s="49"/>
      <c r="W28" s="49"/>
      <c r="X28" s="729"/>
      <c r="Y28" s="49"/>
      <c r="Z28" s="49"/>
      <c r="AA28" s="49"/>
      <c r="AB28" s="49"/>
      <c r="AC28" s="730"/>
      <c r="AE28" s="48">
        <f t="shared" si="1"/>
        <v>38</v>
      </c>
      <c r="AF28" s="729" t="s">
        <v>1293</v>
      </c>
      <c r="AG28" s="49"/>
      <c r="AH28" s="49"/>
      <c r="AI28" s="49"/>
      <c r="AJ28" s="49"/>
      <c r="AK28" s="730"/>
      <c r="AL28" s="729"/>
      <c r="AM28" s="49"/>
      <c r="AN28" s="49"/>
      <c r="AO28" s="730"/>
      <c r="AP28" s="49"/>
      <c r="AQ28" s="49"/>
      <c r="AR28" s="49"/>
      <c r="AS28" s="49"/>
      <c r="AT28" s="730"/>
      <c r="AU28" s="49"/>
      <c r="AV28" s="49"/>
      <c r="AW28" s="49"/>
      <c r="AX28" s="49"/>
      <c r="AY28" s="49"/>
      <c r="AZ28" s="49"/>
      <c r="BA28" s="729"/>
      <c r="BB28" s="49"/>
      <c r="BC28" s="49"/>
      <c r="BD28" s="49"/>
      <c r="BE28" s="49"/>
      <c r="BF28" s="730"/>
    </row>
    <row r="29" spans="1:58" ht="14.25" customHeight="1">
      <c r="A29" s="48">
        <f t="shared" si="0"/>
        <v>11</v>
      </c>
      <c r="B29" s="729" t="s">
        <v>1294</v>
      </c>
      <c r="C29" s="49"/>
      <c r="D29" s="49"/>
      <c r="E29" s="49"/>
      <c r="F29" s="49"/>
      <c r="G29" s="730"/>
      <c r="H29" s="729"/>
      <c r="I29" s="49"/>
      <c r="J29" s="49"/>
      <c r="K29" s="730"/>
      <c r="L29" s="49"/>
      <c r="M29" s="49"/>
      <c r="N29" s="49"/>
      <c r="O29" s="49"/>
      <c r="P29" s="49"/>
      <c r="Q29" s="730"/>
      <c r="R29" s="49"/>
      <c r="S29" s="49"/>
      <c r="T29" s="49"/>
      <c r="U29" s="49"/>
      <c r="V29" s="49"/>
      <c r="W29" s="49"/>
      <c r="X29" s="729"/>
      <c r="Y29" s="49"/>
      <c r="Z29" s="49"/>
      <c r="AA29" s="49"/>
      <c r="AB29" s="49"/>
      <c r="AC29" s="730"/>
      <c r="AE29" s="48">
        <f t="shared" si="1"/>
        <v>39</v>
      </c>
      <c r="AF29" s="729" t="s">
        <v>1295</v>
      </c>
      <c r="AG29" s="49"/>
      <c r="AH29" s="49"/>
      <c r="AI29" s="49"/>
      <c r="AJ29" s="49"/>
      <c r="AK29" s="730"/>
      <c r="AL29" s="729"/>
      <c r="AM29" s="49"/>
      <c r="AN29" s="49"/>
      <c r="AO29" s="730"/>
      <c r="AP29" s="49"/>
      <c r="AQ29" s="49"/>
      <c r="AR29" s="49"/>
      <c r="AS29" s="49"/>
      <c r="AT29" s="730"/>
      <c r="AU29" s="49"/>
      <c r="AV29" s="49"/>
      <c r="AW29" s="49"/>
      <c r="AX29" s="49"/>
      <c r="AY29" s="49"/>
      <c r="AZ29" s="49"/>
      <c r="BA29" s="729"/>
      <c r="BB29" s="49"/>
      <c r="BC29" s="49"/>
      <c r="BD29" s="49"/>
      <c r="BE29" s="49"/>
      <c r="BF29" s="730"/>
    </row>
    <row r="30" spans="1:58" ht="14.25" customHeight="1">
      <c r="A30" s="48">
        <f t="shared" si="0"/>
        <v>12</v>
      </c>
      <c r="B30" s="729" t="s">
        <v>1296</v>
      </c>
      <c r="C30" s="49"/>
      <c r="D30" s="49"/>
      <c r="E30" s="49"/>
      <c r="F30" s="49"/>
      <c r="G30" s="730"/>
      <c r="H30" s="729"/>
      <c r="I30" s="49"/>
      <c r="J30" s="49"/>
      <c r="K30" s="730"/>
      <c r="L30" s="49"/>
      <c r="M30" s="49"/>
      <c r="N30" s="49"/>
      <c r="O30" s="49"/>
      <c r="P30" s="49"/>
      <c r="Q30" s="730"/>
      <c r="R30" s="49"/>
      <c r="S30" s="49"/>
      <c r="T30" s="49"/>
      <c r="U30" s="49"/>
      <c r="V30" s="49"/>
      <c r="W30" s="49"/>
      <c r="X30" s="729"/>
      <c r="Y30" s="49"/>
      <c r="Z30" s="49"/>
      <c r="AA30" s="49"/>
      <c r="AB30" s="49"/>
      <c r="AC30" s="730"/>
      <c r="AE30" s="48">
        <f t="shared" si="1"/>
        <v>40</v>
      </c>
      <c r="AF30" s="729" t="s">
        <v>1297</v>
      </c>
      <c r="AG30" s="49"/>
      <c r="AH30" s="49"/>
      <c r="AI30" s="49"/>
      <c r="AJ30" s="49"/>
      <c r="AK30" s="730"/>
      <c r="AL30" s="729"/>
      <c r="AM30" s="49"/>
      <c r="AN30" s="49"/>
      <c r="AO30" s="730"/>
      <c r="AP30" s="49"/>
      <c r="AQ30" s="49"/>
      <c r="AR30" s="49"/>
      <c r="AS30" s="49"/>
      <c r="AT30" s="730"/>
      <c r="AU30" s="49"/>
      <c r="AV30" s="49"/>
      <c r="AW30" s="49"/>
      <c r="AX30" s="49"/>
      <c r="AY30" s="49"/>
      <c r="AZ30" s="49"/>
      <c r="BA30" s="729"/>
      <c r="BB30" s="49"/>
      <c r="BC30" s="49"/>
      <c r="BD30" s="49"/>
      <c r="BE30" s="49"/>
      <c r="BF30" s="730"/>
    </row>
    <row r="31" spans="1:58" ht="14.25" customHeight="1">
      <c r="A31" s="48">
        <f t="shared" si="0"/>
        <v>13</v>
      </c>
      <c r="B31" s="47" t="s">
        <v>1298</v>
      </c>
      <c r="H31" s="729"/>
      <c r="I31" s="49"/>
      <c r="J31" s="49"/>
      <c r="K31" s="730"/>
      <c r="L31" s="49"/>
      <c r="M31" s="49"/>
      <c r="N31" s="49"/>
      <c r="O31" s="49"/>
      <c r="P31" s="49"/>
      <c r="Q31" s="730"/>
      <c r="R31" s="49"/>
      <c r="S31" s="49"/>
      <c r="T31" s="49"/>
      <c r="U31" s="49"/>
      <c r="V31" s="49"/>
      <c r="W31" s="49"/>
      <c r="X31" s="729"/>
      <c r="Y31" s="49"/>
      <c r="Z31" s="49"/>
      <c r="AA31" s="49"/>
      <c r="AB31" s="49"/>
      <c r="AC31" s="730"/>
      <c r="AE31" s="48">
        <f t="shared" si="1"/>
        <v>41</v>
      </c>
      <c r="AF31" s="729" t="s">
        <v>1299</v>
      </c>
      <c r="AG31" s="49"/>
      <c r="AH31" s="49"/>
      <c r="AI31" s="49"/>
      <c r="AJ31" s="49"/>
      <c r="AK31" s="730"/>
      <c r="AL31" s="729"/>
      <c r="AM31" s="49"/>
      <c r="AN31" s="49"/>
      <c r="AO31" s="730"/>
      <c r="AP31" s="49"/>
      <c r="AQ31" s="49"/>
      <c r="AR31" s="49"/>
      <c r="AS31" s="49"/>
      <c r="AT31" s="730"/>
      <c r="AU31" s="49"/>
      <c r="AV31" s="49"/>
      <c r="AW31" s="49"/>
      <c r="AX31" s="49"/>
      <c r="AY31" s="49"/>
      <c r="AZ31" s="49"/>
      <c r="BA31" s="729"/>
      <c r="BB31" s="49"/>
      <c r="BC31" s="49"/>
      <c r="BD31" s="49"/>
      <c r="BE31" s="49"/>
      <c r="BF31" s="730"/>
    </row>
    <row r="32" spans="1:58" ht="14.25" customHeight="1">
      <c r="A32" s="48">
        <f t="shared" si="0"/>
        <v>14</v>
      </c>
      <c r="B32" s="729" t="s">
        <v>1300</v>
      </c>
      <c r="C32" s="49"/>
      <c r="D32" s="49"/>
      <c r="E32" s="49"/>
      <c r="F32" s="49"/>
      <c r="G32" s="730"/>
      <c r="H32" s="729"/>
      <c r="I32" s="49"/>
      <c r="J32" s="49"/>
      <c r="K32" s="730"/>
      <c r="L32" s="49"/>
      <c r="M32" s="49"/>
      <c r="N32" s="49"/>
      <c r="O32" s="49"/>
      <c r="P32" s="49"/>
      <c r="Q32" s="730"/>
      <c r="R32" s="49"/>
      <c r="S32" s="49"/>
      <c r="T32" s="49"/>
      <c r="U32" s="49"/>
      <c r="V32" s="49"/>
      <c r="W32" s="49"/>
      <c r="X32" s="729"/>
      <c r="Y32" s="49"/>
      <c r="Z32" s="49"/>
      <c r="AA32" s="49"/>
      <c r="AB32" s="49"/>
      <c r="AC32" s="730"/>
      <c r="AE32" s="48">
        <f t="shared" si="1"/>
        <v>42</v>
      </c>
      <c r="AF32" s="729" t="s">
        <v>112</v>
      </c>
      <c r="AG32" s="49"/>
      <c r="AH32" s="49"/>
      <c r="AI32" s="49"/>
      <c r="AJ32" s="49"/>
      <c r="AK32" s="730"/>
      <c r="AL32" s="729"/>
      <c r="AM32" s="49"/>
      <c r="AN32" s="49"/>
      <c r="AO32" s="730"/>
      <c r="AP32" s="49"/>
      <c r="AQ32" s="49"/>
      <c r="AR32" s="49"/>
      <c r="AS32" s="49"/>
      <c r="AT32" s="730"/>
      <c r="AU32" s="49"/>
      <c r="AV32" s="49"/>
      <c r="AW32" s="49"/>
      <c r="AX32" s="49"/>
      <c r="AY32" s="49"/>
      <c r="AZ32" s="49"/>
      <c r="BA32" s="729"/>
      <c r="BB32" s="49"/>
      <c r="BC32" s="49"/>
      <c r="BD32" s="49"/>
      <c r="BE32" s="49"/>
      <c r="BF32" s="730"/>
    </row>
    <row r="33" spans="1:64" ht="14.25" customHeight="1">
      <c r="A33" s="48">
        <f>+A32+1</f>
        <v>15</v>
      </c>
      <c r="B33" s="47" t="s">
        <v>1301</v>
      </c>
      <c r="H33" s="729"/>
      <c r="I33" s="49"/>
      <c r="J33" s="49"/>
      <c r="K33" s="730"/>
      <c r="L33" s="49"/>
      <c r="M33" s="49"/>
      <c r="N33" s="49"/>
      <c r="O33" s="49"/>
      <c r="P33" s="49"/>
      <c r="Q33" s="730"/>
      <c r="R33" s="49"/>
      <c r="S33" s="49"/>
      <c r="T33" s="49"/>
      <c r="U33" s="49"/>
      <c r="V33" s="49"/>
      <c r="W33" s="49"/>
      <c r="X33" s="729"/>
      <c r="Y33" s="49"/>
      <c r="Z33" s="49"/>
      <c r="AA33" s="49"/>
      <c r="AB33" s="49"/>
      <c r="AC33" s="730"/>
      <c r="AE33" s="731" t="s">
        <v>1302</v>
      </c>
      <c r="AF33" s="732"/>
      <c r="AG33" s="732"/>
      <c r="AH33" s="732"/>
      <c r="AI33" s="732"/>
      <c r="AJ33" s="732"/>
      <c r="AK33" s="732"/>
      <c r="AL33" s="732"/>
      <c r="AM33" s="732"/>
      <c r="AN33" s="732"/>
      <c r="AO33" s="732"/>
      <c r="AP33" s="732"/>
      <c r="AQ33" s="732"/>
      <c r="AR33" s="732"/>
      <c r="AS33" s="732"/>
      <c r="AT33" s="737"/>
      <c r="AU33" s="732"/>
      <c r="AV33" s="732"/>
      <c r="AW33" s="732"/>
      <c r="AX33" s="732"/>
      <c r="AY33" s="732"/>
      <c r="AZ33" s="732"/>
      <c r="BA33" s="732"/>
      <c r="BB33" s="732"/>
      <c r="BC33" s="732"/>
      <c r="BD33" s="732"/>
      <c r="BE33" s="732"/>
      <c r="BF33" s="737"/>
    </row>
    <row r="34" spans="1:64" ht="14.25" customHeight="1">
      <c r="A34" s="48">
        <f t="shared" si="0"/>
        <v>16</v>
      </c>
      <c r="B34" s="729" t="s">
        <v>1303</v>
      </c>
      <c r="C34" s="49"/>
      <c r="D34" s="49"/>
      <c r="E34" s="49"/>
      <c r="F34" s="49"/>
      <c r="G34" s="730"/>
      <c r="H34" s="729"/>
      <c r="I34" s="49"/>
      <c r="J34" s="49"/>
      <c r="K34" s="730"/>
      <c r="L34" s="49"/>
      <c r="M34" s="49"/>
      <c r="N34" s="49"/>
      <c r="O34" s="49"/>
      <c r="P34" s="49"/>
      <c r="Q34" s="730"/>
      <c r="R34" s="49"/>
      <c r="S34" s="49"/>
      <c r="T34" s="49"/>
      <c r="U34" s="49"/>
      <c r="V34" s="49"/>
      <c r="W34" s="49"/>
      <c r="X34" s="729"/>
      <c r="Y34" s="49"/>
      <c r="Z34" s="49"/>
      <c r="AA34" s="49"/>
      <c r="AB34" s="49"/>
      <c r="AC34" s="730"/>
      <c r="AE34" s="48">
        <v>43</v>
      </c>
      <c r="AF34" s="47" t="s">
        <v>260</v>
      </c>
      <c r="AL34" s="729"/>
      <c r="AM34" s="49"/>
      <c r="AN34" s="49"/>
      <c r="AO34" s="730"/>
      <c r="AP34" s="49"/>
      <c r="AQ34" s="49"/>
      <c r="AR34" s="49"/>
      <c r="AS34" s="49"/>
      <c r="AT34" s="730"/>
      <c r="AU34" s="49"/>
      <c r="AV34" s="49"/>
      <c r="AW34" s="49"/>
      <c r="AX34" s="49"/>
      <c r="AY34" s="49"/>
      <c r="AZ34" s="49"/>
      <c r="BA34" s="729"/>
      <c r="BB34" s="49"/>
      <c r="BC34" s="49"/>
      <c r="BD34" s="49"/>
      <c r="BE34" s="49"/>
      <c r="BF34" s="730"/>
    </row>
    <row r="35" spans="1:64" ht="14.25" customHeight="1">
      <c r="A35" s="48">
        <f t="shared" si="0"/>
        <v>17</v>
      </c>
      <c r="B35" s="47" t="s">
        <v>112</v>
      </c>
      <c r="H35" s="729"/>
      <c r="I35" s="49"/>
      <c r="J35" s="49"/>
      <c r="K35" s="730"/>
      <c r="L35" s="49"/>
      <c r="M35" s="49"/>
      <c r="N35" s="49"/>
      <c r="O35" s="49"/>
      <c r="P35" s="49"/>
      <c r="Q35" s="730"/>
      <c r="R35" s="49"/>
      <c r="S35" s="49"/>
      <c r="T35" s="49"/>
      <c r="U35" s="49"/>
      <c r="V35" s="49"/>
      <c r="W35" s="49"/>
      <c r="X35" s="729"/>
      <c r="Y35" s="49"/>
      <c r="Z35" s="49"/>
      <c r="AA35" s="49"/>
      <c r="AB35" s="49"/>
      <c r="AC35" s="730"/>
      <c r="AE35" s="48">
        <v>44</v>
      </c>
      <c r="AF35" s="729" t="s">
        <v>265</v>
      </c>
      <c r="AG35" s="49"/>
      <c r="AH35" s="49"/>
      <c r="AI35" s="49"/>
      <c r="AJ35" s="49"/>
      <c r="AK35" s="730"/>
      <c r="AL35" s="729"/>
      <c r="AM35" s="49"/>
      <c r="AN35" s="49"/>
      <c r="AO35" s="730"/>
      <c r="AP35" s="49"/>
      <c r="AQ35" s="49"/>
      <c r="AR35" s="49"/>
      <c r="AS35" s="49"/>
      <c r="AT35" s="730"/>
      <c r="AU35" s="49"/>
      <c r="AV35" s="49"/>
      <c r="AW35" s="49"/>
      <c r="AX35" s="49"/>
      <c r="AY35" s="49"/>
      <c r="AZ35" s="49"/>
      <c r="BA35" s="729"/>
      <c r="BB35" s="49"/>
      <c r="BC35" s="49"/>
      <c r="BD35" s="49"/>
      <c r="BE35" s="49"/>
      <c r="BF35" s="730"/>
    </row>
    <row r="36" spans="1:64" ht="14.25" customHeight="1">
      <c r="A36" s="731" t="s">
        <v>1304</v>
      </c>
      <c r="B36" s="732"/>
      <c r="C36" s="732"/>
      <c r="D36" s="732"/>
      <c r="E36" s="732"/>
      <c r="F36" s="732"/>
      <c r="G36" s="732"/>
      <c r="H36" s="732"/>
      <c r="I36" s="732"/>
      <c r="J36" s="732"/>
      <c r="K36" s="732"/>
      <c r="L36" s="732"/>
      <c r="M36" s="732"/>
      <c r="N36" s="732"/>
      <c r="O36" s="732"/>
      <c r="P36" s="732"/>
      <c r="Q36" s="737"/>
      <c r="R36" s="732"/>
      <c r="S36" s="732"/>
      <c r="T36" s="732"/>
      <c r="U36" s="732"/>
      <c r="V36" s="732"/>
      <c r="W36" s="732"/>
      <c r="X36" s="732"/>
      <c r="Y36" s="732"/>
      <c r="Z36" s="732"/>
      <c r="AA36" s="732"/>
      <c r="AB36" s="732"/>
      <c r="AC36" s="737"/>
      <c r="AE36" s="2884">
        <v>45</v>
      </c>
      <c r="AF36" s="2858" t="s">
        <v>1305</v>
      </c>
      <c r="AG36" s="2859"/>
      <c r="AH36" s="2859"/>
      <c r="AI36" s="2859"/>
      <c r="AJ36" s="2859"/>
      <c r="AK36" s="2860"/>
      <c r="AL36" s="3302"/>
      <c r="AM36" s="3303"/>
      <c r="AN36" s="3303"/>
      <c r="AO36" s="3304"/>
      <c r="AP36" s="738"/>
      <c r="AQ36" s="739"/>
      <c r="AR36" s="739"/>
      <c r="AS36" s="739"/>
      <c r="AT36" s="380"/>
      <c r="AU36" s="739"/>
      <c r="AV36" s="739"/>
      <c r="AW36" s="739"/>
      <c r="AX36" s="739"/>
      <c r="AY36" s="739"/>
      <c r="AZ36" s="380"/>
      <c r="BA36" s="3302"/>
      <c r="BB36" s="3303"/>
      <c r="BC36" s="3303"/>
      <c r="BD36" s="3303"/>
      <c r="BE36" s="3303"/>
      <c r="BF36" s="3304"/>
    </row>
    <row r="37" spans="1:64" ht="14.25" customHeight="1">
      <c r="A37" s="48">
        <f>+A35+1</f>
        <v>18</v>
      </c>
      <c r="B37" s="3323" t="s">
        <v>1306</v>
      </c>
      <c r="C37" s="3324"/>
      <c r="D37" s="3324"/>
      <c r="E37" s="3324"/>
      <c r="F37" s="3324"/>
      <c r="G37" s="3325"/>
      <c r="H37" s="729"/>
      <c r="I37" s="49"/>
      <c r="J37" s="49"/>
      <c r="K37" s="730"/>
      <c r="L37" s="49"/>
      <c r="M37" s="49"/>
      <c r="N37" s="49"/>
      <c r="O37" s="49"/>
      <c r="P37" s="49"/>
      <c r="Q37" s="730"/>
      <c r="R37" s="49"/>
      <c r="S37" s="49"/>
      <c r="T37" s="49"/>
      <c r="U37" s="49"/>
      <c r="V37" s="49"/>
      <c r="W37" s="49"/>
      <c r="X37" s="729"/>
      <c r="Y37" s="49"/>
      <c r="Z37" s="49"/>
      <c r="AA37" s="49"/>
      <c r="AB37" s="49"/>
      <c r="AC37" s="730"/>
      <c r="AE37" s="2885"/>
      <c r="AF37" s="2861"/>
      <c r="AG37" s="2862"/>
      <c r="AH37" s="2862"/>
      <c r="AI37" s="2862"/>
      <c r="AJ37" s="2862"/>
      <c r="AK37" s="2863"/>
      <c r="AL37" s="3306"/>
      <c r="AM37" s="2967"/>
      <c r="AN37" s="2967"/>
      <c r="AO37" s="3307"/>
      <c r="AP37" s="714"/>
      <c r="AQ37" s="740"/>
      <c r="AR37" s="740"/>
      <c r="AS37" s="740"/>
      <c r="AT37" s="715"/>
      <c r="AU37" s="740"/>
      <c r="AV37" s="740"/>
      <c r="AW37" s="740"/>
      <c r="AX37" s="740"/>
      <c r="AY37" s="740"/>
      <c r="AZ37" s="715"/>
      <c r="BA37" s="3306"/>
      <c r="BB37" s="2967"/>
      <c r="BC37" s="2967"/>
      <c r="BD37" s="2967"/>
      <c r="BE37" s="2967"/>
      <c r="BF37" s="3307"/>
    </row>
    <row r="38" spans="1:64" ht="14.25" customHeight="1">
      <c r="A38" s="48">
        <f>+A37+1</f>
        <v>19</v>
      </c>
      <c r="B38" s="729" t="s">
        <v>1307</v>
      </c>
      <c r="C38" s="49"/>
      <c r="D38" s="49"/>
      <c r="E38" s="49"/>
      <c r="F38" s="49"/>
      <c r="G38" s="730"/>
      <c r="H38" s="729"/>
      <c r="I38" s="49"/>
      <c r="J38" s="49"/>
      <c r="K38" s="730"/>
      <c r="L38" s="49"/>
      <c r="M38" s="49"/>
      <c r="N38" s="49"/>
      <c r="O38" s="49"/>
      <c r="P38" s="49"/>
      <c r="Q38" s="730"/>
      <c r="R38" s="49"/>
      <c r="S38" s="49"/>
      <c r="T38" s="49"/>
      <c r="U38" s="49"/>
      <c r="V38" s="49"/>
      <c r="W38" s="49"/>
      <c r="X38" s="729"/>
      <c r="Y38" s="49"/>
      <c r="Z38" s="49"/>
      <c r="AA38" s="49"/>
      <c r="AB38" s="49"/>
      <c r="AC38" s="730"/>
      <c r="AE38" s="48">
        <v>46</v>
      </c>
      <c r="AF38" s="729" t="s">
        <v>1308</v>
      </c>
      <c r="AG38" s="49"/>
      <c r="AH38" s="49"/>
      <c r="AI38" s="49"/>
      <c r="AJ38" s="49"/>
      <c r="AK38" s="730"/>
      <c r="AL38" s="729"/>
      <c r="AM38" s="49"/>
      <c r="AN38" s="49"/>
      <c r="AO38" s="730"/>
      <c r="AP38" s="49"/>
      <c r="AQ38" s="49"/>
      <c r="AR38" s="49"/>
      <c r="AS38" s="49"/>
      <c r="AT38" s="730"/>
      <c r="AU38" s="49"/>
      <c r="AV38" s="49"/>
      <c r="AW38" s="49"/>
      <c r="AX38" s="49"/>
      <c r="AY38" s="49"/>
      <c r="AZ38" s="49"/>
      <c r="BA38" s="729"/>
      <c r="BB38" s="49"/>
      <c r="BC38" s="49"/>
      <c r="BD38" s="49"/>
      <c r="BE38" s="49"/>
      <c r="BF38" s="730"/>
    </row>
    <row r="39" spans="1:64" ht="14.25" customHeight="1">
      <c r="A39" s="48">
        <f t="shared" ref="A39:A47" si="2">+A38+1</f>
        <v>20</v>
      </c>
      <c r="B39" s="729" t="s">
        <v>1309</v>
      </c>
      <c r="C39" s="49"/>
      <c r="D39" s="49"/>
      <c r="E39" s="49"/>
      <c r="F39" s="49"/>
      <c r="G39" s="730"/>
      <c r="H39" s="729"/>
      <c r="I39" s="49"/>
      <c r="J39" s="49"/>
      <c r="K39" s="730"/>
      <c r="L39" s="49"/>
      <c r="M39" s="49"/>
      <c r="N39" s="49"/>
      <c r="O39" s="49"/>
      <c r="P39" s="49"/>
      <c r="Q39" s="730"/>
      <c r="R39" s="49"/>
      <c r="S39" s="49"/>
      <c r="T39" s="49"/>
      <c r="U39" s="49"/>
      <c r="V39" s="49"/>
      <c r="W39" s="49"/>
      <c r="X39" s="729"/>
      <c r="Y39" s="49"/>
      <c r="Z39" s="49"/>
      <c r="AA39" s="49"/>
      <c r="AB39" s="49"/>
      <c r="AC39" s="730"/>
      <c r="AE39" s="48">
        <v>47</v>
      </c>
      <c r="AF39" s="729" t="s">
        <v>241</v>
      </c>
      <c r="AG39" s="49"/>
      <c r="AH39" s="49"/>
      <c r="AI39" s="49"/>
      <c r="AJ39" s="49"/>
      <c r="AK39" s="730"/>
      <c r="AL39" s="729"/>
      <c r="AM39" s="49"/>
      <c r="AN39" s="49"/>
      <c r="AO39" s="730"/>
      <c r="AP39" s="49"/>
      <c r="AQ39" s="49"/>
      <c r="AR39" s="49"/>
      <c r="AS39" s="49"/>
      <c r="AT39" s="730"/>
      <c r="AU39" s="49"/>
      <c r="AV39" s="49"/>
      <c r="AW39" s="49"/>
      <c r="AX39" s="49"/>
      <c r="AY39" s="49"/>
      <c r="AZ39" s="49"/>
      <c r="BA39" s="729"/>
      <c r="BB39" s="49"/>
      <c r="BC39" s="49"/>
      <c r="BD39" s="49"/>
      <c r="BE39" s="49"/>
      <c r="BF39" s="730"/>
    </row>
    <row r="40" spans="1:64" ht="14.25" customHeight="1">
      <c r="A40" s="48">
        <f t="shared" si="2"/>
        <v>21</v>
      </c>
      <c r="B40" s="49" t="s">
        <v>1310</v>
      </c>
      <c r="C40" s="49"/>
      <c r="D40" s="49"/>
      <c r="E40" s="49"/>
      <c r="F40" s="49"/>
      <c r="G40" s="730"/>
      <c r="H40" s="729"/>
      <c r="I40" s="49"/>
      <c r="J40" s="49"/>
      <c r="K40" s="730"/>
      <c r="L40" s="49"/>
      <c r="M40" s="49"/>
      <c r="N40" s="49"/>
      <c r="O40" s="49"/>
      <c r="P40" s="49"/>
      <c r="Q40" s="730"/>
      <c r="R40" s="49"/>
      <c r="S40" s="49"/>
      <c r="T40" s="49"/>
      <c r="U40" s="49"/>
      <c r="V40" s="49"/>
      <c r="W40" s="49"/>
      <c r="X40" s="729"/>
      <c r="Y40" s="49"/>
      <c r="Z40" s="49"/>
      <c r="AA40" s="49"/>
      <c r="AB40" s="49"/>
      <c r="AC40" s="730"/>
      <c r="AE40" s="48">
        <v>48</v>
      </c>
      <c r="AF40" s="729" t="s">
        <v>1311</v>
      </c>
      <c r="AG40" s="49"/>
      <c r="AH40" s="49"/>
      <c r="AI40" s="49"/>
      <c r="AJ40" s="49"/>
      <c r="AK40" s="730"/>
      <c r="AL40" s="729"/>
      <c r="AM40" s="49"/>
      <c r="AN40" s="49"/>
      <c r="AO40" s="730"/>
      <c r="AP40" s="49"/>
      <c r="AQ40" s="49"/>
      <c r="AR40" s="49"/>
      <c r="AS40" s="49"/>
      <c r="AT40" s="730"/>
      <c r="AU40" s="49"/>
      <c r="AV40" s="49"/>
      <c r="AW40" s="49"/>
      <c r="AX40" s="49"/>
      <c r="AY40" s="49"/>
      <c r="AZ40" s="49"/>
      <c r="BA40" s="729"/>
      <c r="BB40" s="49"/>
      <c r="BC40" s="49"/>
      <c r="BD40" s="49"/>
      <c r="BE40" s="49"/>
      <c r="BF40" s="730"/>
      <c r="BG40" s="654"/>
      <c r="BH40" s="654"/>
      <c r="BI40" s="654"/>
      <c r="BJ40" s="654"/>
      <c r="BK40" s="654"/>
      <c r="BL40" s="654"/>
    </row>
    <row r="41" spans="1:64" ht="14.25" customHeight="1">
      <c r="A41" s="48">
        <f t="shared" si="2"/>
        <v>22</v>
      </c>
      <c r="B41" s="49" t="s">
        <v>1312</v>
      </c>
      <c r="C41" s="49"/>
      <c r="D41" s="49"/>
      <c r="E41" s="49"/>
      <c r="F41" s="49"/>
      <c r="G41" s="730"/>
      <c r="H41" s="729"/>
      <c r="I41" s="49"/>
      <c r="J41" s="49"/>
      <c r="K41" s="730"/>
      <c r="L41" s="49"/>
      <c r="M41" s="49"/>
      <c r="N41" s="49"/>
      <c r="O41" s="49"/>
      <c r="P41" s="49"/>
      <c r="Q41" s="730"/>
      <c r="R41" s="49"/>
      <c r="S41" s="49"/>
      <c r="T41" s="49"/>
      <c r="U41" s="49"/>
      <c r="V41" s="49"/>
      <c r="W41" s="49"/>
      <c r="X41" s="729"/>
      <c r="Y41" s="49"/>
      <c r="Z41" s="49"/>
      <c r="AA41" s="49"/>
      <c r="AB41" s="49"/>
      <c r="AC41" s="730"/>
      <c r="AE41" s="1262">
        <f>AE40+1</f>
        <v>49</v>
      </c>
      <c r="AF41" s="1150" t="s">
        <v>1313</v>
      </c>
      <c r="AG41" s="1263"/>
      <c r="AH41" s="1263"/>
      <c r="AI41" s="1263"/>
      <c r="AJ41" s="1263"/>
      <c r="AK41" s="1264"/>
      <c r="AL41" s="1150"/>
      <c r="AM41" s="49"/>
      <c r="AN41" s="49"/>
      <c r="AO41" s="730"/>
      <c r="AP41" s="49"/>
      <c r="AQ41" s="49"/>
      <c r="AR41" s="49"/>
      <c r="AS41" s="49"/>
      <c r="AT41" s="730"/>
      <c r="AU41" s="49"/>
      <c r="AV41" s="49"/>
      <c r="AW41" s="49"/>
      <c r="AX41" s="49"/>
      <c r="AY41" s="49"/>
      <c r="AZ41" s="49"/>
      <c r="BA41" s="729"/>
      <c r="BB41" s="49"/>
      <c r="BC41" s="49"/>
      <c r="BD41" s="49"/>
      <c r="BE41" s="49"/>
      <c r="BF41" s="730"/>
      <c r="BG41" s="654"/>
      <c r="BH41" s="654"/>
      <c r="BI41" s="654"/>
      <c r="BJ41" s="654"/>
      <c r="BK41" s="654"/>
      <c r="BL41" s="654"/>
    </row>
    <row r="42" spans="1:64" ht="14.25" customHeight="1">
      <c r="A42" s="48">
        <f t="shared" si="2"/>
        <v>23</v>
      </c>
      <c r="B42" s="49" t="s">
        <v>1314</v>
      </c>
      <c r="C42" s="49"/>
      <c r="D42" s="49"/>
      <c r="E42" s="49"/>
      <c r="F42" s="49"/>
      <c r="G42" s="730"/>
      <c r="H42" s="729"/>
      <c r="I42" s="49"/>
      <c r="J42" s="49"/>
      <c r="K42" s="730"/>
      <c r="L42" s="49"/>
      <c r="M42" s="49"/>
      <c r="N42" s="49"/>
      <c r="O42" s="49"/>
      <c r="P42" s="49"/>
      <c r="Q42" s="730"/>
      <c r="R42" s="49"/>
      <c r="S42" s="49"/>
      <c r="T42" s="49"/>
      <c r="U42" s="49"/>
      <c r="V42" s="49"/>
      <c r="W42" s="49"/>
      <c r="X42" s="729"/>
      <c r="Y42" s="49"/>
      <c r="Z42" s="49"/>
      <c r="AA42" s="49"/>
      <c r="AB42" s="49"/>
      <c r="AC42" s="730"/>
      <c r="AE42" s="1262">
        <f>AE41+1</f>
        <v>50</v>
      </c>
      <c r="AF42" s="1150" t="s">
        <v>1315</v>
      </c>
      <c r="AG42" s="1263"/>
      <c r="AH42" s="1263"/>
      <c r="AI42" s="1263"/>
      <c r="AJ42" s="1263"/>
      <c r="AK42" s="1264"/>
      <c r="AL42" s="1150"/>
      <c r="AM42" s="49"/>
      <c r="AN42" s="49"/>
      <c r="AO42" s="730"/>
      <c r="AP42" s="49"/>
      <c r="AQ42" s="49"/>
      <c r="AR42" s="49"/>
      <c r="AS42" s="49"/>
      <c r="AT42" s="730"/>
      <c r="AU42" s="49"/>
      <c r="AV42" s="49"/>
      <c r="AW42" s="49"/>
      <c r="AX42" s="49"/>
      <c r="AY42" s="49"/>
      <c r="AZ42" s="49"/>
      <c r="BA42" s="729"/>
      <c r="BB42" s="49"/>
      <c r="BC42" s="49"/>
      <c r="BD42" s="49"/>
      <c r="BE42" s="49"/>
      <c r="BF42" s="730"/>
      <c r="BG42" s="654"/>
      <c r="BH42" s="654"/>
      <c r="BI42" s="654"/>
      <c r="BJ42" s="654"/>
      <c r="BK42" s="654"/>
      <c r="BL42" s="654"/>
    </row>
    <row r="43" spans="1:64" ht="14.25" customHeight="1">
      <c r="A43" s="48">
        <f t="shared" si="2"/>
        <v>24</v>
      </c>
      <c r="B43" s="49" t="s">
        <v>1316</v>
      </c>
      <c r="C43" s="49"/>
      <c r="D43" s="49"/>
      <c r="E43" s="49"/>
      <c r="F43" s="49"/>
      <c r="G43" s="730"/>
      <c r="H43" s="729"/>
      <c r="I43" s="49"/>
      <c r="J43" s="49"/>
      <c r="K43" s="730"/>
      <c r="L43" s="49"/>
      <c r="M43" s="49"/>
      <c r="N43" s="49"/>
      <c r="O43" s="49"/>
      <c r="P43" s="49"/>
      <c r="Q43" s="730"/>
      <c r="R43" s="49"/>
      <c r="S43" s="49"/>
      <c r="T43" s="49"/>
      <c r="U43" s="49"/>
      <c r="V43" s="49"/>
      <c r="W43" s="49"/>
      <c r="X43" s="729"/>
      <c r="Y43" s="49"/>
      <c r="Z43" s="49"/>
      <c r="AA43" s="49"/>
      <c r="AB43" s="49"/>
      <c r="AC43" s="730"/>
      <c r="AE43" s="1262">
        <f>AE42+1</f>
        <v>51</v>
      </c>
      <c r="AF43" s="1576" t="s">
        <v>112</v>
      </c>
      <c r="AG43" s="1576"/>
      <c r="AH43" s="1576"/>
      <c r="AI43" s="1576"/>
      <c r="AJ43" s="1576"/>
      <c r="AK43" s="1576"/>
      <c r="AL43" s="1150"/>
      <c r="AM43" s="49"/>
      <c r="AN43" s="49"/>
      <c r="AO43" s="730"/>
      <c r="AP43" s="49"/>
      <c r="AQ43" s="49"/>
      <c r="AR43" s="49"/>
      <c r="AS43" s="49"/>
      <c r="AT43" s="730"/>
      <c r="AU43" s="49"/>
      <c r="AV43" s="49"/>
      <c r="AW43" s="49"/>
      <c r="AX43" s="49"/>
      <c r="AY43" s="49"/>
      <c r="AZ43" s="49"/>
      <c r="BA43" s="729"/>
      <c r="BB43" s="49"/>
      <c r="BC43" s="49"/>
      <c r="BD43" s="49"/>
      <c r="BE43" s="49"/>
      <c r="BF43" s="730"/>
      <c r="BG43" s="654"/>
      <c r="BH43" s="654"/>
      <c r="BJ43" s="654"/>
      <c r="BK43" s="1149"/>
      <c r="BL43" s="654"/>
    </row>
    <row r="44" spans="1:64" ht="14.25" customHeight="1">
      <c r="A44" s="48">
        <f t="shared" si="2"/>
        <v>25</v>
      </c>
      <c r="B44" s="49" t="s">
        <v>1317</v>
      </c>
      <c r="C44" s="49"/>
      <c r="D44" s="49"/>
      <c r="E44" s="49"/>
      <c r="F44" s="49"/>
      <c r="G44" s="730"/>
      <c r="H44" s="729"/>
      <c r="I44" s="49"/>
      <c r="J44" s="49"/>
      <c r="K44" s="730"/>
      <c r="L44" s="49"/>
      <c r="M44" s="49"/>
      <c r="N44" s="49"/>
      <c r="O44" s="49"/>
      <c r="P44" s="49"/>
      <c r="Q44" s="730"/>
      <c r="R44" s="49"/>
      <c r="S44" s="49"/>
      <c r="T44" s="49"/>
      <c r="U44" s="49"/>
      <c r="V44" s="49"/>
      <c r="W44" s="49"/>
      <c r="X44" s="729"/>
      <c r="Y44" s="49"/>
      <c r="Z44" s="49"/>
      <c r="AA44" s="49"/>
      <c r="AB44" s="49"/>
      <c r="AC44" s="730"/>
      <c r="AE44" s="1265"/>
      <c r="AF44" s="1266"/>
      <c r="AG44" s="1266"/>
      <c r="AH44" s="1266"/>
      <c r="AI44" s="1266"/>
      <c r="AJ44" s="1266"/>
      <c r="AK44" s="1266"/>
      <c r="AL44" s="1266"/>
      <c r="AM44" s="739"/>
      <c r="AN44" s="739"/>
      <c r="AO44" s="739"/>
      <c r="AP44" s="739"/>
      <c r="AQ44" s="739"/>
      <c r="AR44" s="739"/>
      <c r="AS44" s="739"/>
      <c r="AT44" s="739"/>
      <c r="AU44" s="739"/>
      <c r="AV44" s="739"/>
      <c r="AW44" s="739"/>
      <c r="AX44" s="739"/>
      <c r="AY44" s="739"/>
      <c r="AZ44" s="739"/>
      <c r="BA44" s="739"/>
      <c r="BB44" s="739"/>
      <c r="BC44" s="739"/>
      <c r="BD44" s="739"/>
      <c r="BE44" s="739"/>
      <c r="BF44" s="739"/>
      <c r="BK44" s="1149"/>
    </row>
    <row r="45" spans="1:64" ht="14.25" customHeight="1">
      <c r="A45" s="48">
        <f t="shared" si="2"/>
        <v>26</v>
      </c>
      <c r="B45" s="49" t="s">
        <v>1318</v>
      </c>
      <c r="C45" s="49"/>
      <c r="D45" s="49"/>
      <c r="E45" s="49"/>
      <c r="F45" s="49"/>
      <c r="G45" s="730"/>
      <c r="H45" s="729"/>
      <c r="I45" s="49"/>
      <c r="J45" s="49"/>
      <c r="K45" s="730"/>
      <c r="L45" s="49"/>
      <c r="M45" s="49"/>
      <c r="N45" s="49"/>
      <c r="O45" s="49"/>
      <c r="P45" s="49"/>
      <c r="Q45" s="730"/>
      <c r="R45" s="49"/>
      <c r="S45" s="49"/>
      <c r="T45" s="49"/>
      <c r="U45" s="49"/>
      <c r="V45" s="49"/>
      <c r="W45" s="49"/>
      <c r="X45" s="729"/>
      <c r="Y45" s="49"/>
      <c r="Z45" s="49"/>
      <c r="AA45" s="49"/>
      <c r="AB45" s="49"/>
      <c r="AC45" s="730"/>
      <c r="AE45" s="1261"/>
      <c r="AF45" s="1149"/>
      <c r="BE45" s="2"/>
    </row>
    <row r="46" spans="1:64" ht="14.25" customHeight="1">
      <c r="A46" s="48">
        <f t="shared" si="2"/>
        <v>27</v>
      </c>
      <c r="B46" s="49" t="s">
        <v>1319</v>
      </c>
      <c r="C46" s="49"/>
      <c r="D46" s="49"/>
      <c r="E46" s="49"/>
      <c r="F46" s="49"/>
      <c r="G46" s="730"/>
      <c r="H46" s="729"/>
      <c r="I46" s="49"/>
      <c r="J46" s="49"/>
      <c r="K46" s="730"/>
      <c r="L46" s="2907"/>
      <c r="M46" s="2907"/>
      <c r="N46" s="2907"/>
      <c r="O46" s="2907"/>
      <c r="P46" s="2907"/>
      <c r="Q46" s="2907"/>
      <c r="R46" s="1041"/>
      <c r="S46" s="1041"/>
      <c r="T46" s="1041"/>
      <c r="U46" s="1041"/>
      <c r="V46" s="1041"/>
      <c r="W46" s="1042"/>
      <c r="X46" s="2907"/>
      <c r="Y46" s="2907"/>
      <c r="Z46" s="2907"/>
      <c r="AA46" s="2907"/>
      <c r="AB46" s="2907"/>
      <c r="AC46" s="2907"/>
      <c r="AE46" s="1261"/>
      <c r="BE46" s="2"/>
      <c r="BF46" s="2"/>
    </row>
    <row r="47" spans="1:64" ht="14.25" customHeight="1">
      <c r="A47" s="48">
        <f t="shared" si="2"/>
        <v>28</v>
      </c>
      <c r="B47" s="49" t="s">
        <v>112</v>
      </c>
      <c r="C47" s="49"/>
      <c r="D47" s="49"/>
      <c r="E47" s="49"/>
      <c r="F47" s="49"/>
      <c r="G47" s="730"/>
      <c r="H47" s="729"/>
      <c r="I47" s="49"/>
      <c r="J47" s="49"/>
      <c r="K47" s="730"/>
      <c r="L47" s="2907"/>
      <c r="M47" s="2907"/>
      <c r="N47" s="2907"/>
      <c r="O47" s="2907"/>
      <c r="P47" s="2907"/>
      <c r="Q47" s="2907"/>
      <c r="R47" s="1041"/>
      <c r="S47" s="1041"/>
      <c r="T47" s="1041"/>
      <c r="U47" s="1041"/>
      <c r="V47" s="1041"/>
      <c r="W47" s="1042"/>
      <c r="X47" s="2907"/>
      <c r="Y47" s="2907"/>
      <c r="Z47" s="2907"/>
      <c r="AA47" s="2907"/>
      <c r="AB47" s="2907"/>
      <c r="AC47" s="2907"/>
      <c r="BE47" s="2"/>
    </row>
  </sheetData>
  <customSheetViews>
    <customSheetView guid="{77361B37-359A-4BD7-AABE-B5C029043447}" scale="130" showPageBreaks="1" showGridLines="0" topLeftCell="G1">
      <selection activeCell="L11" sqref="L11:Q12"/>
      <pageMargins left="0" right="0" top="0" bottom="0" header="0" footer="0"/>
      <pageSetup paperSize="9" orientation="landscape" r:id="rId1"/>
      <headerFooter alignWithMargins="0">
        <oddFooter>&amp;C&amp;P</oddFooter>
      </headerFooter>
    </customSheetView>
  </customSheetViews>
  <mergeCells count="45">
    <mergeCell ref="BA36:BF37"/>
    <mergeCell ref="AE4:AE17"/>
    <mergeCell ref="AF4:AK17"/>
    <mergeCell ref="AP5:AT11"/>
    <mergeCell ref="AP12:AT16"/>
    <mergeCell ref="AL17:AO17"/>
    <mergeCell ref="AL4:AO4"/>
    <mergeCell ref="AP4:AT4"/>
    <mergeCell ref="AU4:AZ4"/>
    <mergeCell ref="BA4:BF4"/>
    <mergeCell ref="AU5:AZ11"/>
    <mergeCell ref="AU12:AZ16"/>
    <mergeCell ref="AU17:AZ17"/>
    <mergeCell ref="BA17:BF17"/>
    <mergeCell ref="BA13:BF16"/>
    <mergeCell ref="BA5:BF12"/>
    <mergeCell ref="B37:G37"/>
    <mergeCell ref="L46:Q46"/>
    <mergeCell ref="AE36:AE37"/>
    <mergeCell ref="AF36:AK37"/>
    <mergeCell ref="AL36:AO37"/>
    <mergeCell ref="L47:Q47"/>
    <mergeCell ref="X46:AC46"/>
    <mergeCell ref="X47:AC47"/>
    <mergeCell ref="L4:Q4"/>
    <mergeCell ref="L17:Q17"/>
    <mergeCell ref="L12:Q16"/>
    <mergeCell ref="L5:Q11"/>
    <mergeCell ref="R17:W17"/>
    <mergeCell ref="R5:W11"/>
    <mergeCell ref="R12:W16"/>
    <mergeCell ref="R4:W4"/>
    <mergeCell ref="X17:AC17"/>
    <mergeCell ref="X12:AC16"/>
    <mergeCell ref="X4:AC4"/>
    <mergeCell ref="X5:AC11"/>
    <mergeCell ref="A4:A17"/>
    <mergeCell ref="H17:K17"/>
    <mergeCell ref="B4:G17"/>
    <mergeCell ref="H4:K4"/>
    <mergeCell ref="AP17:AT17"/>
    <mergeCell ref="AL10:AO16"/>
    <mergeCell ref="AL5:AO8"/>
    <mergeCell ref="H5:K8"/>
    <mergeCell ref="H9:K16"/>
  </mergeCells>
  <phoneticPr fontId="0" type="noConversion"/>
  <pageMargins left="0.19685039370078741" right="0.19685039370078741" top="0.78740157480314965" bottom="0.59055118110236227" header="0.23622047244094491" footer="0"/>
  <pageSetup paperSize="9" scale="75" orientation="landscape" r:id="rId2"/>
  <headerFooter alignWithMargins="0">
    <oddFooter>&amp;C&amp;P</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5"/>
  <dimension ref="A1:L441"/>
  <sheetViews>
    <sheetView showGridLines="0" view="pageBreakPreview" topLeftCell="A343" zoomScaleNormal="100" zoomScaleSheetLayoutView="100" workbookViewId="0">
      <selection activeCell="B380" sqref="B380"/>
    </sheetView>
  </sheetViews>
  <sheetFormatPr defaultColWidth="9.140625" defaultRowHeight="11.25"/>
  <cols>
    <col min="1" max="1" width="9.140625" style="580"/>
    <col min="2" max="2" width="62.28515625" style="578" customWidth="1"/>
    <col min="3" max="3" width="6.42578125" style="578" customWidth="1"/>
    <col min="4" max="5" width="23.140625" style="341" customWidth="1"/>
    <col min="6" max="6" width="23.140625" style="581" customWidth="1"/>
    <col min="7" max="66" width="2.7109375" style="341" customWidth="1"/>
    <col min="67" max="16384" width="9.140625" style="341"/>
  </cols>
  <sheetData>
    <row r="1" spans="1:12" ht="20.100000000000001" customHeight="1">
      <c r="A1" s="3" t="s">
        <v>1320</v>
      </c>
      <c r="D1" s="149" t="s">
        <v>1321</v>
      </c>
      <c r="E1" s="1600"/>
      <c r="F1" s="1600"/>
      <c r="G1" s="579"/>
      <c r="H1" s="579"/>
      <c r="I1" s="579"/>
      <c r="J1" s="579"/>
      <c r="K1" s="579"/>
      <c r="L1" s="579"/>
    </row>
    <row r="2" spans="1:12" s="742" customFormat="1" ht="4.5" customHeight="1">
      <c r="A2" s="1689"/>
      <c r="B2" s="1690"/>
      <c r="C2" s="1690"/>
      <c r="G2" s="1691"/>
      <c r="H2" s="1691"/>
      <c r="I2" s="1691"/>
      <c r="J2" s="1691"/>
      <c r="K2" s="1691"/>
      <c r="L2" s="1691"/>
    </row>
    <row r="3" spans="1:12">
      <c r="A3" s="1584" t="s">
        <v>859</v>
      </c>
      <c r="D3" s="1600"/>
      <c r="E3" s="1600"/>
      <c r="F3" s="1601" t="s">
        <v>860</v>
      </c>
    </row>
    <row r="4" spans="1:12" ht="15" customHeight="1">
      <c r="A4" s="3335" t="s">
        <v>1322</v>
      </c>
      <c r="B4" s="3337" t="s">
        <v>1323</v>
      </c>
      <c r="C4" s="3338"/>
      <c r="D4" s="3344" t="s">
        <v>1324</v>
      </c>
      <c r="E4" s="3345"/>
      <c r="F4" s="3333" t="s">
        <v>1325</v>
      </c>
    </row>
    <row r="5" spans="1:12" ht="15" customHeight="1">
      <c r="A5" s="3336"/>
      <c r="B5" s="3339"/>
      <c r="C5" s="3340"/>
      <c r="D5" s="3346"/>
      <c r="E5" s="3347"/>
      <c r="F5" s="3334"/>
    </row>
    <row r="6" spans="1:12" ht="15" customHeight="1">
      <c r="A6" s="3336"/>
      <c r="B6" s="3339"/>
      <c r="C6" s="3340"/>
      <c r="D6" s="583">
        <f>B8-0.01</f>
        <v>-12.02</v>
      </c>
      <c r="E6" s="583">
        <f>D6-0.01</f>
        <v>-12.03</v>
      </c>
      <c r="F6" s="584">
        <f>E6-0.01</f>
        <v>-12.04</v>
      </c>
    </row>
    <row r="7" spans="1:12" ht="24" customHeight="1">
      <c r="A7" s="3336"/>
      <c r="B7" s="3339"/>
      <c r="C7" s="3340"/>
      <c r="D7" s="2118" t="s">
        <v>1326</v>
      </c>
      <c r="E7" s="2118" t="s">
        <v>1327</v>
      </c>
      <c r="F7" s="2118" t="s">
        <v>1328</v>
      </c>
    </row>
    <row r="8" spans="1:12" ht="13.5" customHeight="1">
      <c r="A8" s="3336"/>
      <c r="B8" s="582">
        <f>-12.01</f>
        <v>-12.01</v>
      </c>
      <c r="C8" s="1104"/>
      <c r="D8" s="1957"/>
      <c r="E8" s="2118"/>
      <c r="F8" s="2118"/>
    </row>
    <row r="9" spans="1:12" ht="48" customHeight="1">
      <c r="A9" s="3336"/>
      <c r="B9" s="3342" t="s">
        <v>1329</v>
      </c>
      <c r="C9" s="3343"/>
      <c r="D9" s="2118"/>
      <c r="E9" s="2118"/>
      <c r="F9" s="2118"/>
    </row>
    <row r="10" spans="1:12" ht="13.5" customHeight="1">
      <c r="A10" s="3336"/>
      <c r="B10" s="951" t="s">
        <v>1330</v>
      </c>
      <c r="C10" s="946"/>
      <c r="D10" s="3341"/>
      <c r="E10" s="2118"/>
      <c r="F10" s="2118"/>
    </row>
    <row r="11" spans="1:12" ht="13.5" customHeight="1">
      <c r="A11" s="1105"/>
      <c r="B11" s="3326" t="s">
        <v>1331</v>
      </c>
      <c r="C11" s="3327"/>
      <c r="D11" s="1106"/>
      <c r="E11" s="1107"/>
      <c r="F11" s="1036"/>
    </row>
    <row r="12" spans="1:12" s="742" customFormat="1" ht="15" customHeight="1">
      <c r="A12" s="741">
        <v>20100</v>
      </c>
      <c r="B12" s="3328" t="s">
        <v>1332</v>
      </c>
      <c r="C12" s="3329"/>
      <c r="D12" s="3329"/>
      <c r="E12" s="3329"/>
      <c r="F12" s="3330"/>
    </row>
    <row r="13" spans="1:12" s="938" customFormat="1" ht="15" customHeight="1">
      <c r="A13" s="939">
        <v>20101</v>
      </c>
      <c r="B13" s="1108" t="s">
        <v>1333</v>
      </c>
      <c r="C13" s="940"/>
      <c r="D13" s="941"/>
      <c r="E13" s="942"/>
      <c r="F13" s="943"/>
    </row>
    <row r="14" spans="1:12" s="938" customFormat="1" ht="15" customHeight="1">
      <c r="A14" s="939">
        <f>+A13+1</f>
        <v>20102</v>
      </c>
      <c r="B14" s="948" t="s">
        <v>1334</v>
      </c>
      <c r="C14" s="940"/>
      <c r="D14" s="941"/>
      <c r="E14" s="942"/>
      <c r="F14" s="943"/>
    </row>
    <row r="15" spans="1:12" s="938" customFormat="1" ht="15" customHeight="1">
      <c r="A15" s="939">
        <f t="shared" ref="A15:A31" si="0">+A14+1</f>
        <v>20103</v>
      </c>
      <c r="B15" s="948" t="s">
        <v>1335</v>
      </c>
      <c r="C15" s="940"/>
      <c r="D15" s="941"/>
      <c r="E15" s="942"/>
      <c r="F15" s="943"/>
    </row>
    <row r="16" spans="1:12" s="938" customFormat="1" ht="15" customHeight="1">
      <c r="A16" s="939">
        <f t="shared" si="0"/>
        <v>20104</v>
      </c>
      <c r="B16" s="948" t="s">
        <v>1336</v>
      </c>
      <c r="C16" s="940"/>
      <c r="D16" s="941"/>
      <c r="E16" s="942"/>
      <c r="F16" s="943"/>
    </row>
    <row r="17" spans="1:6" s="938" customFormat="1" ht="15" customHeight="1">
      <c r="A17" s="939">
        <f t="shared" si="0"/>
        <v>20105</v>
      </c>
      <c r="B17" s="948" t="s">
        <v>1337</v>
      </c>
      <c r="C17" s="940"/>
      <c r="D17" s="941"/>
      <c r="E17" s="942"/>
      <c r="F17" s="943"/>
    </row>
    <row r="18" spans="1:6" s="938" customFormat="1" ht="15" customHeight="1">
      <c r="A18" s="939">
        <f t="shared" si="0"/>
        <v>20106</v>
      </c>
      <c r="B18" s="948" t="s">
        <v>1338</v>
      </c>
      <c r="C18" s="940"/>
      <c r="D18" s="941"/>
      <c r="E18" s="942"/>
      <c r="F18" s="943"/>
    </row>
    <row r="19" spans="1:6" s="938" customFormat="1" ht="15" customHeight="1">
      <c r="A19" s="939">
        <f t="shared" si="0"/>
        <v>20107</v>
      </c>
      <c r="B19" s="948" t="s">
        <v>1339</v>
      </c>
      <c r="C19" s="940"/>
      <c r="D19" s="941"/>
      <c r="E19" s="942"/>
      <c r="F19" s="943"/>
    </row>
    <row r="20" spans="1:6" s="556" customFormat="1" ht="15" customHeight="1">
      <c r="A20" s="939">
        <f t="shared" si="0"/>
        <v>20108</v>
      </c>
      <c r="B20" s="948" t="s">
        <v>1340</v>
      </c>
      <c r="C20" s="1109"/>
      <c r="D20" s="1110"/>
      <c r="E20" s="1111"/>
      <c r="F20" s="1111"/>
    </row>
    <row r="21" spans="1:6" s="556" customFormat="1" ht="15" customHeight="1">
      <c r="A21" s="939">
        <f t="shared" si="0"/>
        <v>20109</v>
      </c>
      <c r="B21" s="948" t="s">
        <v>1341</v>
      </c>
      <c r="C21" s="1109"/>
      <c r="D21" s="1110"/>
      <c r="E21" s="1111"/>
      <c r="F21" s="1111"/>
    </row>
    <row r="22" spans="1:6" s="938" customFormat="1" ht="15" customHeight="1">
      <c r="A22" s="939">
        <f t="shared" si="0"/>
        <v>20110</v>
      </c>
      <c r="B22" s="948" t="s">
        <v>1342</v>
      </c>
      <c r="C22" s="940"/>
      <c r="D22" s="941"/>
      <c r="E22" s="942"/>
      <c r="F22" s="943"/>
    </row>
    <row r="23" spans="1:6" s="938" customFormat="1" ht="15" customHeight="1">
      <c r="A23" s="939">
        <f t="shared" si="0"/>
        <v>20111</v>
      </c>
      <c r="B23" s="948" t="s">
        <v>1343</v>
      </c>
      <c r="C23" s="940"/>
      <c r="D23" s="941"/>
      <c r="E23" s="942"/>
      <c r="F23" s="943"/>
    </row>
    <row r="24" spans="1:6" s="938" customFormat="1" ht="15" customHeight="1">
      <c r="A24" s="939">
        <f t="shared" si="0"/>
        <v>20112</v>
      </c>
      <c r="B24" s="948" t="s">
        <v>1344</v>
      </c>
      <c r="C24" s="940"/>
      <c r="D24" s="941"/>
      <c r="E24" s="942"/>
      <c r="F24" s="943"/>
    </row>
    <row r="25" spans="1:6" s="938" customFormat="1" ht="15" customHeight="1">
      <c r="A25" s="939">
        <f t="shared" si="0"/>
        <v>20113</v>
      </c>
      <c r="B25" s="948" t="s">
        <v>1345</v>
      </c>
      <c r="C25" s="940"/>
      <c r="D25" s="941"/>
      <c r="E25" s="942"/>
      <c r="F25" s="943"/>
    </row>
    <row r="26" spans="1:6" s="938" customFormat="1" ht="15" customHeight="1">
      <c r="A26" s="939">
        <f t="shared" si="0"/>
        <v>20114</v>
      </c>
      <c r="B26" s="948" t="s">
        <v>1346</v>
      </c>
      <c r="C26" s="940"/>
      <c r="D26" s="941"/>
      <c r="E26" s="942"/>
      <c r="F26" s="943"/>
    </row>
    <row r="27" spans="1:6" s="938" customFormat="1" ht="15" customHeight="1">
      <c r="A27" s="939">
        <f t="shared" si="0"/>
        <v>20115</v>
      </c>
      <c r="B27" s="948" t="s">
        <v>1347</v>
      </c>
      <c r="C27" s="940"/>
      <c r="D27" s="941"/>
      <c r="E27" s="942"/>
      <c r="F27" s="943"/>
    </row>
    <row r="28" spans="1:6" s="938" customFormat="1" ht="15" customHeight="1">
      <c r="A28" s="939">
        <f t="shared" si="0"/>
        <v>20116</v>
      </c>
      <c r="B28" s="948" t="s">
        <v>1348</v>
      </c>
      <c r="C28" s="940"/>
      <c r="D28" s="941"/>
      <c r="E28" s="942"/>
      <c r="F28" s="943"/>
    </row>
    <row r="29" spans="1:6" s="556" customFormat="1" ht="15" customHeight="1">
      <c r="A29" s="939">
        <f t="shared" si="0"/>
        <v>20117</v>
      </c>
      <c r="B29" s="948" t="s">
        <v>1349</v>
      </c>
      <c r="C29" s="1109"/>
      <c r="D29" s="1110"/>
      <c r="E29" s="1111"/>
      <c r="F29" s="1111"/>
    </row>
    <row r="30" spans="1:6" s="556" customFormat="1" ht="15" customHeight="1">
      <c r="A30" s="939">
        <f t="shared" si="0"/>
        <v>20118</v>
      </c>
      <c r="B30" s="948" t="s">
        <v>1350</v>
      </c>
      <c r="C30" s="1109"/>
      <c r="D30" s="1110"/>
      <c r="E30" s="1111"/>
      <c r="F30" s="1111"/>
    </row>
    <row r="31" spans="1:6" s="938" customFormat="1" ht="12.75">
      <c r="A31" s="939">
        <f t="shared" si="0"/>
        <v>20119</v>
      </c>
      <c r="B31" s="948" t="s">
        <v>1351</v>
      </c>
      <c r="C31" s="940"/>
      <c r="D31" s="941"/>
      <c r="E31" s="942"/>
      <c r="F31" s="943"/>
    </row>
    <row r="32" spans="1:6" s="938" customFormat="1" ht="12.75">
      <c r="A32" s="939">
        <v>20199</v>
      </c>
      <c r="B32" s="3331" t="s">
        <v>1352</v>
      </c>
      <c r="C32" s="3332"/>
      <c r="D32" s="941"/>
      <c r="E32" s="942"/>
      <c r="F32" s="943"/>
    </row>
    <row r="33" spans="1:6" s="938" customFormat="1" ht="12.75">
      <c r="A33" s="937">
        <v>20200</v>
      </c>
      <c r="B33" s="3351" t="s">
        <v>1353</v>
      </c>
      <c r="C33" s="3352"/>
      <c r="D33" s="3352"/>
      <c r="E33" s="3352"/>
      <c r="F33" s="3353"/>
    </row>
    <row r="34" spans="1:6" s="938" customFormat="1" ht="12.75">
      <c r="A34" s="939">
        <v>20201</v>
      </c>
      <c r="B34" s="948" t="s">
        <v>1354</v>
      </c>
      <c r="C34" s="940"/>
      <c r="D34" s="941"/>
      <c r="E34" s="942"/>
      <c r="F34" s="943"/>
    </row>
    <row r="35" spans="1:6" s="742" customFormat="1" ht="12.75">
      <c r="A35" s="743">
        <f>+A34+1</f>
        <v>20202</v>
      </c>
      <c r="B35" s="948" t="s">
        <v>1355</v>
      </c>
      <c r="C35" s="744"/>
      <c r="D35" s="745"/>
      <c r="E35" s="746"/>
      <c r="F35" s="747"/>
    </row>
    <row r="36" spans="1:6" s="742" customFormat="1" ht="12.75">
      <c r="A36" s="743">
        <f t="shared" ref="A36:A38" si="1">+A35+1</f>
        <v>20203</v>
      </c>
      <c r="B36" s="948" t="s">
        <v>1356</v>
      </c>
      <c r="C36" s="744"/>
      <c r="D36" s="745"/>
      <c r="E36" s="746"/>
      <c r="F36" s="747"/>
    </row>
    <row r="37" spans="1:6" s="742" customFormat="1" ht="12.75">
      <c r="A37" s="743">
        <f t="shared" si="1"/>
        <v>20204</v>
      </c>
      <c r="B37" s="948" t="s">
        <v>1357</v>
      </c>
      <c r="C37" s="744"/>
      <c r="D37" s="745"/>
      <c r="E37" s="746"/>
      <c r="F37" s="747"/>
    </row>
    <row r="38" spans="1:6" s="742" customFormat="1" ht="12.75">
      <c r="A38" s="743">
        <f t="shared" si="1"/>
        <v>20205</v>
      </c>
      <c r="B38" s="948" t="s">
        <v>1358</v>
      </c>
      <c r="C38" s="744"/>
      <c r="D38" s="745"/>
      <c r="E38" s="746"/>
      <c r="F38" s="747"/>
    </row>
    <row r="39" spans="1:6" s="742" customFormat="1" ht="12.75">
      <c r="A39" s="743">
        <v>20299</v>
      </c>
      <c r="B39" s="3331" t="s">
        <v>1359</v>
      </c>
      <c r="C39" s="3332"/>
      <c r="D39" s="745"/>
      <c r="E39" s="746"/>
      <c r="F39" s="747"/>
    </row>
    <row r="40" spans="1:6" s="742" customFormat="1" ht="12.75">
      <c r="A40" s="741">
        <v>20300</v>
      </c>
      <c r="B40" s="3348" t="s">
        <v>1360</v>
      </c>
      <c r="C40" s="3349"/>
      <c r="D40" s="3349"/>
      <c r="E40" s="3349"/>
      <c r="F40" s="3350"/>
    </row>
    <row r="41" spans="1:6" s="742" customFormat="1" ht="12.75">
      <c r="A41" s="743">
        <v>20301</v>
      </c>
      <c r="B41" s="948" t="s">
        <v>1361</v>
      </c>
      <c r="C41" s="1109"/>
      <c r="D41" s="745"/>
      <c r="E41" s="746"/>
      <c r="F41" s="747"/>
    </row>
    <row r="42" spans="1:6" s="742" customFormat="1" ht="12.75">
      <c r="A42" s="743">
        <f>+A41+1</f>
        <v>20302</v>
      </c>
      <c r="B42" s="948" t="s">
        <v>1362</v>
      </c>
      <c r="C42" s="1109"/>
      <c r="D42" s="745"/>
      <c r="E42" s="746"/>
      <c r="F42" s="747"/>
    </row>
    <row r="43" spans="1:6" s="742" customFormat="1" ht="12.75">
      <c r="A43" s="743">
        <f t="shared" ref="A43:A44" si="2">+A42+1</f>
        <v>20303</v>
      </c>
      <c r="B43" s="948" t="s">
        <v>1363</v>
      </c>
      <c r="C43" s="1109"/>
      <c r="D43" s="745"/>
      <c r="E43" s="746"/>
      <c r="F43" s="747"/>
    </row>
    <row r="44" spans="1:6" s="742" customFormat="1" ht="12.75">
      <c r="A44" s="743">
        <f t="shared" si="2"/>
        <v>20304</v>
      </c>
      <c r="B44" s="948" t="s">
        <v>1364</v>
      </c>
      <c r="C44" s="1109"/>
      <c r="D44" s="745"/>
      <c r="E44" s="746"/>
      <c r="F44" s="747"/>
    </row>
    <row r="45" spans="1:6" s="742" customFormat="1" ht="12.75">
      <c r="A45" s="743">
        <v>20399</v>
      </c>
      <c r="B45" s="3331" t="s">
        <v>1365</v>
      </c>
      <c r="C45" s="3332"/>
      <c r="D45" s="745"/>
      <c r="E45" s="746"/>
      <c r="F45" s="747"/>
    </row>
    <row r="46" spans="1:6" s="742" customFormat="1" ht="15" customHeight="1">
      <c r="A46" s="741">
        <v>20400</v>
      </c>
      <c r="B46" s="3348" t="s">
        <v>1366</v>
      </c>
      <c r="C46" s="3349"/>
      <c r="D46" s="3349"/>
      <c r="E46" s="3349"/>
      <c r="F46" s="3350"/>
    </row>
    <row r="47" spans="1:6" s="742" customFormat="1" ht="15" customHeight="1">
      <c r="A47" s="743">
        <v>20401</v>
      </c>
      <c r="B47" s="948" t="s">
        <v>1367</v>
      </c>
      <c r="C47" s="1109"/>
      <c r="D47" s="745"/>
      <c r="E47" s="746"/>
      <c r="F47" s="747"/>
    </row>
    <row r="48" spans="1:6" s="742" customFormat="1" ht="15" customHeight="1">
      <c r="A48" s="743">
        <f>+A47+1</f>
        <v>20402</v>
      </c>
      <c r="B48" s="948" t="s">
        <v>1368</v>
      </c>
      <c r="C48" s="1109"/>
      <c r="D48" s="745"/>
      <c r="E48" s="746"/>
      <c r="F48" s="747"/>
    </row>
    <row r="49" spans="1:6" s="742" customFormat="1" ht="15" customHeight="1">
      <c r="A49" s="743">
        <f t="shared" ref="A49:A55" si="3">+A48+1</f>
        <v>20403</v>
      </c>
      <c r="B49" s="948" t="s">
        <v>1369</v>
      </c>
      <c r="C49" s="1109"/>
      <c r="D49" s="745"/>
      <c r="E49" s="746"/>
      <c r="F49" s="747"/>
    </row>
    <row r="50" spans="1:6" s="742" customFormat="1" ht="15" customHeight="1">
      <c r="A50" s="743">
        <f t="shared" si="3"/>
        <v>20404</v>
      </c>
      <c r="B50" s="948" t="s">
        <v>1370</v>
      </c>
      <c r="C50" s="1109"/>
      <c r="D50" s="745"/>
      <c r="E50" s="746"/>
      <c r="F50" s="747"/>
    </row>
    <row r="51" spans="1:6" s="742" customFormat="1" ht="15" customHeight="1">
      <c r="A51" s="743">
        <f t="shared" si="3"/>
        <v>20405</v>
      </c>
      <c r="B51" s="948" t="s">
        <v>1371</v>
      </c>
      <c r="C51" s="1109"/>
      <c r="D51" s="745"/>
      <c r="E51" s="746"/>
      <c r="F51" s="747"/>
    </row>
    <row r="52" spans="1:6" s="742" customFormat="1" ht="15" customHeight="1">
      <c r="A52" s="743">
        <f t="shared" si="3"/>
        <v>20406</v>
      </c>
      <c r="B52" s="948" t="s">
        <v>1372</v>
      </c>
      <c r="C52" s="1109"/>
      <c r="D52" s="745"/>
      <c r="E52" s="746"/>
      <c r="F52" s="747"/>
    </row>
    <row r="53" spans="1:6" s="742" customFormat="1" ht="15" customHeight="1">
      <c r="A53" s="743">
        <f t="shared" si="3"/>
        <v>20407</v>
      </c>
      <c r="B53" s="948" t="s">
        <v>1373</v>
      </c>
      <c r="C53" s="1109"/>
      <c r="D53" s="745"/>
      <c r="E53" s="746"/>
      <c r="F53" s="747"/>
    </row>
    <row r="54" spans="1:6" s="742" customFormat="1" ht="15" customHeight="1">
      <c r="A54" s="743">
        <f t="shared" si="3"/>
        <v>20408</v>
      </c>
      <c r="B54" s="948" t="s">
        <v>1374</v>
      </c>
      <c r="C54" s="1109"/>
      <c r="D54" s="745"/>
      <c r="E54" s="746"/>
      <c r="F54" s="747"/>
    </row>
    <row r="55" spans="1:6" s="742" customFormat="1" ht="15" customHeight="1">
      <c r="A55" s="743">
        <f t="shared" si="3"/>
        <v>20409</v>
      </c>
      <c r="B55" s="948" t="s">
        <v>1375</v>
      </c>
      <c r="C55" s="1109"/>
      <c r="D55" s="745"/>
      <c r="E55" s="746"/>
      <c r="F55" s="747"/>
    </row>
    <row r="56" spans="1:6" s="742" customFormat="1" ht="12.75">
      <c r="A56" s="743">
        <v>20499</v>
      </c>
      <c r="B56" s="3331" t="s">
        <v>1376</v>
      </c>
      <c r="C56" s="3332"/>
      <c r="D56" s="745"/>
      <c r="E56" s="746"/>
      <c r="F56" s="747"/>
    </row>
    <row r="57" spans="1:6" s="742" customFormat="1" ht="12.75">
      <c r="A57" s="741">
        <v>20500</v>
      </c>
      <c r="B57" s="3348" t="s">
        <v>1377</v>
      </c>
      <c r="C57" s="3349"/>
      <c r="D57" s="3349"/>
      <c r="E57" s="3349"/>
      <c r="F57" s="3350"/>
    </row>
    <row r="58" spans="1:6" s="742" customFormat="1" ht="15" customHeight="1">
      <c r="A58" s="743">
        <v>20501</v>
      </c>
      <c r="B58" s="948" t="s">
        <v>1378</v>
      </c>
      <c r="C58" s="1109"/>
      <c r="D58" s="745"/>
      <c r="E58" s="746"/>
      <c r="F58" s="747"/>
    </row>
    <row r="59" spans="1:6" s="742" customFormat="1" ht="15" customHeight="1">
      <c r="A59" s="743">
        <f>+A58+1</f>
        <v>20502</v>
      </c>
      <c r="B59" s="948" t="s">
        <v>1379</v>
      </c>
      <c r="C59" s="1109"/>
      <c r="D59" s="745"/>
      <c r="E59" s="746"/>
      <c r="F59" s="747"/>
    </row>
    <row r="60" spans="1:6" s="742" customFormat="1" ht="15" customHeight="1">
      <c r="A60" s="743">
        <f>+A59+1</f>
        <v>20503</v>
      </c>
      <c r="B60" s="948" t="s">
        <v>1380</v>
      </c>
      <c r="C60" s="1109"/>
      <c r="D60" s="745"/>
      <c r="E60" s="746"/>
      <c r="F60" s="747"/>
    </row>
    <row r="61" spans="1:6" s="742" customFormat="1" ht="12.75">
      <c r="A61" s="743">
        <v>20599</v>
      </c>
      <c r="B61" s="3331" t="s">
        <v>1381</v>
      </c>
      <c r="C61" s="3332"/>
      <c r="D61" s="745"/>
      <c r="E61" s="746"/>
      <c r="F61" s="747"/>
    </row>
    <row r="62" spans="1:6" s="742" customFormat="1" ht="12.75">
      <c r="A62" s="741">
        <v>20600</v>
      </c>
      <c r="B62" s="3348" t="s">
        <v>1382</v>
      </c>
      <c r="C62" s="3349"/>
      <c r="D62" s="3349"/>
      <c r="E62" s="3349"/>
      <c r="F62" s="3350"/>
    </row>
    <row r="63" spans="1:6" s="742" customFormat="1" ht="12.75">
      <c r="A63" s="743">
        <v>20601</v>
      </c>
      <c r="B63" s="948" t="s">
        <v>1383</v>
      </c>
      <c r="C63" s="1109"/>
      <c r="D63" s="745"/>
      <c r="E63" s="746"/>
      <c r="F63" s="747"/>
    </row>
    <row r="64" spans="1:6" s="742" customFormat="1" ht="12.75">
      <c r="A64" s="743">
        <f>+A63+1</f>
        <v>20602</v>
      </c>
      <c r="B64" s="948" t="s">
        <v>1384</v>
      </c>
      <c r="C64" s="1109"/>
      <c r="D64" s="745"/>
      <c r="E64" s="746"/>
      <c r="F64" s="747"/>
    </row>
    <row r="65" spans="1:6" s="742" customFormat="1" ht="12.75">
      <c r="A65" s="743">
        <f t="shared" ref="A65:A67" si="4">+A64+1</f>
        <v>20603</v>
      </c>
      <c r="B65" s="948" t="s">
        <v>1385</v>
      </c>
      <c r="C65" s="1109"/>
      <c r="D65" s="745"/>
      <c r="E65" s="746"/>
      <c r="F65" s="747"/>
    </row>
    <row r="66" spans="1:6" s="742" customFormat="1" ht="12.75">
      <c r="A66" s="743">
        <f t="shared" si="4"/>
        <v>20604</v>
      </c>
      <c r="B66" s="948" t="s">
        <v>1386</v>
      </c>
      <c r="C66" s="1109"/>
      <c r="D66" s="745"/>
      <c r="E66" s="746"/>
      <c r="F66" s="747"/>
    </row>
    <row r="67" spans="1:6" s="742" customFormat="1" ht="25.5">
      <c r="A67" s="743">
        <f t="shared" si="4"/>
        <v>20605</v>
      </c>
      <c r="B67" s="948" t="s">
        <v>1387</v>
      </c>
      <c r="C67" s="1109"/>
      <c r="D67" s="745"/>
      <c r="E67" s="746"/>
      <c r="F67" s="747"/>
    </row>
    <row r="68" spans="1:6" s="742" customFormat="1" ht="12.75">
      <c r="A68" s="743">
        <v>20699</v>
      </c>
      <c r="B68" s="3331" t="s">
        <v>1388</v>
      </c>
      <c r="C68" s="3332"/>
      <c r="D68" s="745"/>
      <c r="E68" s="746"/>
      <c r="F68" s="747"/>
    </row>
    <row r="69" spans="1:6" s="742" customFormat="1" ht="15" customHeight="1">
      <c r="A69" s="741">
        <v>20700</v>
      </c>
      <c r="B69" s="3348" t="s">
        <v>1389</v>
      </c>
      <c r="C69" s="3349"/>
      <c r="D69" s="3349"/>
      <c r="E69" s="3349"/>
      <c r="F69" s="3350"/>
    </row>
    <row r="70" spans="1:6" s="742" customFormat="1" ht="15" customHeight="1">
      <c r="A70" s="743"/>
      <c r="B70" s="1112" t="s">
        <v>1390</v>
      </c>
      <c r="C70" s="748"/>
      <c r="D70" s="745"/>
      <c r="E70" s="746"/>
      <c r="F70" s="747"/>
    </row>
    <row r="71" spans="1:6" s="742" customFormat="1" ht="15" customHeight="1">
      <c r="A71" s="743">
        <v>20701</v>
      </c>
      <c r="B71" s="948" t="s">
        <v>1391</v>
      </c>
      <c r="C71" s="1109"/>
      <c r="D71" s="745"/>
      <c r="E71" s="746"/>
      <c r="F71" s="747"/>
    </row>
    <row r="72" spans="1:6" s="742" customFormat="1" ht="15" customHeight="1">
      <c r="A72" s="743">
        <f>+A71+1</f>
        <v>20702</v>
      </c>
      <c r="B72" s="948" t="s">
        <v>1392</v>
      </c>
      <c r="C72" s="1109"/>
      <c r="D72" s="745"/>
      <c r="E72" s="746"/>
      <c r="F72" s="747"/>
    </row>
    <row r="73" spans="1:6" s="742" customFormat="1" ht="15" customHeight="1">
      <c r="A73" s="743">
        <f t="shared" ref="A73:A78" si="5">+A72+1</f>
        <v>20703</v>
      </c>
      <c r="B73" s="948" t="s">
        <v>1393</v>
      </c>
      <c r="C73" s="1109"/>
      <c r="D73" s="745"/>
      <c r="E73" s="746"/>
      <c r="F73" s="747"/>
    </row>
    <row r="74" spans="1:6" s="742" customFormat="1" ht="15" customHeight="1">
      <c r="A74" s="743">
        <f t="shared" si="5"/>
        <v>20704</v>
      </c>
      <c r="B74" s="948" t="s">
        <v>1314</v>
      </c>
      <c r="C74" s="1109"/>
      <c r="D74" s="745"/>
      <c r="E74" s="746"/>
      <c r="F74" s="747"/>
    </row>
    <row r="75" spans="1:6" s="556" customFormat="1" ht="15" customHeight="1">
      <c r="A75" s="743">
        <f t="shared" si="5"/>
        <v>20705</v>
      </c>
      <c r="B75" s="948" t="s">
        <v>1307</v>
      </c>
      <c r="C75" s="1109"/>
      <c r="D75" s="1110"/>
      <c r="E75" s="1111"/>
      <c r="F75" s="1111"/>
    </row>
    <row r="76" spans="1:6" s="742" customFormat="1" ht="15" customHeight="1">
      <c r="A76" s="743">
        <f t="shared" si="5"/>
        <v>20706</v>
      </c>
      <c r="B76" s="948" t="s">
        <v>1394</v>
      </c>
      <c r="C76" s="1109"/>
      <c r="D76" s="745"/>
      <c r="E76" s="746"/>
      <c r="F76" s="747"/>
    </row>
    <row r="77" spans="1:6" s="742" customFormat="1" ht="15" customHeight="1">
      <c r="A77" s="743">
        <f t="shared" si="5"/>
        <v>20707</v>
      </c>
      <c r="B77" s="948" t="s">
        <v>1395</v>
      </c>
      <c r="C77" s="1109"/>
      <c r="D77" s="745"/>
      <c r="E77" s="746"/>
      <c r="F77" s="747"/>
    </row>
    <row r="78" spans="1:6" s="556" customFormat="1" ht="25.5">
      <c r="A78" s="743">
        <f t="shared" si="5"/>
        <v>20708</v>
      </c>
      <c r="B78" s="948" t="s">
        <v>1396</v>
      </c>
      <c r="C78" s="1109"/>
      <c r="D78" s="1110"/>
      <c r="E78" s="1111"/>
      <c r="F78" s="1111"/>
    </row>
    <row r="79" spans="1:6" s="742" customFormat="1" ht="16.5" customHeight="1">
      <c r="A79" s="743">
        <f>+A78+1</f>
        <v>20709</v>
      </c>
      <c r="B79" s="948" t="s">
        <v>1397</v>
      </c>
      <c r="C79" s="1109"/>
      <c r="D79" s="745"/>
      <c r="E79" s="746"/>
      <c r="F79" s="747"/>
    </row>
    <row r="80" spans="1:6" s="742" customFormat="1" ht="12.75">
      <c r="A80" s="743"/>
      <c r="B80" s="1112" t="s">
        <v>1398</v>
      </c>
      <c r="C80" s="1109"/>
      <c r="D80" s="745"/>
      <c r="E80" s="746"/>
      <c r="F80" s="747"/>
    </row>
    <row r="81" spans="1:6" s="742" customFormat="1" ht="12.75">
      <c r="A81" s="743">
        <f>+A79+1</f>
        <v>20710</v>
      </c>
      <c r="B81" s="948" t="s">
        <v>1319</v>
      </c>
      <c r="C81" s="1109"/>
      <c r="D81" s="745"/>
      <c r="E81" s="746"/>
      <c r="F81" s="747"/>
    </row>
    <row r="82" spans="1:6" s="742" customFormat="1" ht="12.75">
      <c r="A82" s="743">
        <f>+A81+1</f>
        <v>20711</v>
      </c>
      <c r="B82" s="948" t="s">
        <v>1399</v>
      </c>
      <c r="C82" s="1109"/>
      <c r="D82" s="745"/>
      <c r="E82" s="746"/>
      <c r="F82" s="747"/>
    </row>
    <row r="83" spans="1:6" s="742" customFormat="1" ht="12.75">
      <c r="A83" s="743">
        <f t="shared" ref="A83:A85" si="6">+A82+1</f>
        <v>20712</v>
      </c>
      <c r="B83" s="948" t="s">
        <v>1400</v>
      </c>
      <c r="C83" s="1109"/>
      <c r="D83" s="745"/>
      <c r="E83" s="746"/>
      <c r="F83" s="747"/>
    </row>
    <row r="84" spans="1:6" s="742" customFormat="1" ht="12.75">
      <c r="A84" s="743">
        <f t="shared" si="6"/>
        <v>20713</v>
      </c>
      <c r="B84" s="948" t="s">
        <v>1401</v>
      </c>
      <c r="C84" s="1109"/>
      <c r="D84" s="745"/>
      <c r="E84" s="746"/>
      <c r="F84" s="747"/>
    </row>
    <row r="85" spans="1:6" s="742" customFormat="1" ht="12.75">
      <c r="A85" s="743">
        <f t="shared" si="6"/>
        <v>20714</v>
      </c>
      <c r="B85" s="948" t="s">
        <v>1402</v>
      </c>
      <c r="C85" s="1109"/>
      <c r="D85" s="745"/>
      <c r="E85" s="746"/>
      <c r="F85" s="747"/>
    </row>
    <row r="86" spans="1:6" s="742" customFormat="1" ht="12.75">
      <c r="A86" s="743">
        <v>20799</v>
      </c>
      <c r="B86" s="3331" t="s">
        <v>1403</v>
      </c>
      <c r="C86" s="3332"/>
      <c r="D86" s="745"/>
      <c r="E86" s="746"/>
      <c r="F86" s="747"/>
    </row>
    <row r="87" spans="1:6" s="938" customFormat="1" ht="12.75">
      <c r="A87" s="937">
        <v>20800</v>
      </c>
      <c r="B87" s="3348" t="s">
        <v>1404</v>
      </c>
      <c r="C87" s="3349"/>
      <c r="D87" s="3349"/>
      <c r="E87" s="3349"/>
      <c r="F87" s="3350"/>
    </row>
    <row r="88" spans="1:6" s="938" customFormat="1" ht="12.75">
      <c r="A88" s="939">
        <v>20801</v>
      </c>
      <c r="B88" s="948" t="s">
        <v>1405</v>
      </c>
      <c r="C88" s="1109"/>
      <c r="D88" s="941"/>
      <c r="E88" s="942"/>
      <c r="F88" s="943"/>
    </row>
    <row r="89" spans="1:6" s="938" customFormat="1" ht="12.75">
      <c r="A89" s="939">
        <f>+A88+1</f>
        <v>20802</v>
      </c>
      <c r="B89" s="948" t="s">
        <v>1406</v>
      </c>
      <c r="C89" s="1109"/>
      <c r="D89" s="941"/>
      <c r="E89" s="942"/>
      <c r="F89" s="943"/>
    </row>
    <row r="90" spans="1:6" s="938" customFormat="1" ht="12.75">
      <c r="A90" s="939">
        <f t="shared" ref="A90:A95" si="7">+A89+1</f>
        <v>20803</v>
      </c>
      <c r="B90" s="948" t="s">
        <v>1407</v>
      </c>
      <c r="C90" s="1109"/>
      <c r="D90" s="941"/>
      <c r="E90" s="942"/>
      <c r="F90" s="943"/>
    </row>
    <row r="91" spans="1:6" s="938" customFormat="1" ht="12.75">
      <c r="A91" s="939">
        <f t="shared" si="7"/>
        <v>20804</v>
      </c>
      <c r="B91" s="948" t="s">
        <v>1408</v>
      </c>
      <c r="C91" s="1109"/>
      <c r="D91" s="941"/>
      <c r="E91" s="942"/>
      <c r="F91" s="943"/>
    </row>
    <row r="92" spans="1:6" s="938" customFormat="1" ht="12.75">
      <c r="A92" s="939">
        <f t="shared" si="7"/>
        <v>20805</v>
      </c>
      <c r="B92" s="948" t="s">
        <v>1409</v>
      </c>
      <c r="C92" s="1109"/>
      <c r="D92" s="941"/>
      <c r="E92" s="942"/>
      <c r="F92" s="943"/>
    </row>
    <row r="93" spans="1:6" s="742" customFormat="1" ht="12.75">
      <c r="A93" s="939">
        <f t="shared" si="7"/>
        <v>20806</v>
      </c>
      <c r="B93" s="948" t="s">
        <v>1410</v>
      </c>
      <c r="C93" s="1109"/>
      <c r="D93" s="745"/>
      <c r="E93" s="746"/>
      <c r="F93" s="747"/>
    </row>
    <row r="94" spans="1:6" s="742" customFormat="1" ht="12.75">
      <c r="A94" s="939">
        <f t="shared" si="7"/>
        <v>20807</v>
      </c>
      <c r="B94" s="948" t="s">
        <v>1411</v>
      </c>
      <c r="C94" s="1109"/>
      <c r="D94" s="745"/>
      <c r="E94" s="746"/>
      <c r="F94" s="747"/>
    </row>
    <row r="95" spans="1:6" s="742" customFormat="1" ht="12.75">
      <c r="A95" s="939">
        <f t="shared" si="7"/>
        <v>20808</v>
      </c>
      <c r="B95" s="948" t="s">
        <v>1412</v>
      </c>
      <c r="C95" s="1109"/>
      <c r="D95" s="745"/>
      <c r="E95" s="746"/>
      <c r="F95" s="747"/>
    </row>
    <row r="96" spans="1:6" s="742" customFormat="1" ht="12.75">
      <c r="A96" s="743">
        <v>20899</v>
      </c>
      <c r="B96" s="3331" t="s">
        <v>1413</v>
      </c>
      <c r="C96" s="3332"/>
      <c r="D96" s="745"/>
      <c r="E96" s="746"/>
      <c r="F96" s="747"/>
    </row>
    <row r="97" spans="1:6" s="742" customFormat="1" ht="15" customHeight="1">
      <c r="A97" s="741">
        <v>20900</v>
      </c>
      <c r="B97" s="3348" t="s">
        <v>1414</v>
      </c>
      <c r="C97" s="3349"/>
      <c r="D97" s="3349"/>
      <c r="E97" s="3349"/>
      <c r="F97" s="3350"/>
    </row>
    <row r="98" spans="1:6" s="742" customFormat="1" ht="15" customHeight="1">
      <c r="A98" s="743"/>
      <c r="B98" s="1112" t="s">
        <v>1415</v>
      </c>
      <c r="C98" s="748"/>
      <c r="D98" s="745"/>
      <c r="E98" s="746"/>
      <c r="F98" s="747"/>
    </row>
    <row r="99" spans="1:6" s="742" customFormat="1" ht="15" customHeight="1">
      <c r="A99" s="743">
        <v>20901</v>
      </c>
      <c r="B99" s="948" t="s">
        <v>1416</v>
      </c>
      <c r="C99" s="744"/>
      <c r="D99" s="745"/>
      <c r="E99" s="746"/>
      <c r="F99" s="747"/>
    </row>
    <row r="100" spans="1:6" s="742" customFormat="1" ht="15" customHeight="1">
      <c r="A100" s="743">
        <f>+A99+1</f>
        <v>20902</v>
      </c>
      <c r="B100" s="948" t="s">
        <v>1276</v>
      </c>
      <c r="C100" s="744"/>
      <c r="D100" s="745"/>
      <c r="E100" s="746"/>
      <c r="F100" s="747"/>
    </row>
    <row r="101" spans="1:6" s="742" customFormat="1" ht="15" customHeight="1">
      <c r="A101" s="743">
        <f t="shared" ref="A101:A111" si="8">+A100+1</f>
        <v>20903</v>
      </c>
      <c r="B101" s="948" t="s">
        <v>1278</v>
      </c>
      <c r="C101" s="744"/>
      <c r="D101" s="745"/>
      <c r="E101" s="746"/>
      <c r="F101" s="747"/>
    </row>
    <row r="102" spans="1:6" s="742" customFormat="1" ht="15" customHeight="1">
      <c r="A102" s="743">
        <f t="shared" si="8"/>
        <v>20904</v>
      </c>
      <c r="B102" s="948" t="s">
        <v>1280</v>
      </c>
      <c r="C102" s="744"/>
      <c r="D102" s="745"/>
      <c r="E102" s="746"/>
      <c r="F102" s="747"/>
    </row>
    <row r="103" spans="1:6" s="742" customFormat="1" ht="15" customHeight="1">
      <c r="A103" s="743">
        <f t="shared" si="8"/>
        <v>20905</v>
      </c>
      <c r="B103" s="948" t="s">
        <v>1282</v>
      </c>
      <c r="C103" s="744"/>
      <c r="D103" s="745"/>
      <c r="E103" s="746"/>
      <c r="F103" s="747"/>
    </row>
    <row r="104" spans="1:6" s="742" customFormat="1" ht="15" customHeight="1">
      <c r="A104" s="743">
        <f t="shared" si="8"/>
        <v>20906</v>
      </c>
      <c r="B104" s="948" t="s">
        <v>1417</v>
      </c>
      <c r="C104" s="744"/>
      <c r="D104" s="745"/>
      <c r="E104" s="746"/>
      <c r="F104" s="747"/>
    </row>
    <row r="105" spans="1:6" s="742" customFormat="1" ht="25.5">
      <c r="A105" s="743">
        <f t="shared" si="8"/>
        <v>20907</v>
      </c>
      <c r="B105" s="948" t="s">
        <v>1418</v>
      </c>
      <c r="C105" s="744"/>
      <c r="D105" s="745"/>
      <c r="E105" s="746"/>
      <c r="F105" s="747"/>
    </row>
    <row r="106" spans="1:6" s="742" customFormat="1" ht="15" customHeight="1">
      <c r="A106" s="743">
        <f t="shared" si="8"/>
        <v>20908</v>
      </c>
      <c r="B106" s="948" t="s">
        <v>1419</v>
      </c>
      <c r="C106" s="744"/>
      <c r="D106" s="745"/>
      <c r="E106" s="746"/>
      <c r="F106" s="747"/>
    </row>
    <row r="107" spans="1:6" s="742" customFormat="1" ht="15" customHeight="1">
      <c r="A107" s="743">
        <f t="shared" si="8"/>
        <v>20909</v>
      </c>
      <c r="B107" s="948" t="s">
        <v>1292</v>
      </c>
      <c r="C107" s="744"/>
      <c r="D107" s="745"/>
      <c r="E107" s="746"/>
      <c r="F107" s="747"/>
    </row>
    <row r="108" spans="1:6" s="742" customFormat="1" ht="15" customHeight="1">
      <c r="A108" s="743">
        <f t="shared" si="8"/>
        <v>20910</v>
      </c>
      <c r="B108" s="948" t="s">
        <v>1420</v>
      </c>
      <c r="C108" s="744"/>
      <c r="D108" s="745"/>
      <c r="E108" s="746"/>
      <c r="F108" s="747"/>
    </row>
    <row r="109" spans="1:6" s="742" customFormat="1" ht="15" customHeight="1">
      <c r="A109" s="743">
        <f t="shared" si="8"/>
        <v>20911</v>
      </c>
      <c r="B109" s="948" t="s">
        <v>1421</v>
      </c>
      <c r="C109" s="744"/>
      <c r="D109" s="745"/>
      <c r="E109" s="746"/>
      <c r="F109" s="747"/>
    </row>
    <row r="110" spans="1:6" s="742" customFormat="1" ht="25.5">
      <c r="A110" s="743">
        <f t="shared" si="8"/>
        <v>20912</v>
      </c>
      <c r="B110" s="948" t="s">
        <v>1422</v>
      </c>
      <c r="C110" s="744"/>
      <c r="D110" s="745"/>
      <c r="E110" s="746"/>
      <c r="F110" s="747"/>
    </row>
    <row r="111" spans="1:6" s="742" customFormat="1" ht="25.5">
      <c r="A111" s="743">
        <f t="shared" si="8"/>
        <v>20913</v>
      </c>
      <c r="B111" s="948" t="s">
        <v>1423</v>
      </c>
      <c r="C111" s="744"/>
      <c r="D111" s="745"/>
      <c r="E111" s="746"/>
      <c r="F111" s="747"/>
    </row>
    <row r="112" spans="1:6" s="742" customFormat="1" ht="12.75">
      <c r="A112" s="743"/>
      <c r="B112" s="1112" t="s">
        <v>1424</v>
      </c>
      <c r="C112" s="748"/>
      <c r="D112" s="745"/>
      <c r="E112" s="746"/>
      <c r="F112" s="747"/>
    </row>
    <row r="113" spans="1:6" s="742" customFormat="1" ht="12.75">
      <c r="A113" s="743">
        <f>+A111+1</f>
        <v>20914</v>
      </c>
      <c r="B113" s="948" t="s">
        <v>1425</v>
      </c>
      <c r="C113" s="1109"/>
      <c r="D113" s="745"/>
      <c r="E113" s="746"/>
      <c r="F113" s="747"/>
    </row>
    <row r="114" spans="1:6" s="742" customFormat="1" ht="12.75">
      <c r="A114" s="743">
        <f>+A113+1</f>
        <v>20915</v>
      </c>
      <c r="B114" s="948" t="s">
        <v>1426</v>
      </c>
      <c r="C114" s="1109"/>
      <c r="D114" s="745"/>
      <c r="E114" s="746"/>
      <c r="F114" s="747"/>
    </row>
    <row r="115" spans="1:6" s="556" customFormat="1" ht="25.5">
      <c r="A115" s="743">
        <f t="shared" ref="A115:A116" si="9">+A114+1</f>
        <v>20916</v>
      </c>
      <c r="B115" s="948" t="s">
        <v>1427</v>
      </c>
      <c r="C115" s="1109"/>
      <c r="D115" s="1110"/>
      <c r="E115" s="1111"/>
      <c r="F115" s="1111"/>
    </row>
    <row r="116" spans="1:6" s="556" customFormat="1" ht="12.75">
      <c r="A116" s="743">
        <f t="shared" si="9"/>
        <v>20917</v>
      </c>
      <c r="B116" s="948" t="s">
        <v>1428</v>
      </c>
      <c r="C116" s="1109"/>
      <c r="D116" s="1110"/>
      <c r="E116" s="1111"/>
      <c r="F116" s="1111"/>
    </row>
    <row r="117" spans="1:6" s="742" customFormat="1" ht="12.75">
      <c r="A117" s="743">
        <v>20999</v>
      </c>
      <c r="B117" s="3331" t="s">
        <v>1429</v>
      </c>
      <c r="C117" s="3332"/>
      <c r="D117" s="745"/>
      <c r="E117" s="746"/>
      <c r="F117" s="747"/>
    </row>
    <row r="118" spans="1:6" s="742" customFormat="1" ht="12.75">
      <c r="A118" s="741">
        <v>21000</v>
      </c>
      <c r="B118" s="3348" t="s">
        <v>1430</v>
      </c>
      <c r="C118" s="3349"/>
      <c r="D118" s="3349"/>
      <c r="E118" s="3349"/>
      <c r="F118" s="3350"/>
    </row>
    <row r="119" spans="1:6" s="742" customFormat="1" ht="12.75">
      <c r="A119" s="743">
        <v>21001</v>
      </c>
      <c r="B119" s="948" t="s">
        <v>1431</v>
      </c>
      <c r="C119" s="1109"/>
      <c r="D119" s="745"/>
      <c r="E119" s="746"/>
      <c r="F119" s="747"/>
    </row>
    <row r="120" spans="1:6" s="742" customFormat="1" ht="12.75">
      <c r="A120" s="743">
        <f>+A119+1</f>
        <v>21002</v>
      </c>
      <c r="B120" s="948" t="s">
        <v>1432</v>
      </c>
      <c r="C120" s="1109"/>
      <c r="D120" s="745"/>
      <c r="E120" s="746"/>
      <c r="F120" s="747"/>
    </row>
    <row r="121" spans="1:6" s="742" customFormat="1" ht="12.75">
      <c r="A121" s="743">
        <f t="shared" ref="A121:A126" si="10">+A120+1</f>
        <v>21003</v>
      </c>
      <c r="B121" s="948" t="s">
        <v>1433</v>
      </c>
      <c r="C121" s="1109"/>
      <c r="D121" s="745"/>
      <c r="E121" s="746"/>
      <c r="F121" s="747"/>
    </row>
    <row r="122" spans="1:6" s="742" customFormat="1" ht="12.75">
      <c r="A122" s="743">
        <f t="shared" si="10"/>
        <v>21004</v>
      </c>
      <c r="B122" s="948" t="s">
        <v>1434</v>
      </c>
      <c r="C122" s="1109"/>
      <c r="D122" s="745"/>
      <c r="E122" s="746"/>
      <c r="F122" s="747"/>
    </row>
    <row r="123" spans="1:6" s="742" customFormat="1" ht="12.75">
      <c r="A123" s="743">
        <f t="shared" si="10"/>
        <v>21005</v>
      </c>
      <c r="B123" s="948" t="s">
        <v>1435</v>
      </c>
      <c r="C123" s="1109"/>
      <c r="D123" s="745"/>
      <c r="E123" s="746"/>
      <c r="F123" s="747"/>
    </row>
    <row r="124" spans="1:6" s="742" customFormat="1" ht="12.75">
      <c r="A124" s="743">
        <f t="shared" si="10"/>
        <v>21006</v>
      </c>
      <c r="B124" s="948" t="s">
        <v>1436</v>
      </c>
      <c r="C124" s="1109"/>
      <c r="D124" s="745"/>
      <c r="E124" s="746"/>
      <c r="F124" s="747"/>
    </row>
    <row r="125" spans="1:6" s="742" customFormat="1" ht="12.75">
      <c r="A125" s="743">
        <f t="shared" si="10"/>
        <v>21007</v>
      </c>
      <c r="B125" s="948" t="s">
        <v>1437</v>
      </c>
      <c r="C125" s="1109"/>
      <c r="D125" s="745"/>
      <c r="E125" s="746"/>
      <c r="F125" s="747"/>
    </row>
    <row r="126" spans="1:6" s="742" customFormat="1" ht="25.5">
      <c r="A126" s="743">
        <f t="shared" si="10"/>
        <v>21008</v>
      </c>
      <c r="B126" s="948" t="s">
        <v>1438</v>
      </c>
      <c r="C126" s="1109"/>
      <c r="D126" s="745"/>
      <c r="E126" s="746"/>
      <c r="F126" s="747"/>
    </row>
    <row r="127" spans="1:6" s="742" customFormat="1" ht="12.75">
      <c r="A127" s="743">
        <v>21099</v>
      </c>
      <c r="B127" s="3331" t="s">
        <v>1439</v>
      </c>
      <c r="C127" s="3332"/>
      <c r="D127" s="745"/>
      <c r="E127" s="746"/>
      <c r="F127" s="747"/>
    </row>
    <row r="128" spans="1:6" s="742" customFormat="1" ht="12.75">
      <c r="A128" s="741">
        <v>21100</v>
      </c>
      <c r="B128" s="3348" t="s">
        <v>1440</v>
      </c>
      <c r="C128" s="3349"/>
      <c r="D128" s="3349"/>
      <c r="E128" s="3349"/>
      <c r="F128" s="3350"/>
    </row>
    <row r="129" spans="1:6" s="742" customFormat="1" ht="12.75">
      <c r="A129" s="743"/>
      <c r="B129" s="1113" t="s">
        <v>1441</v>
      </c>
      <c r="C129" s="1109"/>
      <c r="D129" s="745"/>
      <c r="E129" s="746"/>
      <c r="F129" s="747"/>
    </row>
    <row r="130" spans="1:6" s="742" customFormat="1" ht="25.5">
      <c r="A130" s="743">
        <v>21101</v>
      </c>
      <c r="B130" s="948" t="s">
        <v>1442</v>
      </c>
      <c r="C130" s="1109"/>
      <c r="D130" s="745"/>
      <c r="E130" s="746"/>
      <c r="F130" s="747"/>
    </row>
    <row r="131" spans="1:6" s="742" customFormat="1" ht="25.5">
      <c r="A131" s="743">
        <f>+A130+1</f>
        <v>21102</v>
      </c>
      <c r="B131" s="948" t="s">
        <v>1443</v>
      </c>
      <c r="C131" s="1114"/>
      <c r="D131" s="745"/>
      <c r="E131" s="746"/>
      <c r="F131" s="747"/>
    </row>
    <row r="132" spans="1:6" s="742" customFormat="1" ht="12.75">
      <c r="A132" s="743"/>
      <c r="B132" s="1113" t="s">
        <v>1444</v>
      </c>
      <c r="C132" s="1109"/>
      <c r="D132" s="745"/>
      <c r="E132" s="746"/>
      <c r="F132" s="747"/>
    </row>
    <row r="133" spans="1:6" s="742" customFormat="1" ht="25.5">
      <c r="A133" s="743">
        <f>+A131+1</f>
        <v>21103</v>
      </c>
      <c r="B133" s="948" t="s">
        <v>1445</v>
      </c>
      <c r="C133" s="1109"/>
      <c r="D133" s="745"/>
      <c r="E133" s="746"/>
      <c r="F133" s="747"/>
    </row>
    <row r="134" spans="1:6" s="1017" customFormat="1" ht="12.75">
      <c r="A134" s="741"/>
      <c r="B134" s="1112" t="s">
        <v>1446</v>
      </c>
      <c r="C134" s="1115"/>
      <c r="D134" s="1116"/>
      <c r="E134" s="1117"/>
      <c r="F134" s="1053"/>
    </row>
    <row r="135" spans="1:6" s="742" customFormat="1" ht="12.75">
      <c r="A135" s="743">
        <f>+A133+1</f>
        <v>21104</v>
      </c>
      <c r="B135" s="948" t="s">
        <v>1447</v>
      </c>
      <c r="C135" s="1109"/>
      <c r="D135" s="745"/>
      <c r="E135" s="746"/>
      <c r="F135" s="747"/>
    </row>
    <row r="136" spans="1:6" s="742" customFormat="1" ht="12.75">
      <c r="A136" s="743">
        <f t="shared" ref="A136:A138" si="11">+A135+1</f>
        <v>21105</v>
      </c>
      <c r="B136" s="948" t="s">
        <v>1448</v>
      </c>
      <c r="C136" s="1109"/>
      <c r="D136" s="745"/>
      <c r="E136" s="746"/>
      <c r="F136" s="747"/>
    </row>
    <row r="137" spans="1:6" s="742" customFormat="1" ht="38.25">
      <c r="A137" s="743">
        <f t="shared" si="11"/>
        <v>21106</v>
      </c>
      <c r="B137" s="948" t="s">
        <v>1449</v>
      </c>
      <c r="C137" s="1109"/>
      <c r="D137" s="745"/>
      <c r="E137" s="746"/>
      <c r="F137" s="747"/>
    </row>
    <row r="138" spans="1:6" s="742" customFormat="1" ht="25.5">
      <c r="A138" s="743">
        <f t="shared" si="11"/>
        <v>21107</v>
      </c>
      <c r="B138" s="948" t="s">
        <v>1450</v>
      </c>
      <c r="C138" s="1109"/>
      <c r="D138" s="745"/>
      <c r="E138" s="746"/>
      <c r="F138" s="747"/>
    </row>
    <row r="139" spans="1:6" s="742" customFormat="1" ht="12.75">
      <c r="A139" s="743">
        <v>21199</v>
      </c>
      <c r="B139" s="3331" t="s">
        <v>1451</v>
      </c>
      <c r="C139" s="3332"/>
      <c r="D139" s="745"/>
      <c r="E139" s="746"/>
      <c r="F139" s="747"/>
    </row>
    <row r="140" spans="1:6" s="742" customFormat="1" ht="12.75">
      <c r="A140" s="741">
        <v>21200</v>
      </c>
      <c r="B140" s="3348" t="s">
        <v>1452</v>
      </c>
      <c r="C140" s="3349"/>
      <c r="D140" s="3349"/>
      <c r="E140" s="3349"/>
      <c r="F140" s="3350"/>
    </row>
    <row r="141" spans="1:6" s="742" customFormat="1" ht="12.75">
      <c r="A141" s="741"/>
      <c r="B141" s="1118" t="s">
        <v>1453</v>
      </c>
      <c r="C141" s="749"/>
      <c r="D141" s="745"/>
      <c r="E141" s="746"/>
      <c r="F141" s="747"/>
    </row>
    <row r="142" spans="1:6" s="742" customFormat="1" ht="12.75">
      <c r="A142" s="743">
        <v>21201</v>
      </c>
      <c r="B142" s="948" t="s">
        <v>1454</v>
      </c>
      <c r="C142" s="749"/>
      <c r="D142" s="745"/>
      <c r="E142" s="746"/>
      <c r="F142" s="747"/>
    </row>
    <row r="143" spans="1:6" s="742" customFormat="1" ht="12.75">
      <c r="A143" s="743">
        <f>+A142+1</f>
        <v>21202</v>
      </c>
      <c r="B143" s="948" t="s">
        <v>1455</v>
      </c>
      <c r="C143" s="749"/>
      <c r="D143" s="745"/>
      <c r="E143" s="746"/>
      <c r="F143" s="747"/>
    </row>
    <row r="144" spans="1:6" s="742" customFormat="1" ht="12.75">
      <c r="A144" s="743">
        <f t="shared" ref="A144:A153" si="12">+A143+1</f>
        <v>21203</v>
      </c>
      <c r="B144" s="948" t="s">
        <v>1456</v>
      </c>
      <c r="C144" s="749"/>
      <c r="D144" s="745"/>
      <c r="E144" s="746"/>
      <c r="F144" s="747"/>
    </row>
    <row r="145" spans="1:6" s="742" customFormat="1" ht="12.75">
      <c r="A145" s="743">
        <f t="shared" si="12"/>
        <v>21204</v>
      </c>
      <c r="B145" s="948" t="s">
        <v>1457</v>
      </c>
      <c r="C145" s="749"/>
      <c r="D145" s="745"/>
      <c r="E145" s="746"/>
      <c r="F145" s="747"/>
    </row>
    <row r="146" spans="1:6" s="742" customFormat="1" ht="12.75">
      <c r="A146" s="743">
        <f t="shared" si="12"/>
        <v>21205</v>
      </c>
      <c r="B146" s="1119" t="s">
        <v>1458</v>
      </c>
      <c r="C146" s="750"/>
      <c r="D146" s="745"/>
      <c r="E146" s="746"/>
      <c r="F146" s="747"/>
    </row>
    <row r="147" spans="1:6" s="742" customFormat="1" ht="12.75">
      <c r="A147" s="743">
        <f t="shared" si="12"/>
        <v>21206</v>
      </c>
      <c r="B147" s="1119" t="s">
        <v>1459</v>
      </c>
      <c r="C147" s="750"/>
      <c r="D147" s="745"/>
      <c r="E147" s="746"/>
      <c r="F147" s="747"/>
    </row>
    <row r="148" spans="1:6" s="742" customFormat="1" ht="12.75">
      <c r="A148" s="743">
        <f t="shared" si="12"/>
        <v>21207</v>
      </c>
      <c r="B148" s="1119" t="s">
        <v>1460</v>
      </c>
      <c r="C148" s="750"/>
      <c r="D148" s="745"/>
      <c r="E148" s="746"/>
      <c r="F148" s="747"/>
    </row>
    <row r="149" spans="1:6" s="742" customFormat="1" ht="12.75">
      <c r="A149" s="743">
        <f t="shared" si="12"/>
        <v>21208</v>
      </c>
      <c r="B149" s="1119" t="s">
        <v>1461</v>
      </c>
      <c r="C149" s="750"/>
      <c r="D149" s="745"/>
      <c r="E149" s="746"/>
      <c r="F149" s="747"/>
    </row>
    <row r="150" spans="1:6" s="742" customFormat="1" ht="12.75">
      <c r="A150" s="743">
        <f t="shared" si="12"/>
        <v>21209</v>
      </c>
      <c r="B150" s="1119" t="s">
        <v>1462</v>
      </c>
      <c r="C150" s="750"/>
      <c r="D150" s="745"/>
      <c r="E150" s="746"/>
      <c r="F150" s="747"/>
    </row>
    <row r="151" spans="1:6" s="742" customFormat="1" ht="12.75">
      <c r="A151" s="743">
        <f t="shared" si="12"/>
        <v>21210</v>
      </c>
      <c r="B151" s="1119" t="s">
        <v>1463</v>
      </c>
      <c r="C151" s="750"/>
      <c r="D151" s="745"/>
      <c r="E151" s="746"/>
      <c r="F151" s="747"/>
    </row>
    <row r="152" spans="1:6" s="742" customFormat="1" ht="12.75">
      <c r="A152" s="743">
        <f>+A151+1</f>
        <v>21211</v>
      </c>
      <c r="B152" s="1119" t="s">
        <v>1464</v>
      </c>
      <c r="C152" s="750"/>
      <c r="D152" s="745"/>
      <c r="E152" s="746"/>
      <c r="F152" s="747"/>
    </row>
    <row r="153" spans="1:6" s="556" customFormat="1" ht="30" customHeight="1">
      <c r="A153" s="743">
        <f t="shared" si="12"/>
        <v>21212</v>
      </c>
      <c r="B153" s="1119" t="s">
        <v>1465</v>
      </c>
      <c r="C153" s="1109"/>
      <c r="D153" s="1110"/>
      <c r="E153" s="1111"/>
      <c r="F153" s="1111"/>
    </row>
    <row r="154" spans="1:6" s="950" customFormat="1" ht="12.75">
      <c r="A154" s="949"/>
      <c r="B154" s="3348" t="s">
        <v>1466</v>
      </c>
      <c r="C154" s="3349"/>
      <c r="D154" s="3349"/>
      <c r="E154" s="3349"/>
      <c r="F154" s="3350"/>
    </row>
    <row r="155" spans="1:6" s="742" customFormat="1" ht="12.75">
      <c r="A155" s="743">
        <f>+A153+1</f>
        <v>21213</v>
      </c>
      <c r="B155" s="948" t="s">
        <v>1467</v>
      </c>
      <c r="C155" s="1109"/>
      <c r="D155" s="745"/>
      <c r="E155" s="746"/>
      <c r="F155" s="747"/>
    </row>
    <row r="156" spans="1:6" s="742" customFormat="1" ht="27.75" customHeight="1">
      <c r="A156" s="743">
        <f>+A155+1</f>
        <v>21214</v>
      </c>
      <c r="B156" s="948" t="s">
        <v>1468</v>
      </c>
      <c r="C156" s="1109"/>
      <c r="D156" s="745"/>
      <c r="E156" s="746"/>
      <c r="F156" s="747"/>
    </row>
    <row r="157" spans="1:6" s="742" customFormat="1" ht="28.5" customHeight="1">
      <c r="A157" s="743">
        <f>+A156+1</f>
        <v>21215</v>
      </c>
      <c r="B157" s="948" t="s">
        <v>1469</v>
      </c>
      <c r="C157" s="1109"/>
      <c r="D157" s="745"/>
      <c r="E157" s="746"/>
      <c r="F157" s="747"/>
    </row>
    <row r="158" spans="1:6" s="742" customFormat="1" ht="12.75">
      <c r="A158" s="743">
        <v>21299</v>
      </c>
      <c r="B158" s="3331" t="s">
        <v>1470</v>
      </c>
      <c r="C158" s="3332"/>
      <c r="D158" s="745"/>
      <c r="E158" s="746"/>
      <c r="F158" s="747"/>
    </row>
    <row r="159" spans="1:6" s="742" customFormat="1" ht="12.75">
      <c r="A159" s="741">
        <v>21300</v>
      </c>
      <c r="B159" s="3348" t="s">
        <v>1471</v>
      </c>
      <c r="C159" s="3349"/>
      <c r="D159" s="3349"/>
      <c r="E159" s="3349"/>
      <c r="F159" s="3350"/>
    </row>
    <row r="160" spans="1:6" s="742" customFormat="1" ht="12.75">
      <c r="A160" s="741"/>
      <c r="B160" s="1113" t="s">
        <v>1472</v>
      </c>
      <c r="C160" s="1109"/>
      <c r="D160" s="745"/>
      <c r="E160" s="746"/>
      <c r="F160" s="747"/>
    </row>
    <row r="161" spans="1:6" s="742" customFormat="1" ht="27.75" customHeight="1">
      <c r="A161" s="743">
        <v>21301</v>
      </c>
      <c r="B161" s="1119" t="s">
        <v>1473</v>
      </c>
      <c r="C161" s="751"/>
      <c r="D161" s="745"/>
      <c r="E161" s="746"/>
      <c r="F161" s="747"/>
    </row>
    <row r="162" spans="1:6" s="742" customFormat="1" ht="12.75">
      <c r="A162" s="743">
        <f>+A161+1</f>
        <v>21302</v>
      </c>
      <c r="B162" s="1119" t="s">
        <v>1474</v>
      </c>
      <c r="C162" s="751"/>
      <c r="D162" s="745"/>
      <c r="E162" s="746"/>
      <c r="F162" s="747"/>
    </row>
    <row r="163" spans="1:6" s="742" customFormat="1" ht="27" customHeight="1">
      <c r="A163" s="743">
        <f t="shared" ref="A163:A166" si="13">+A162+1</f>
        <v>21303</v>
      </c>
      <c r="B163" s="1119" t="s">
        <v>1475</v>
      </c>
      <c r="C163" s="751"/>
      <c r="D163" s="745"/>
      <c r="E163" s="746"/>
      <c r="F163" s="747"/>
    </row>
    <row r="164" spans="1:6" s="742" customFormat="1" ht="12.75">
      <c r="A164" s="743">
        <f t="shared" si="13"/>
        <v>21304</v>
      </c>
      <c r="B164" s="1119" t="s">
        <v>1476</v>
      </c>
      <c r="C164" s="751"/>
      <c r="D164" s="745"/>
      <c r="E164" s="746"/>
      <c r="F164" s="747"/>
    </row>
    <row r="165" spans="1:6" s="742" customFormat="1" ht="28.5" customHeight="1">
      <c r="A165" s="743">
        <f t="shared" si="13"/>
        <v>21305</v>
      </c>
      <c r="B165" s="1119" t="s">
        <v>1477</v>
      </c>
      <c r="C165" s="751"/>
      <c r="D165" s="745"/>
      <c r="E165" s="746"/>
      <c r="F165" s="747"/>
    </row>
    <row r="166" spans="1:6" s="742" customFormat="1" ht="28.5" customHeight="1">
      <c r="A166" s="743">
        <f t="shared" si="13"/>
        <v>21306</v>
      </c>
      <c r="B166" s="1119" t="s">
        <v>1478</v>
      </c>
      <c r="C166" s="751"/>
      <c r="D166" s="745"/>
      <c r="E166" s="746"/>
      <c r="F166" s="747"/>
    </row>
    <row r="167" spans="1:6" s="742" customFormat="1" ht="12.75">
      <c r="A167" s="743"/>
      <c r="B167" s="1113" t="s">
        <v>1479</v>
      </c>
      <c r="C167" s="1109"/>
      <c r="D167" s="745"/>
      <c r="E167" s="746"/>
      <c r="F167" s="747"/>
    </row>
    <row r="168" spans="1:6" s="742" customFormat="1" ht="12.75">
      <c r="A168" s="743">
        <f>+A166+1</f>
        <v>21307</v>
      </c>
      <c r="B168" s="1119" t="s">
        <v>1480</v>
      </c>
      <c r="C168" s="1109"/>
      <c r="D168" s="745"/>
      <c r="E168" s="746"/>
      <c r="F168" s="747"/>
    </row>
    <row r="169" spans="1:6" s="742" customFormat="1" ht="12.75">
      <c r="A169" s="743">
        <f>+A168+1</f>
        <v>21308</v>
      </c>
      <c r="B169" s="1119" t="s">
        <v>1481</v>
      </c>
      <c r="C169" s="1109"/>
      <c r="D169" s="745"/>
      <c r="E169" s="746"/>
      <c r="F169" s="747"/>
    </row>
    <row r="170" spans="1:6" s="742" customFormat="1" ht="27.75" customHeight="1">
      <c r="A170" s="743">
        <f>+A169+1</f>
        <v>21309</v>
      </c>
      <c r="B170" s="1119" t="s">
        <v>1482</v>
      </c>
      <c r="C170" s="1109"/>
      <c r="D170" s="745"/>
      <c r="E170" s="746"/>
      <c r="F170" s="747"/>
    </row>
    <row r="171" spans="1:6" s="742" customFormat="1" ht="12.75">
      <c r="A171" s="743"/>
      <c r="B171" s="1112" t="s">
        <v>1483</v>
      </c>
      <c r="C171" s="1109"/>
      <c r="D171" s="745"/>
      <c r="E171" s="746"/>
      <c r="F171" s="747"/>
    </row>
    <row r="172" spans="1:6" s="742" customFormat="1" ht="12.75">
      <c r="A172" s="743">
        <f>+A170+1</f>
        <v>21310</v>
      </c>
      <c r="B172" s="1120" t="s">
        <v>1483</v>
      </c>
      <c r="C172" s="948"/>
      <c r="D172" s="745"/>
      <c r="E172" s="746"/>
      <c r="F172" s="747"/>
    </row>
    <row r="173" spans="1:6" s="742" customFormat="1" ht="12.75">
      <c r="A173" s="743">
        <v>21399</v>
      </c>
      <c r="B173" s="3331" t="s">
        <v>1484</v>
      </c>
      <c r="C173" s="3332"/>
      <c r="D173" s="745"/>
      <c r="E173" s="746"/>
      <c r="F173" s="747"/>
    </row>
    <row r="174" spans="1:6" s="742" customFormat="1" ht="12.75">
      <c r="A174" s="741">
        <v>21400</v>
      </c>
      <c r="B174" s="3348" t="s">
        <v>1485</v>
      </c>
      <c r="C174" s="3349"/>
      <c r="D174" s="3349"/>
      <c r="E174" s="3349"/>
      <c r="F174" s="3350"/>
    </row>
    <row r="175" spans="1:6" s="742" customFormat="1" ht="12.75">
      <c r="A175" s="743"/>
      <c r="B175" s="1112" t="s">
        <v>1486</v>
      </c>
      <c r="C175" s="748"/>
      <c r="D175" s="745"/>
      <c r="E175" s="746"/>
      <c r="F175" s="747"/>
    </row>
    <row r="176" spans="1:6" s="742" customFormat="1" ht="12.75">
      <c r="A176" s="743">
        <v>21401</v>
      </c>
      <c r="B176" s="948" t="s">
        <v>1308</v>
      </c>
      <c r="C176" s="1109"/>
      <c r="D176" s="745"/>
      <c r="E176" s="746"/>
      <c r="F176" s="747"/>
    </row>
    <row r="177" spans="1:6" s="742" customFormat="1" ht="12.75">
      <c r="A177" s="743">
        <f>+A176+1</f>
        <v>21402</v>
      </c>
      <c r="B177" s="948" t="s">
        <v>1487</v>
      </c>
      <c r="C177" s="1109"/>
      <c r="D177" s="745"/>
      <c r="E177" s="746"/>
      <c r="F177" s="747"/>
    </row>
    <row r="178" spans="1:6" s="742" customFormat="1" ht="12.75">
      <c r="A178" s="743">
        <f t="shared" ref="A178:A180" si="14">+A177+1</f>
        <v>21403</v>
      </c>
      <c r="B178" s="948" t="s">
        <v>265</v>
      </c>
      <c r="C178" s="1109"/>
      <c r="D178" s="745"/>
      <c r="E178" s="746"/>
      <c r="F178" s="747"/>
    </row>
    <row r="179" spans="1:6" s="742" customFormat="1" ht="12.75">
      <c r="A179" s="743">
        <f t="shared" si="14"/>
        <v>21404</v>
      </c>
      <c r="B179" s="948" t="s">
        <v>260</v>
      </c>
      <c r="C179" s="1109"/>
      <c r="D179" s="745"/>
      <c r="E179" s="746"/>
      <c r="F179" s="747"/>
    </row>
    <row r="180" spans="1:6" s="742" customFormat="1" ht="12.75">
      <c r="A180" s="743">
        <f t="shared" si="14"/>
        <v>21405</v>
      </c>
      <c r="B180" s="948" t="s">
        <v>1488</v>
      </c>
      <c r="C180" s="1109"/>
      <c r="D180" s="745"/>
      <c r="E180" s="746"/>
      <c r="F180" s="747"/>
    </row>
    <row r="181" spans="1:6" s="742" customFormat="1" ht="12.75">
      <c r="A181" s="743"/>
      <c r="B181" s="1112" t="s">
        <v>1489</v>
      </c>
      <c r="C181" s="748"/>
      <c r="D181" s="745"/>
      <c r="E181" s="746"/>
      <c r="F181" s="747"/>
    </row>
    <row r="182" spans="1:6" s="742" customFormat="1" ht="12.75">
      <c r="A182" s="743">
        <f>+A180+1</f>
        <v>21406</v>
      </c>
      <c r="B182" s="948" t="s">
        <v>1490</v>
      </c>
      <c r="C182" s="1109"/>
      <c r="D182" s="745"/>
      <c r="E182" s="746"/>
      <c r="F182" s="747"/>
    </row>
    <row r="183" spans="1:6" s="742" customFormat="1" ht="12.75">
      <c r="A183" s="743">
        <f t="shared" ref="A183:A189" si="15">+A182+1</f>
        <v>21407</v>
      </c>
      <c r="B183" s="948" t="s">
        <v>1491</v>
      </c>
      <c r="C183" s="1109"/>
      <c r="D183" s="745"/>
      <c r="E183" s="746"/>
      <c r="F183" s="747"/>
    </row>
    <row r="184" spans="1:6" s="742" customFormat="1" ht="12.75">
      <c r="A184" s="743">
        <f t="shared" si="15"/>
        <v>21408</v>
      </c>
      <c r="B184" s="948" t="s">
        <v>1492</v>
      </c>
      <c r="C184" s="1109"/>
      <c r="D184" s="745"/>
      <c r="E184" s="746"/>
      <c r="F184" s="747"/>
    </row>
    <row r="185" spans="1:6" s="742" customFormat="1" ht="12.75">
      <c r="A185" s="743">
        <f t="shared" si="15"/>
        <v>21409</v>
      </c>
      <c r="B185" s="948" t="s">
        <v>1493</v>
      </c>
      <c r="C185" s="1109"/>
      <c r="D185" s="745"/>
      <c r="E185" s="746"/>
      <c r="F185" s="747"/>
    </row>
    <row r="186" spans="1:6" s="742" customFormat="1" ht="12.75">
      <c r="A186" s="743">
        <f t="shared" si="15"/>
        <v>21410</v>
      </c>
      <c r="B186" s="948" t="s">
        <v>1494</v>
      </c>
      <c r="C186" s="1109"/>
      <c r="D186" s="745"/>
      <c r="E186" s="746"/>
      <c r="F186" s="747"/>
    </row>
    <row r="187" spans="1:6" s="742" customFormat="1" ht="12.75">
      <c r="A187" s="743">
        <f t="shared" si="15"/>
        <v>21411</v>
      </c>
      <c r="B187" s="948" t="s">
        <v>1495</v>
      </c>
      <c r="C187" s="1109"/>
      <c r="D187" s="745"/>
      <c r="E187" s="746"/>
      <c r="F187" s="747"/>
    </row>
    <row r="188" spans="1:6" s="742" customFormat="1" ht="12.75">
      <c r="A188" s="743">
        <f t="shared" si="15"/>
        <v>21412</v>
      </c>
      <c r="B188" s="948" t="s">
        <v>1496</v>
      </c>
      <c r="C188" s="1109"/>
      <c r="D188" s="745"/>
      <c r="E188" s="746"/>
      <c r="F188" s="747"/>
    </row>
    <row r="189" spans="1:6" s="742" customFormat="1" ht="25.5">
      <c r="A189" s="743">
        <f t="shared" si="15"/>
        <v>21413</v>
      </c>
      <c r="B189" s="948" t="s">
        <v>1497</v>
      </c>
      <c r="C189" s="1109"/>
      <c r="D189" s="745"/>
      <c r="E189" s="746"/>
      <c r="F189" s="747"/>
    </row>
    <row r="190" spans="1:6" s="742" customFormat="1" ht="12.75">
      <c r="A190" s="741"/>
      <c r="B190" s="1113" t="s">
        <v>1498</v>
      </c>
      <c r="C190" s="1109"/>
      <c r="D190" s="745"/>
      <c r="E190" s="746"/>
      <c r="F190" s="747"/>
    </row>
    <row r="191" spans="1:6" s="742" customFormat="1" ht="12.75">
      <c r="A191" s="743">
        <f>+A189+1</f>
        <v>21414</v>
      </c>
      <c r="B191" s="948" t="s">
        <v>1499</v>
      </c>
      <c r="C191" s="1109"/>
      <c r="D191" s="745"/>
      <c r="E191" s="746"/>
      <c r="F191" s="747"/>
    </row>
    <row r="192" spans="1:6" s="742" customFormat="1" ht="12.75">
      <c r="A192" s="743">
        <f>+A191+1</f>
        <v>21415</v>
      </c>
      <c r="B192" s="948" t="s">
        <v>1500</v>
      </c>
      <c r="C192" s="1109"/>
      <c r="D192" s="745"/>
      <c r="E192" s="746"/>
      <c r="F192" s="747"/>
    </row>
    <row r="193" spans="1:6" s="742" customFormat="1" ht="25.5">
      <c r="A193" s="743">
        <f t="shared" ref="A193:A203" si="16">+A192+1</f>
        <v>21416</v>
      </c>
      <c r="B193" s="948" t="s">
        <v>1501</v>
      </c>
      <c r="C193" s="1109"/>
      <c r="D193" s="745"/>
      <c r="E193" s="746"/>
      <c r="F193" s="747"/>
    </row>
    <row r="194" spans="1:6" s="556" customFormat="1" ht="12.75">
      <c r="A194" s="743">
        <f t="shared" si="16"/>
        <v>21417</v>
      </c>
      <c r="B194" s="948" t="s">
        <v>1502</v>
      </c>
      <c r="C194" s="1109"/>
      <c r="D194" s="1110"/>
      <c r="E194" s="1111"/>
      <c r="F194" s="1111"/>
    </row>
    <row r="195" spans="1:6" s="742" customFormat="1" ht="12.75">
      <c r="A195" s="743">
        <f t="shared" si="16"/>
        <v>21418</v>
      </c>
      <c r="B195" s="948" t="s">
        <v>1503</v>
      </c>
      <c r="C195" s="1109"/>
      <c r="D195" s="745"/>
      <c r="E195" s="746"/>
      <c r="F195" s="747"/>
    </row>
    <row r="196" spans="1:6" s="742" customFormat="1" ht="12.75">
      <c r="A196" s="743">
        <f t="shared" si="16"/>
        <v>21419</v>
      </c>
      <c r="B196" s="948" t="s">
        <v>1504</v>
      </c>
      <c r="C196" s="1109"/>
      <c r="D196" s="745"/>
      <c r="E196" s="746"/>
      <c r="F196" s="747"/>
    </row>
    <row r="197" spans="1:6" s="742" customFormat="1" ht="12.75">
      <c r="A197" s="743">
        <f t="shared" si="16"/>
        <v>21420</v>
      </c>
      <c r="B197" s="948" t="s">
        <v>1505</v>
      </c>
      <c r="C197" s="1109"/>
      <c r="D197" s="745"/>
      <c r="E197" s="746"/>
      <c r="F197" s="747"/>
    </row>
    <row r="198" spans="1:6" s="742" customFormat="1" ht="12.75">
      <c r="A198" s="743">
        <f t="shared" si="16"/>
        <v>21421</v>
      </c>
      <c r="B198" s="948" t="s">
        <v>1506</v>
      </c>
      <c r="C198" s="1109"/>
      <c r="D198" s="745"/>
      <c r="E198" s="746"/>
      <c r="F198" s="747"/>
    </row>
    <row r="199" spans="1:6" s="742" customFormat="1" ht="12.75">
      <c r="A199" s="743">
        <f t="shared" si="16"/>
        <v>21422</v>
      </c>
      <c r="B199" s="948" t="s">
        <v>1507</v>
      </c>
      <c r="C199" s="1109"/>
      <c r="D199" s="745"/>
      <c r="E199" s="746"/>
      <c r="F199" s="747"/>
    </row>
    <row r="200" spans="1:6" s="742" customFormat="1" ht="12.75">
      <c r="A200" s="743">
        <f t="shared" si="16"/>
        <v>21423</v>
      </c>
      <c r="B200" s="948" t="s">
        <v>1508</v>
      </c>
      <c r="C200" s="1109"/>
      <c r="D200" s="745"/>
      <c r="E200" s="746"/>
      <c r="F200" s="747"/>
    </row>
    <row r="201" spans="1:6" s="742" customFormat="1" ht="12.75">
      <c r="A201" s="743">
        <f t="shared" si="16"/>
        <v>21424</v>
      </c>
      <c r="B201" s="948" t="s">
        <v>1509</v>
      </c>
      <c r="C201" s="1109"/>
      <c r="D201" s="745"/>
      <c r="E201" s="746"/>
      <c r="F201" s="747"/>
    </row>
    <row r="202" spans="1:6" s="556" customFormat="1" ht="12.75">
      <c r="A202" s="743">
        <f t="shared" si="16"/>
        <v>21425</v>
      </c>
      <c r="B202" s="948" t="s">
        <v>1510</v>
      </c>
      <c r="C202" s="1109"/>
      <c r="D202" s="1110"/>
      <c r="E202" s="1111"/>
      <c r="F202" s="1111"/>
    </row>
    <row r="203" spans="1:6" s="742" customFormat="1" ht="12.75">
      <c r="A203" s="743">
        <f t="shared" si="16"/>
        <v>21426</v>
      </c>
      <c r="B203" s="948" t="s">
        <v>1511</v>
      </c>
      <c r="C203" s="744"/>
      <c r="D203" s="745"/>
      <c r="E203" s="746"/>
      <c r="F203" s="747"/>
    </row>
    <row r="204" spans="1:6" s="742" customFormat="1" ht="12.75">
      <c r="A204" s="743">
        <v>21499</v>
      </c>
      <c r="B204" s="3331" t="s">
        <v>1512</v>
      </c>
      <c r="C204" s="3332"/>
      <c r="D204" s="745"/>
      <c r="E204" s="746"/>
      <c r="F204" s="747"/>
    </row>
    <row r="205" spans="1:6" s="742" customFormat="1" ht="12.75">
      <c r="A205" s="741">
        <v>21500</v>
      </c>
      <c r="B205" s="3348" t="s">
        <v>1513</v>
      </c>
      <c r="C205" s="3349"/>
      <c r="D205" s="3349"/>
      <c r="E205" s="3349"/>
      <c r="F205" s="3350"/>
    </row>
    <row r="206" spans="1:6" s="742" customFormat="1" ht="12.75">
      <c r="A206" s="743"/>
      <c r="B206" s="1112" t="s">
        <v>1514</v>
      </c>
      <c r="C206" s="748"/>
      <c r="D206" s="745"/>
      <c r="E206" s="746"/>
      <c r="F206" s="747"/>
    </row>
    <row r="207" spans="1:6" s="742" customFormat="1" ht="12.75">
      <c r="A207" s="743">
        <v>21501</v>
      </c>
      <c r="B207" s="948" t="s">
        <v>1515</v>
      </c>
      <c r="C207" s="744"/>
      <c r="D207" s="745"/>
      <c r="E207" s="746"/>
      <c r="F207" s="747"/>
    </row>
    <row r="208" spans="1:6" s="742" customFormat="1" ht="25.5">
      <c r="A208" s="743">
        <f>+A207+1</f>
        <v>21502</v>
      </c>
      <c r="B208" s="948" t="s">
        <v>1516</v>
      </c>
      <c r="C208" s="744"/>
      <c r="D208" s="745"/>
      <c r="E208" s="746"/>
      <c r="F208" s="747"/>
    </row>
    <row r="209" spans="1:6" s="742" customFormat="1" ht="12.75">
      <c r="A209" s="743"/>
      <c r="B209" s="1112" t="s">
        <v>1517</v>
      </c>
      <c r="C209" s="748"/>
      <c r="D209" s="745"/>
      <c r="E209" s="746"/>
      <c r="F209" s="747"/>
    </row>
    <row r="210" spans="1:6" s="742" customFormat="1" ht="12.75">
      <c r="A210" s="743">
        <f>+A208+1</f>
        <v>21503</v>
      </c>
      <c r="B210" s="948" t="s">
        <v>1518</v>
      </c>
      <c r="C210" s="1109"/>
      <c r="D210" s="745"/>
      <c r="E210" s="746"/>
      <c r="F210" s="747"/>
    </row>
    <row r="211" spans="1:6" s="742" customFormat="1" ht="12.75">
      <c r="A211" s="743">
        <f>+A210+1</f>
        <v>21504</v>
      </c>
      <c r="B211" s="948" t="s">
        <v>1519</v>
      </c>
      <c r="C211" s="1109"/>
      <c r="D211" s="745"/>
      <c r="E211" s="746"/>
      <c r="F211" s="747"/>
    </row>
    <row r="212" spans="1:6" s="742" customFormat="1" ht="12.75">
      <c r="A212" s="743">
        <f t="shared" ref="A212:A215" si="17">+A211+1</f>
        <v>21505</v>
      </c>
      <c r="B212" s="948" t="s">
        <v>1520</v>
      </c>
      <c r="C212" s="1109"/>
      <c r="D212" s="745"/>
      <c r="E212" s="746"/>
      <c r="F212" s="747"/>
    </row>
    <row r="213" spans="1:6" s="742" customFormat="1" ht="12.75">
      <c r="A213" s="743">
        <f t="shared" si="17"/>
        <v>21506</v>
      </c>
      <c r="B213" s="1119" t="s">
        <v>1521</v>
      </c>
      <c r="C213" s="1109"/>
      <c r="D213" s="745"/>
      <c r="E213" s="746"/>
      <c r="F213" s="747"/>
    </row>
    <row r="214" spans="1:6" s="742" customFormat="1" ht="12.75">
      <c r="A214" s="743">
        <f t="shared" si="17"/>
        <v>21507</v>
      </c>
      <c r="B214" s="1119" t="s">
        <v>1522</v>
      </c>
      <c r="C214" s="1109"/>
      <c r="D214" s="745"/>
      <c r="E214" s="746"/>
      <c r="F214" s="747"/>
    </row>
    <row r="215" spans="1:6" s="742" customFormat="1" ht="38.25">
      <c r="A215" s="743">
        <f t="shared" si="17"/>
        <v>21508</v>
      </c>
      <c r="B215" s="1119" t="s">
        <v>1523</v>
      </c>
      <c r="C215" s="1109"/>
      <c r="D215" s="745"/>
      <c r="E215" s="746"/>
      <c r="F215" s="747"/>
    </row>
    <row r="216" spans="1:6" s="742" customFormat="1" ht="12.75">
      <c r="A216" s="743"/>
      <c r="B216" s="1121" t="s">
        <v>1524</v>
      </c>
      <c r="C216" s="1120"/>
      <c r="D216" s="745"/>
      <c r="E216" s="746"/>
      <c r="F216" s="747"/>
    </row>
    <row r="217" spans="1:6" s="742" customFormat="1" ht="12.75">
      <c r="A217" s="743">
        <f>+A215+1</f>
        <v>21509</v>
      </c>
      <c r="B217" s="948" t="s">
        <v>1525</v>
      </c>
      <c r="C217" s="744"/>
      <c r="D217" s="745"/>
      <c r="E217" s="746"/>
      <c r="F217" s="747"/>
    </row>
    <row r="218" spans="1:6" s="742" customFormat="1" ht="38.25">
      <c r="A218" s="743">
        <f>+A217+1</f>
        <v>21510</v>
      </c>
      <c r="B218" s="1119" t="s">
        <v>1526</v>
      </c>
      <c r="C218" s="1114"/>
      <c r="D218" s="745"/>
      <c r="E218" s="746"/>
      <c r="F218" s="747"/>
    </row>
    <row r="219" spans="1:6" s="742" customFormat="1" ht="25.5">
      <c r="A219" s="741"/>
      <c r="B219" s="1113" t="s">
        <v>1527</v>
      </c>
      <c r="C219" s="744"/>
      <c r="D219" s="745"/>
      <c r="E219" s="746"/>
      <c r="F219" s="747"/>
    </row>
    <row r="220" spans="1:6" s="742" customFormat="1" ht="12.75">
      <c r="A220" s="743">
        <f>+A218+1</f>
        <v>21511</v>
      </c>
      <c r="B220" s="1760" t="s">
        <v>1528</v>
      </c>
      <c r="C220" s="744"/>
      <c r="D220" s="745"/>
      <c r="E220" s="746"/>
      <c r="F220" s="747"/>
    </row>
    <row r="221" spans="1:6" s="742" customFormat="1" ht="12.75">
      <c r="A221" s="743">
        <f>+A220+1</f>
        <v>21512</v>
      </c>
      <c r="B221" s="948" t="s">
        <v>1277</v>
      </c>
      <c r="C221" s="744"/>
      <c r="D221" s="745"/>
      <c r="E221" s="746"/>
      <c r="F221" s="747"/>
    </row>
    <row r="222" spans="1:6" s="556" customFormat="1" ht="12.75">
      <c r="A222" s="743">
        <f t="shared" ref="A222:A227" si="18">+A221+1</f>
        <v>21513</v>
      </c>
      <c r="B222" s="1760" t="s">
        <v>1279</v>
      </c>
      <c r="C222" s="1109"/>
      <c r="D222" s="1110"/>
      <c r="E222" s="1111"/>
      <c r="F222" s="1111"/>
    </row>
    <row r="223" spans="1:6" s="742" customFormat="1" ht="12.75">
      <c r="A223" s="743">
        <f t="shared" si="18"/>
        <v>21514</v>
      </c>
      <c r="B223" s="1760" t="s">
        <v>1529</v>
      </c>
      <c r="C223" s="744"/>
      <c r="D223" s="745"/>
      <c r="E223" s="746"/>
      <c r="F223" s="747"/>
    </row>
    <row r="224" spans="1:6" s="742" customFormat="1" ht="12.75">
      <c r="A224" s="743">
        <f t="shared" si="18"/>
        <v>21515</v>
      </c>
      <c r="B224" s="1761" t="s">
        <v>1530</v>
      </c>
      <c r="C224" s="751"/>
      <c r="D224" s="745"/>
      <c r="E224" s="746"/>
      <c r="F224" s="747"/>
    </row>
    <row r="225" spans="1:9" s="742" customFormat="1" ht="12.75">
      <c r="A225" s="743">
        <f t="shared" si="18"/>
        <v>21516</v>
      </c>
      <c r="B225" s="1761" t="s">
        <v>1531</v>
      </c>
      <c r="C225" s="751"/>
      <c r="D225" s="745"/>
      <c r="E225" s="746"/>
      <c r="F225" s="747"/>
    </row>
    <row r="226" spans="1:9" s="742" customFormat="1" ht="25.5">
      <c r="A226" s="743">
        <f t="shared" si="18"/>
        <v>21517</v>
      </c>
      <c r="B226" s="1119" t="s">
        <v>1532</v>
      </c>
      <c r="C226" s="751"/>
      <c r="D226" s="745"/>
      <c r="E226" s="746"/>
      <c r="F226" s="747"/>
    </row>
    <row r="227" spans="1:9" s="556" customFormat="1" ht="12.75">
      <c r="A227" s="743">
        <f t="shared" si="18"/>
        <v>21518</v>
      </c>
      <c r="B227" s="1119" t="s">
        <v>1533</v>
      </c>
      <c r="C227" s="1109"/>
      <c r="D227" s="1110"/>
      <c r="E227" s="1111"/>
      <c r="F227" s="1111"/>
      <c r="G227" s="1272"/>
      <c r="H227" s="1272"/>
      <c r="I227" s="1272"/>
    </row>
    <row r="228" spans="1:9" s="742" customFormat="1" ht="12.75">
      <c r="A228" s="743">
        <v>21599</v>
      </c>
      <c r="B228" s="3331" t="s">
        <v>1534</v>
      </c>
      <c r="C228" s="3332"/>
      <c r="D228" s="745"/>
      <c r="E228" s="746"/>
      <c r="F228" s="747"/>
    </row>
    <row r="229" spans="1:9" s="742" customFormat="1" ht="12.75">
      <c r="A229" s="741">
        <v>21600</v>
      </c>
      <c r="B229" s="3348" t="s">
        <v>1535</v>
      </c>
      <c r="C229" s="3349"/>
      <c r="D229" s="3349"/>
      <c r="E229" s="3349"/>
      <c r="F229" s="3350"/>
    </row>
    <row r="230" spans="1:9" s="742" customFormat="1" ht="12.75">
      <c r="A230" s="741"/>
      <c r="B230" s="1118" t="s">
        <v>1536</v>
      </c>
      <c r="C230" s="744"/>
      <c r="D230" s="745"/>
      <c r="E230" s="746"/>
      <c r="F230" s="747"/>
    </row>
    <row r="231" spans="1:9" s="742" customFormat="1" ht="12.75">
      <c r="A231" s="743">
        <v>21601</v>
      </c>
      <c r="B231" s="948" t="s">
        <v>1287</v>
      </c>
      <c r="C231" s="744"/>
      <c r="D231" s="745"/>
      <c r="E231" s="746"/>
      <c r="F231" s="747"/>
    </row>
    <row r="232" spans="1:9" s="742" customFormat="1" ht="12.75">
      <c r="A232" s="743">
        <f>+A231+1</f>
        <v>21602</v>
      </c>
      <c r="B232" s="948" t="s">
        <v>1537</v>
      </c>
      <c r="C232" s="744"/>
      <c r="D232" s="745"/>
      <c r="E232" s="746"/>
      <c r="F232" s="747"/>
    </row>
    <row r="233" spans="1:9" s="742" customFormat="1" ht="12.75">
      <c r="A233" s="743">
        <f t="shared" ref="A233:A234" si="19">+A232+1</f>
        <v>21603</v>
      </c>
      <c r="B233" s="948" t="s">
        <v>1289</v>
      </c>
      <c r="C233" s="744"/>
      <c r="D233" s="745"/>
      <c r="E233" s="746"/>
      <c r="F233" s="747"/>
    </row>
    <row r="234" spans="1:9" s="742" customFormat="1" ht="25.5">
      <c r="A234" s="743">
        <f t="shared" si="19"/>
        <v>21604</v>
      </c>
      <c r="B234" s="948" t="s">
        <v>1538</v>
      </c>
      <c r="C234" s="744"/>
      <c r="D234" s="745"/>
      <c r="E234" s="746"/>
      <c r="F234" s="747"/>
    </row>
    <row r="235" spans="1:9" s="742" customFormat="1" ht="12.75">
      <c r="A235" s="743"/>
      <c r="B235" s="1112" t="s">
        <v>1539</v>
      </c>
      <c r="C235" s="744"/>
      <c r="D235" s="745"/>
      <c r="E235" s="746"/>
      <c r="F235" s="747"/>
    </row>
    <row r="236" spans="1:9" s="556" customFormat="1" ht="12.75">
      <c r="A236" s="743">
        <f>+A234+1</f>
        <v>21605</v>
      </c>
      <c r="B236" s="1119" t="s">
        <v>1540</v>
      </c>
      <c r="C236" s="1109"/>
      <c r="D236" s="1110"/>
      <c r="E236" s="1111"/>
      <c r="F236" s="1111"/>
      <c r="G236" s="1272"/>
      <c r="H236" s="1272"/>
      <c r="I236" s="1272"/>
    </row>
    <row r="237" spans="1:9" s="932" customFormat="1" ht="12.75">
      <c r="A237" s="743">
        <f t="shared" ref="A237:A251" si="20">+A236+1</f>
        <v>21606</v>
      </c>
      <c r="B237" s="948" t="s">
        <v>1541</v>
      </c>
      <c r="C237" s="1109"/>
      <c r="D237" s="941"/>
      <c r="E237" s="942"/>
      <c r="F237" s="943"/>
      <c r="G237" s="938"/>
      <c r="H237" s="938"/>
      <c r="I237" s="938"/>
    </row>
    <row r="238" spans="1:9" s="932" customFormat="1" ht="12.75">
      <c r="A238" s="743">
        <f t="shared" si="20"/>
        <v>21607</v>
      </c>
      <c r="B238" s="948" t="s">
        <v>1542</v>
      </c>
      <c r="C238" s="1109"/>
      <c r="D238" s="941"/>
      <c r="E238" s="942"/>
      <c r="F238" s="943"/>
      <c r="G238" s="938"/>
      <c r="H238" s="938"/>
      <c r="I238" s="938"/>
    </row>
    <row r="239" spans="1:9" s="932" customFormat="1" ht="12.75">
      <c r="A239" s="743">
        <f t="shared" si="20"/>
        <v>21608</v>
      </c>
      <c r="B239" s="948" t="s">
        <v>1543</v>
      </c>
      <c r="C239" s="1109"/>
      <c r="D239" s="941"/>
      <c r="E239" s="942"/>
      <c r="F239" s="943"/>
      <c r="G239" s="938"/>
      <c r="H239" s="938"/>
      <c r="I239" s="938"/>
    </row>
    <row r="240" spans="1:9" s="932" customFormat="1" ht="12.75">
      <c r="A240" s="743">
        <f t="shared" si="20"/>
        <v>21609</v>
      </c>
      <c r="B240" s="948" t="s">
        <v>1544</v>
      </c>
      <c r="C240" s="1109"/>
      <c r="D240" s="941"/>
      <c r="E240" s="942"/>
      <c r="F240" s="943"/>
      <c r="G240" s="938"/>
      <c r="H240" s="938"/>
      <c r="I240" s="938"/>
    </row>
    <row r="241" spans="1:9" s="932" customFormat="1" ht="12.75">
      <c r="A241" s="743">
        <f t="shared" si="20"/>
        <v>21610</v>
      </c>
      <c r="B241" s="948" t="s">
        <v>1545</v>
      </c>
      <c r="C241" s="1109"/>
      <c r="D241" s="941"/>
      <c r="E241" s="942"/>
      <c r="F241" s="943"/>
      <c r="G241" s="938"/>
      <c r="H241" s="938"/>
      <c r="I241" s="938"/>
    </row>
    <row r="242" spans="1:9" s="932" customFormat="1" ht="12.75">
      <c r="A242" s="743">
        <f t="shared" si="20"/>
        <v>21611</v>
      </c>
      <c r="B242" s="948" t="s">
        <v>1546</v>
      </c>
      <c r="C242" s="1109"/>
      <c r="D242" s="941"/>
      <c r="E242" s="942"/>
      <c r="F242" s="943"/>
      <c r="G242" s="938"/>
      <c r="H242" s="938"/>
      <c r="I242" s="938"/>
    </row>
    <row r="243" spans="1:9" s="932" customFormat="1" ht="12.75">
      <c r="A243" s="743">
        <f t="shared" si="20"/>
        <v>21612</v>
      </c>
      <c r="B243" s="948" t="s">
        <v>1547</v>
      </c>
      <c r="C243" s="1109"/>
      <c r="D243" s="941"/>
      <c r="E243" s="942"/>
      <c r="F243" s="943"/>
      <c r="G243" s="938"/>
      <c r="H243" s="938"/>
      <c r="I243" s="938"/>
    </row>
    <row r="244" spans="1:9" s="742" customFormat="1" ht="51">
      <c r="A244" s="743">
        <f t="shared" si="20"/>
        <v>21613</v>
      </c>
      <c r="B244" s="1119" t="s">
        <v>1548</v>
      </c>
      <c r="C244" s="751"/>
      <c r="D244" s="745"/>
      <c r="E244" s="746"/>
      <c r="F244" s="747"/>
    </row>
    <row r="245" spans="1:9" s="932" customFormat="1" ht="25.5">
      <c r="A245" s="743"/>
      <c r="B245" s="1113" t="s">
        <v>1549</v>
      </c>
      <c r="C245" s="1109"/>
      <c r="D245" s="1110"/>
      <c r="E245" s="1111"/>
      <c r="F245" s="1111"/>
      <c r="G245" s="938"/>
      <c r="H245" s="938"/>
      <c r="I245" s="938"/>
    </row>
    <row r="246" spans="1:9" s="932" customFormat="1" ht="12.75">
      <c r="A246" s="743">
        <f>+A244+1</f>
        <v>21614</v>
      </c>
      <c r="B246" s="1120" t="s">
        <v>1550</v>
      </c>
      <c r="C246" s="1109"/>
      <c r="D246" s="1110"/>
      <c r="E246" s="1111"/>
      <c r="F246" s="1111"/>
      <c r="G246" s="938"/>
      <c r="H246" s="938"/>
      <c r="I246" s="938"/>
    </row>
    <row r="247" spans="1:9" s="556" customFormat="1" ht="12.75">
      <c r="A247" s="743">
        <f t="shared" si="20"/>
        <v>21615</v>
      </c>
      <c r="B247" s="948" t="s">
        <v>1551</v>
      </c>
      <c r="C247" s="1109"/>
      <c r="D247" s="1110"/>
      <c r="E247" s="1111"/>
      <c r="F247" s="1111"/>
      <c r="G247" s="1272"/>
      <c r="H247" s="1272"/>
      <c r="I247" s="1272"/>
    </row>
    <row r="248" spans="1:9" s="556" customFormat="1" ht="12.75">
      <c r="A248" s="743">
        <f t="shared" si="20"/>
        <v>21616</v>
      </c>
      <c r="B248" s="948" t="s">
        <v>1552</v>
      </c>
      <c r="C248" s="1109"/>
      <c r="D248" s="1110"/>
      <c r="E248" s="1111"/>
      <c r="F248" s="1111"/>
      <c r="G248" s="1272"/>
      <c r="H248" s="1272"/>
      <c r="I248" s="1272"/>
    </row>
    <row r="249" spans="1:9" s="556" customFormat="1" ht="12.75">
      <c r="A249" s="743">
        <f t="shared" si="20"/>
        <v>21617</v>
      </c>
      <c r="B249" s="948" t="s">
        <v>1553</v>
      </c>
      <c r="C249" s="1109"/>
      <c r="D249" s="1110"/>
      <c r="E249" s="1111"/>
      <c r="F249" s="1111"/>
      <c r="G249" s="1272"/>
      <c r="H249" s="1272"/>
      <c r="I249" s="1272"/>
    </row>
    <row r="250" spans="1:9" s="556" customFormat="1" ht="12.75">
      <c r="A250" s="743">
        <f t="shared" si="20"/>
        <v>21618</v>
      </c>
      <c r="B250" s="948" t="s">
        <v>1554</v>
      </c>
      <c r="C250" s="1109"/>
      <c r="D250" s="1110"/>
      <c r="E250" s="1111"/>
      <c r="F250" s="1111"/>
      <c r="G250" s="1272"/>
      <c r="H250" s="1272"/>
      <c r="I250" s="1272"/>
    </row>
    <row r="251" spans="1:9" s="556" customFormat="1" ht="25.5">
      <c r="A251" s="743">
        <f t="shared" si="20"/>
        <v>21619</v>
      </c>
      <c r="B251" s="948" t="s">
        <v>1555</v>
      </c>
      <c r="C251" s="1109"/>
      <c r="D251" s="1110"/>
      <c r="E251" s="1111"/>
      <c r="F251" s="1111"/>
      <c r="G251" s="1272"/>
      <c r="H251" s="1272"/>
      <c r="I251" s="1272"/>
    </row>
    <row r="252" spans="1:9" s="742" customFormat="1" ht="12.75">
      <c r="A252" s="937"/>
      <c r="B252" s="1113" t="s">
        <v>1556</v>
      </c>
      <c r="C252" s="1109"/>
      <c r="D252" s="1110"/>
      <c r="E252" s="1111"/>
      <c r="F252" s="1111"/>
    </row>
    <row r="253" spans="1:9" s="742" customFormat="1" ht="25.5">
      <c r="A253" s="939">
        <f>+A251+1</f>
        <v>21620</v>
      </c>
      <c r="B253" s="948" t="s">
        <v>1557</v>
      </c>
      <c r="C253" s="1109"/>
      <c r="D253" s="941"/>
      <c r="E253" s="942"/>
      <c r="F253" s="943"/>
    </row>
    <row r="254" spans="1:9" s="742" customFormat="1" ht="12.75">
      <c r="A254" s="939">
        <f t="shared" ref="A254:A258" si="21">+A253+1</f>
        <v>21621</v>
      </c>
      <c r="B254" s="948" t="s">
        <v>1558</v>
      </c>
      <c r="C254" s="1109"/>
      <c r="D254" s="941"/>
      <c r="E254" s="942"/>
      <c r="F254" s="943"/>
    </row>
    <row r="255" spans="1:9" s="742" customFormat="1" ht="25.5">
      <c r="A255" s="939">
        <f t="shared" si="21"/>
        <v>21622</v>
      </c>
      <c r="B255" s="948" t="s">
        <v>1559</v>
      </c>
      <c r="C255" s="1109"/>
      <c r="D255" s="941"/>
      <c r="E255" s="942"/>
      <c r="F255" s="943"/>
    </row>
    <row r="256" spans="1:9" s="742" customFormat="1" ht="12.75">
      <c r="A256" s="939">
        <f t="shared" si="21"/>
        <v>21623</v>
      </c>
      <c r="B256" s="948" t="s">
        <v>1560</v>
      </c>
      <c r="C256" s="1109"/>
      <c r="D256" s="941"/>
      <c r="E256" s="942"/>
      <c r="F256" s="943"/>
    </row>
    <row r="257" spans="1:6" s="742" customFormat="1" ht="12.75">
      <c r="A257" s="939">
        <f t="shared" si="21"/>
        <v>21624</v>
      </c>
      <c r="B257" s="948" t="s">
        <v>1561</v>
      </c>
      <c r="C257" s="1109"/>
      <c r="D257" s="941"/>
      <c r="E257" s="942"/>
      <c r="F257" s="943"/>
    </row>
    <row r="258" spans="1:6" s="742" customFormat="1" ht="25.5">
      <c r="A258" s="939">
        <f t="shared" si="21"/>
        <v>21625</v>
      </c>
      <c r="B258" s="1120" t="s">
        <v>1562</v>
      </c>
      <c r="C258" s="1109"/>
      <c r="D258" s="941"/>
      <c r="E258" s="942"/>
      <c r="F258" s="943"/>
    </row>
    <row r="259" spans="1:6" s="742" customFormat="1" ht="12.75">
      <c r="A259" s="937"/>
      <c r="B259" s="1113" t="s">
        <v>1563</v>
      </c>
      <c r="C259" s="1109"/>
      <c r="D259" s="941"/>
      <c r="E259" s="942"/>
      <c r="F259" s="943"/>
    </row>
    <row r="260" spans="1:6" s="742" customFormat="1" ht="12.75">
      <c r="A260" s="939">
        <f>+A258+1</f>
        <v>21626</v>
      </c>
      <c r="B260" s="1119" t="s">
        <v>1564</v>
      </c>
      <c r="C260" s="1109"/>
      <c r="D260" s="941"/>
      <c r="E260" s="942"/>
      <c r="F260" s="943"/>
    </row>
    <row r="261" spans="1:6" s="742" customFormat="1" ht="12.75">
      <c r="A261" s="939">
        <f>+A260+1</f>
        <v>21627</v>
      </c>
      <c r="B261" s="1119" t="s">
        <v>1565</v>
      </c>
      <c r="C261" s="1109"/>
      <c r="D261" s="941"/>
      <c r="E261" s="942"/>
      <c r="F261" s="943"/>
    </row>
    <row r="262" spans="1:6" s="742" customFormat="1" ht="12.75">
      <c r="A262" s="939">
        <f t="shared" ref="A262:A267" si="22">+A261+1</f>
        <v>21628</v>
      </c>
      <c r="B262" s="1119" t="s">
        <v>1566</v>
      </c>
      <c r="C262" s="1109"/>
      <c r="D262" s="941"/>
      <c r="E262" s="942"/>
      <c r="F262" s="943"/>
    </row>
    <row r="263" spans="1:6" s="742" customFormat="1" ht="12.75">
      <c r="A263" s="939">
        <f t="shared" si="22"/>
        <v>21629</v>
      </c>
      <c r="B263" s="1119" t="s">
        <v>1567</v>
      </c>
      <c r="C263" s="1109"/>
      <c r="D263" s="745"/>
      <c r="E263" s="746"/>
      <c r="F263" s="747"/>
    </row>
    <row r="264" spans="1:6" s="742" customFormat="1" ht="12.75">
      <c r="A264" s="939">
        <f t="shared" si="22"/>
        <v>21630</v>
      </c>
      <c r="B264" s="1119" t="s">
        <v>1568</v>
      </c>
      <c r="C264" s="1109"/>
      <c r="D264" s="745"/>
      <c r="E264" s="746"/>
      <c r="F264" s="747"/>
    </row>
    <row r="265" spans="1:6" s="742" customFormat="1" ht="12.75">
      <c r="A265" s="939">
        <f t="shared" si="22"/>
        <v>21631</v>
      </c>
      <c r="B265" s="948" t="s">
        <v>1569</v>
      </c>
      <c r="C265" s="1109"/>
      <c r="D265" s="745"/>
      <c r="E265" s="746"/>
      <c r="F265" s="747"/>
    </row>
    <row r="266" spans="1:6" s="742" customFormat="1" ht="12.75">
      <c r="A266" s="939">
        <f t="shared" si="22"/>
        <v>21632</v>
      </c>
      <c r="B266" s="948" t="s">
        <v>1570</v>
      </c>
      <c r="C266" s="1109"/>
      <c r="D266" s="745"/>
      <c r="E266" s="746"/>
      <c r="F266" s="747"/>
    </row>
    <row r="267" spans="1:6" s="742" customFormat="1" ht="12.75">
      <c r="A267" s="939">
        <f t="shared" si="22"/>
        <v>21633</v>
      </c>
      <c r="B267" s="948" t="s">
        <v>1571</v>
      </c>
      <c r="C267" s="1109"/>
      <c r="D267" s="745"/>
      <c r="E267" s="746"/>
      <c r="F267" s="747"/>
    </row>
    <row r="268" spans="1:6" s="742" customFormat="1" ht="12.75">
      <c r="A268" s="741"/>
      <c r="B268" s="1113" t="s">
        <v>1572</v>
      </c>
      <c r="C268" s="1109"/>
      <c r="D268" s="745"/>
      <c r="E268" s="746"/>
      <c r="F268" s="747"/>
    </row>
    <row r="269" spans="1:6" s="932" customFormat="1" ht="12.75">
      <c r="A269" s="1788">
        <f>+A267+1</f>
        <v>21634</v>
      </c>
      <c r="B269" s="1760" t="s">
        <v>1573</v>
      </c>
      <c r="C269" s="1789"/>
      <c r="D269" s="1790"/>
      <c r="E269" s="1791"/>
      <c r="F269" s="1792"/>
    </row>
    <row r="270" spans="1:6" s="742" customFormat="1" ht="12.75">
      <c r="A270" s="743">
        <v>21699</v>
      </c>
      <c r="B270" s="3331" t="s">
        <v>1574</v>
      </c>
      <c r="C270" s="3332"/>
      <c r="D270" s="745"/>
      <c r="E270" s="746"/>
      <c r="F270" s="747"/>
    </row>
    <row r="271" spans="1:6" s="742" customFormat="1" ht="12.75">
      <c r="A271" s="741">
        <v>21700</v>
      </c>
      <c r="B271" s="3348" t="s">
        <v>663</v>
      </c>
      <c r="C271" s="3349"/>
      <c r="D271" s="3349"/>
      <c r="E271" s="3349"/>
      <c r="F271" s="3350"/>
    </row>
    <row r="272" spans="1:6" s="742" customFormat="1" ht="12.75">
      <c r="A272" s="743">
        <v>21701</v>
      </c>
      <c r="B272" s="948" t="s">
        <v>1575</v>
      </c>
      <c r="C272" s="1109"/>
      <c r="D272" s="745"/>
      <c r="E272" s="746"/>
      <c r="F272" s="747"/>
    </row>
    <row r="273" spans="1:6" s="742" customFormat="1" ht="12.75">
      <c r="A273" s="743">
        <f>+A272+1</f>
        <v>21702</v>
      </c>
      <c r="B273" s="948" t="s">
        <v>1576</v>
      </c>
      <c r="C273" s="1109"/>
      <c r="D273" s="745"/>
      <c r="E273" s="746"/>
      <c r="F273" s="747"/>
    </row>
    <row r="274" spans="1:6" s="742" customFormat="1" ht="12.75">
      <c r="A274" s="743">
        <f t="shared" ref="A274:A278" si="23">+A273+1</f>
        <v>21703</v>
      </c>
      <c r="B274" s="1119" t="s">
        <v>1577</v>
      </c>
      <c r="C274" s="1109"/>
      <c r="D274" s="745"/>
      <c r="E274" s="746"/>
      <c r="F274" s="747"/>
    </row>
    <row r="275" spans="1:6" s="742" customFormat="1" ht="25.5">
      <c r="A275" s="743">
        <f t="shared" si="23"/>
        <v>21704</v>
      </c>
      <c r="B275" s="1119" t="s">
        <v>1578</v>
      </c>
      <c r="C275" s="1109"/>
      <c r="D275" s="745"/>
      <c r="E275" s="746"/>
      <c r="F275" s="747"/>
    </row>
    <row r="276" spans="1:6" s="742" customFormat="1" ht="12.75">
      <c r="A276" s="743">
        <f t="shared" si="23"/>
        <v>21705</v>
      </c>
      <c r="B276" s="948" t="s">
        <v>1579</v>
      </c>
      <c r="C276" s="1109"/>
      <c r="D276" s="745"/>
      <c r="E276" s="746"/>
      <c r="F276" s="747"/>
    </row>
    <row r="277" spans="1:6" s="742" customFormat="1" ht="25.5">
      <c r="A277" s="743">
        <f t="shared" si="23"/>
        <v>21706</v>
      </c>
      <c r="B277" s="948" t="s">
        <v>1580</v>
      </c>
      <c r="C277" s="1109"/>
      <c r="D277" s="745"/>
      <c r="E277" s="746"/>
      <c r="F277" s="747"/>
    </row>
    <row r="278" spans="1:6" s="742" customFormat="1" ht="12.75">
      <c r="A278" s="743">
        <f t="shared" si="23"/>
        <v>21707</v>
      </c>
      <c r="B278" s="948" t="s">
        <v>1581</v>
      </c>
      <c r="C278" s="1109"/>
      <c r="D278" s="941"/>
      <c r="E278" s="942"/>
      <c r="F278" s="943"/>
    </row>
    <row r="279" spans="1:6" s="742" customFormat="1" ht="12.75">
      <c r="A279" s="743">
        <v>21799</v>
      </c>
      <c r="B279" s="3331" t="s">
        <v>1582</v>
      </c>
      <c r="C279" s="3332"/>
      <c r="D279" s="745"/>
      <c r="E279" s="746"/>
      <c r="F279" s="747"/>
    </row>
    <row r="280" spans="1:6" s="742" customFormat="1" ht="12.75">
      <c r="A280" s="741">
        <v>21800</v>
      </c>
      <c r="B280" s="3348" t="s">
        <v>1583</v>
      </c>
      <c r="C280" s="3349"/>
      <c r="D280" s="3349"/>
      <c r="E280" s="3349"/>
      <c r="F280" s="3350"/>
    </row>
    <row r="281" spans="1:6" s="742" customFormat="1" ht="12.75">
      <c r="A281" s="743">
        <v>21801</v>
      </c>
      <c r="B281" s="1119" t="s">
        <v>1584</v>
      </c>
      <c r="C281" s="744"/>
      <c r="D281" s="745"/>
      <c r="E281" s="746"/>
      <c r="F281" s="747"/>
    </row>
    <row r="282" spans="1:6" s="742" customFormat="1" ht="12.75">
      <c r="A282" s="743">
        <f>+A281+1</f>
        <v>21802</v>
      </c>
      <c r="B282" s="1119" t="s">
        <v>1585</v>
      </c>
      <c r="C282" s="744"/>
      <c r="D282" s="745"/>
      <c r="E282" s="746"/>
      <c r="F282" s="747"/>
    </row>
    <row r="283" spans="1:6" s="742" customFormat="1" ht="12.75">
      <c r="A283" s="743">
        <f t="shared" ref="A283:A285" si="24">+A282+1</f>
        <v>21803</v>
      </c>
      <c r="B283" s="948" t="s">
        <v>1586</v>
      </c>
      <c r="C283" s="744"/>
      <c r="D283" s="745"/>
      <c r="E283" s="746"/>
      <c r="F283" s="747"/>
    </row>
    <row r="284" spans="1:6" s="742" customFormat="1" ht="12.75">
      <c r="A284" s="743">
        <f t="shared" si="24"/>
        <v>21804</v>
      </c>
      <c r="B284" s="948" t="s">
        <v>1587</v>
      </c>
      <c r="C284" s="744"/>
      <c r="D284" s="752"/>
      <c r="E284" s="746"/>
      <c r="F284" s="747"/>
    </row>
    <row r="285" spans="1:6" s="742" customFormat="1" ht="12.75">
      <c r="A285" s="743">
        <f t="shared" si="24"/>
        <v>21805</v>
      </c>
      <c r="B285" s="948" t="s">
        <v>1588</v>
      </c>
      <c r="C285" s="744"/>
      <c r="D285" s="752"/>
      <c r="E285" s="746"/>
      <c r="F285" s="747"/>
    </row>
    <row r="286" spans="1:6" s="742" customFormat="1" ht="12.75">
      <c r="A286" s="743">
        <v>21899</v>
      </c>
      <c r="B286" s="3331" t="s">
        <v>1589</v>
      </c>
      <c r="C286" s="3332"/>
      <c r="D286" s="745"/>
      <c r="E286" s="746"/>
      <c r="F286" s="747"/>
    </row>
    <row r="287" spans="1:6" s="742" customFormat="1" ht="12.75">
      <c r="A287" s="741">
        <v>21900</v>
      </c>
      <c r="B287" s="3348" t="s">
        <v>1590</v>
      </c>
      <c r="C287" s="3349"/>
      <c r="D287" s="3349"/>
      <c r="E287" s="3349"/>
      <c r="F287" s="3350"/>
    </row>
    <row r="288" spans="1:6" s="742" customFormat="1" ht="12.75">
      <c r="A288" s="743">
        <v>21901</v>
      </c>
      <c r="B288" s="948" t="s">
        <v>1591</v>
      </c>
      <c r="C288" s="1109"/>
      <c r="D288" s="745"/>
      <c r="E288" s="746"/>
      <c r="F288" s="747"/>
    </row>
    <row r="289" spans="1:6" s="742" customFormat="1" ht="12.75">
      <c r="A289" s="743">
        <f>+A288+1</f>
        <v>21902</v>
      </c>
      <c r="B289" s="948" t="s">
        <v>1592</v>
      </c>
      <c r="C289" s="1109"/>
      <c r="D289" s="745"/>
      <c r="E289" s="746"/>
      <c r="F289" s="747"/>
    </row>
    <row r="290" spans="1:6" s="742" customFormat="1" ht="12.75">
      <c r="A290" s="743">
        <f t="shared" ref="A290:A292" si="25">+A289+1</f>
        <v>21903</v>
      </c>
      <c r="B290" s="948" t="s">
        <v>1593</v>
      </c>
      <c r="C290" s="1109"/>
      <c r="D290" s="745"/>
      <c r="E290" s="746"/>
      <c r="F290" s="747"/>
    </row>
    <row r="291" spans="1:6" s="742" customFormat="1" ht="12.75">
      <c r="A291" s="743">
        <f t="shared" si="25"/>
        <v>21904</v>
      </c>
      <c r="B291" s="948" t="s">
        <v>1594</v>
      </c>
      <c r="C291" s="1109"/>
      <c r="D291" s="745"/>
      <c r="E291" s="746"/>
      <c r="F291" s="747"/>
    </row>
    <row r="292" spans="1:6" s="742" customFormat="1" ht="12.75">
      <c r="A292" s="743">
        <f t="shared" si="25"/>
        <v>21905</v>
      </c>
      <c r="B292" s="948" t="s">
        <v>1595</v>
      </c>
      <c r="C292" s="1109"/>
      <c r="D292" s="745"/>
      <c r="E292" s="746"/>
      <c r="F292" s="747"/>
    </row>
    <row r="293" spans="1:6" s="742" customFormat="1" ht="12.75">
      <c r="A293" s="743"/>
      <c r="B293" s="1112" t="s">
        <v>1596</v>
      </c>
      <c r="C293" s="1109"/>
      <c r="D293" s="745"/>
      <c r="E293" s="746"/>
      <c r="F293" s="747"/>
    </row>
    <row r="294" spans="1:6" s="742" customFormat="1" ht="12.75">
      <c r="A294" s="743">
        <f>+A292+1</f>
        <v>21906</v>
      </c>
      <c r="B294" s="948" t="s">
        <v>1597</v>
      </c>
      <c r="C294" s="1109"/>
      <c r="D294" s="745"/>
      <c r="E294" s="746"/>
      <c r="F294" s="747"/>
    </row>
    <row r="295" spans="1:6" s="742" customFormat="1" ht="25.5">
      <c r="A295" s="743">
        <f>+A294+1</f>
        <v>21907</v>
      </c>
      <c r="B295" s="948" t="s">
        <v>1598</v>
      </c>
      <c r="C295" s="1109"/>
      <c r="D295" s="745"/>
      <c r="E295" s="746"/>
      <c r="F295" s="747"/>
    </row>
    <row r="296" spans="1:6" s="742" customFormat="1" ht="12.75">
      <c r="A296" s="743"/>
      <c r="B296" s="1112" t="s">
        <v>1599</v>
      </c>
      <c r="C296" s="1109"/>
      <c r="D296" s="745"/>
      <c r="E296" s="746"/>
      <c r="F296" s="747"/>
    </row>
    <row r="297" spans="1:6" s="742" customFormat="1" ht="25.5">
      <c r="A297" s="743">
        <f>+A295+1</f>
        <v>21908</v>
      </c>
      <c r="B297" s="948" t="s">
        <v>1600</v>
      </c>
      <c r="C297" s="1109"/>
      <c r="D297" s="745"/>
      <c r="E297" s="746"/>
      <c r="F297" s="747"/>
    </row>
    <row r="298" spans="1:6" s="742" customFormat="1" ht="25.5">
      <c r="A298" s="743">
        <f>+A297+1</f>
        <v>21909</v>
      </c>
      <c r="B298" s="948" t="s">
        <v>1601</v>
      </c>
      <c r="C298" s="1109"/>
      <c r="D298" s="745"/>
      <c r="E298" s="746"/>
      <c r="F298" s="747"/>
    </row>
    <row r="299" spans="1:6" s="742" customFormat="1" ht="12.75">
      <c r="A299" s="743"/>
      <c r="B299" s="1112" t="s">
        <v>1602</v>
      </c>
      <c r="C299" s="1109"/>
      <c r="D299" s="745"/>
      <c r="E299" s="746"/>
      <c r="F299" s="747"/>
    </row>
    <row r="300" spans="1:6" s="742" customFormat="1" ht="12.75">
      <c r="A300" s="743">
        <f>+A298+1</f>
        <v>21910</v>
      </c>
      <c r="B300" s="948" t="s">
        <v>1603</v>
      </c>
      <c r="C300" s="1109"/>
      <c r="D300" s="745"/>
      <c r="E300" s="746"/>
      <c r="F300" s="747"/>
    </row>
    <row r="301" spans="1:6" s="742" customFormat="1" ht="25.5">
      <c r="A301" s="743">
        <f t="shared" ref="A301:A304" si="26">+A300+1</f>
        <v>21911</v>
      </c>
      <c r="B301" s="948" t="s">
        <v>1604</v>
      </c>
      <c r="C301" s="1109"/>
      <c r="D301" s="745"/>
      <c r="E301" s="746"/>
      <c r="F301" s="747"/>
    </row>
    <row r="302" spans="1:6" s="742" customFormat="1" ht="12.75">
      <c r="A302" s="743">
        <f t="shared" si="26"/>
        <v>21912</v>
      </c>
      <c r="B302" s="948" t="s">
        <v>1605</v>
      </c>
      <c r="C302" s="1109"/>
      <c r="D302" s="745"/>
      <c r="E302" s="746"/>
      <c r="F302" s="747"/>
    </row>
    <row r="303" spans="1:6" s="742" customFormat="1" ht="12.75">
      <c r="A303" s="743">
        <f t="shared" si="26"/>
        <v>21913</v>
      </c>
      <c r="B303" s="948" t="s">
        <v>1606</v>
      </c>
      <c r="C303" s="1109"/>
      <c r="D303" s="745"/>
      <c r="E303" s="746"/>
      <c r="F303" s="747"/>
    </row>
    <row r="304" spans="1:6" s="742" customFormat="1" ht="12.75">
      <c r="A304" s="743">
        <f t="shared" si="26"/>
        <v>21914</v>
      </c>
      <c r="B304" s="948" t="s">
        <v>1607</v>
      </c>
      <c r="C304" s="1109"/>
      <c r="D304" s="745"/>
      <c r="E304" s="746"/>
      <c r="F304" s="747"/>
    </row>
    <row r="305" spans="1:6" s="742" customFormat="1" ht="27" customHeight="1">
      <c r="A305" s="743">
        <f>A304+1</f>
        <v>21915</v>
      </c>
      <c r="B305" s="948" t="s">
        <v>1608</v>
      </c>
      <c r="C305" s="1109"/>
      <c r="D305" s="745"/>
      <c r="E305" s="746"/>
      <c r="F305" s="747"/>
    </row>
    <row r="306" spans="1:6" s="742" customFormat="1" ht="12.75">
      <c r="A306" s="743">
        <v>21999</v>
      </c>
      <c r="B306" s="3331" t="s">
        <v>1609</v>
      </c>
      <c r="C306" s="3332"/>
      <c r="D306" s="745"/>
      <c r="E306" s="746"/>
      <c r="F306" s="747"/>
    </row>
    <row r="307" spans="1:6" s="742" customFormat="1" ht="12.75">
      <c r="A307" s="741">
        <v>22000</v>
      </c>
      <c r="B307" s="3348" t="s">
        <v>1610</v>
      </c>
      <c r="C307" s="3349"/>
      <c r="D307" s="3349"/>
      <c r="E307" s="3349"/>
      <c r="F307" s="3350"/>
    </row>
    <row r="308" spans="1:6" s="742" customFormat="1" ht="12.75">
      <c r="A308" s="743"/>
      <c r="B308" s="1112" t="s">
        <v>1611</v>
      </c>
      <c r="C308" s="748"/>
      <c r="D308" s="745"/>
      <c r="E308" s="746"/>
      <c r="F308" s="747"/>
    </row>
    <row r="309" spans="1:6" s="742" customFormat="1" ht="12.75">
      <c r="A309" s="743">
        <v>22001</v>
      </c>
      <c r="B309" s="948" t="s">
        <v>1612</v>
      </c>
      <c r="C309" s="1109"/>
      <c r="D309" s="745"/>
      <c r="E309" s="746"/>
      <c r="F309" s="747"/>
    </row>
    <row r="310" spans="1:6" s="742" customFormat="1" ht="12.75">
      <c r="A310" s="743">
        <f>+A309+1</f>
        <v>22002</v>
      </c>
      <c r="B310" s="948" t="s">
        <v>1613</v>
      </c>
      <c r="C310" s="1109"/>
      <c r="D310" s="745"/>
      <c r="E310" s="746"/>
      <c r="F310" s="747"/>
    </row>
    <row r="311" spans="1:6" s="742" customFormat="1" ht="12.75">
      <c r="A311" s="743"/>
      <c r="B311" s="1112" t="s">
        <v>1614</v>
      </c>
      <c r="C311" s="1109"/>
      <c r="D311" s="745"/>
      <c r="E311" s="746"/>
      <c r="F311" s="747"/>
    </row>
    <row r="312" spans="1:6" s="742" customFormat="1" ht="15" customHeight="1">
      <c r="A312" s="743">
        <f>+A310+1</f>
        <v>22003</v>
      </c>
      <c r="B312" s="948" t="s">
        <v>1615</v>
      </c>
      <c r="C312" s="1109"/>
      <c r="D312" s="745"/>
      <c r="E312" s="746"/>
      <c r="F312" s="747"/>
    </row>
    <row r="313" spans="1:6" s="742" customFormat="1" ht="15" customHeight="1">
      <c r="A313" s="743">
        <f>+A312+1</f>
        <v>22004</v>
      </c>
      <c r="B313" s="948" t="s">
        <v>1616</v>
      </c>
      <c r="C313" s="1109"/>
      <c r="D313" s="745"/>
      <c r="E313" s="746"/>
      <c r="F313" s="747"/>
    </row>
    <row r="314" spans="1:6" s="742" customFormat="1" ht="15" customHeight="1">
      <c r="A314" s="743">
        <f t="shared" ref="A314:A320" si="27">+A313+1</f>
        <v>22005</v>
      </c>
      <c r="B314" s="948" t="s">
        <v>1617</v>
      </c>
      <c r="C314" s="1109"/>
      <c r="D314" s="745"/>
      <c r="E314" s="746"/>
      <c r="F314" s="747"/>
    </row>
    <row r="315" spans="1:6" s="742" customFormat="1" ht="15" customHeight="1">
      <c r="A315" s="743">
        <f t="shared" si="27"/>
        <v>22006</v>
      </c>
      <c r="B315" s="948" t="s">
        <v>1618</v>
      </c>
      <c r="C315" s="1109"/>
      <c r="D315" s="745"/>
      <c r="E315" s="746"/>
      <c r="F315" s="747"/>
    </row>
    <row r="316" spans="1:6" s="742" customFormat="1" ht="12.75">
      <c r="A316" s="743">
        <f t="shared" si="27"/>
        <v>22007</v>
      </c>
      <c r="B316" s="948" t="s">
        <v>1619</v>
      </c>
      <c r="C316" s="1109"/>
      <c r="D316" s="745"/>
      <c r="E316" s="746"/>
      <c r="F316" s="747"/>
    </row>
    <row r="317" spans="1:6" s="742" customFormat="1" ht="12.75">
      <c r="A317" s="743">
        <f t="shared" si="27"/>
        <v>22008</v>
      </c>
      <c r="B317" s="948" t="s">
        <v>1620</v>
      </c>
      <c r="C317" s="1109"/>
      <c r="D317" s="745"/>
      <c r="E317" s="746"/>
      <c r="F317" s="747"/>
    </row>
    <row r="318" spans="1:6" s="742" customFormat="1" ht="27" customHeight="1">
      <c r="A318" s="743">
        <f t="shared" si="27"/>
        <v>22009</v>
      </c>
      <c r="B318" s="948" t="s">
        <v>1621</v>
      </c>
      <c r="C318" s="1109"/>
      <c r="D318" s="745"/>
      <c r="E318" s="746"/>
      <c r="F318" s="747"/>
    </row>
    <row r="319" spans="1:6" s="742" customFormat="1" ht="12.75">
      <c r="A319" s="743">
        <f t="shared" si="27"/>
        <v>22010</v>
      </c>
      <c r="B319" s="948" t="s">
        <v>1622</v>
      </c>
      <c r="C319" s="1109"/>
      <c r="D319" s="745"/>
      <c r="E319" s="746"/>
      <c r="F319" s="747"/>
    </row>
    <row r="320" spans="1:6" s="556" customFormat="1" ht="12.75">
      <c r="A320" s="743">
        <f t="shared" si="27"/>
        <v>22011</v>
      </c>
      <c r="B320" s="948" t="s">
        <v>1623</v>
      </c>
      <c r="C320" s="1109"/>
      <c r="D320" s="1110"/>
      <c r="E320" s="1111"/>
      <c r="F320" s="1111"/>
    </row>
    <row r="321" spans="1:6" s="742" customFormat="1" ht="12.75">
      <c r="A321" s="743">
        <v>22099</v>
      </c>
      <c r="B321" s="3331" t="s">
        <v>1624</v>
      </c>
      <c r="C321" s="3332"/>
      <c r="D321" s="745"/>
      <c r="E321" s="746"/>
      <c r="F321" s="747"/>
    </row>
    <row r="322" spans="1:6" s="742" customFormat="1" ht="12.75">
      <c r="A322" s="741">
        <v>22100</v>
      </c>
      <c r="B322" s="3356" t="s">
        <v>1625</v>
      </c>
      <c r="C322" s="3357"/>
      <c r="D322" s="3357"/>
      <c r="E322" s="3357"/>
      <c r="F322" s="3358"/>
    </row>
    <row r="323" spans="1:6" s="742" customFormat="1" ht="27.75" customHeight="1">
      <c r="A323" s="743">
        <v>22101</v>
      </c>
      <c r="B323" s="948" t="s">
        <v>1626</v>
      </c>
      <c r="C323" s="744"/>
      <c r="D323" s="745"/>
      <c r="E323" s="746"/>
      <c r="F323" s="747"/>
    </row>
    <row r="324" spans="1:6" s="742" customFormat="1" ht="12.75">
      <c r="A324" s="743">
        <v>22199</v>
      </c>
      <c r="B324" s="3331" t="s">
        <v>1627</v>
      </c>
      <c r="C324" s="3332"/>
      <c r="D324" s="745"/>
      <c r="E324" s="746"/>
      <c r="F324" s="747"/>
    </row>
    <row r="325" spans="1:6" s="742" customFormat="1" ht="12.75">
      <c r="A325" s="741">
        <v>22200</v>
      </c>
      <c r="B325" s="3348" t="s">
        <v>1628</v>
      </c>
      <c r="C325" s="3349"/>
      <c r="D325" s="3349"/>
      <c r="E325" s="3349"/>
      <c r="F325" s="3350"/>
    </row>
    <row r="326" spans="1:6" s="742" customFormat="1" ht="12.75">
      <c r="A326" s="743">
        <v>22201</v>
      </c>
      <c r="B326" s="948" t="s">
        <v>1629</v>
      </c>
      <c r="C326" s="1109"/>
      <c r="D326" s="745"/>
      <c r="E326" s="746"/>
      <c r="F326" s="747"/>
    </row>
    <row r="327" spans="1:6" s="742" customFormat="1" ht="12.75">
      <c r="A327" s="743">
        <f>+A326+1</f>
        <v>22202</v>
      </c>
      <c r="B327" s="948" t="s">
        <v>1630</v>
      </c>
      <c r="C327" s="1109"/>
      <c r="D327" s="745"/>
      <c r="E327" s="746"/>
      <c r="F327" s="747"/>
    </row>
    <row r="328" spans="1:6" s="742" customFormat="1" ht="12.75">
      <c r="A328" s="743">
        <f t="shared" ref="A328:A329" si="28">+A327+1</f>
        <v>22203</v>
      </c>
      <c r="B328" s="948" t="s">
        <v>1631</v>
      </c>
      <c r="C328" s="1109"/>
      <c r="D328" s="745"/>
      <c r="E328" s="746"/>
      <c r="F328" s="747"/>
    </row>
    <row r="329" spans="1:6" s="556" customFormat="1" ht="12.75">
      <c r="A329" s="743">
        <f t="shared" si="28"/>
        <v>22204</v>
      </c>
      <c r="B329" s="948" t="s">
        <v>1632</v>
      </c>
      <c r="C329" s="1109"/>
      <c r="D329" s="1110"/>
      <c r="E329" s="1111"/>
      <c r="F329" s="1111"/>
    </row>
    <row r="330" spans="1:6" s="742" customFormat="1" ht="12.75">
      <c r="A330" s="743">
        <v>22299</v>
      </c>
      <c r="B330" s="3331" t="s">
        <v>1633</v>
      </c>
      <c r="C330" s="3332"/>
      <c r="D330" s="745"/>
      <c r="E330" s="746"/>
      <c r="F330" s="747"/>
    </row>
    <row r="331" spans="1:6" s="742" customFormat="1" ht="12.75">
      <c r="A331" s="741">
        <v>22300</v>
      </c>
      <c r="B331" s="3348" t="s">
        <v>1634</v>
      </c>
      <c r="C331" s="3349"/>
      <c r="D331" s="3349"/>
      <c r="E331" s="3349"/>
      <c r="F331" s="3350"/>
    </row>
    <row r="332" spans="1:6" s="742" customFormat="1" ht="12.75">
      <c r="A332" s="743">
        <v>22301</v>
      </c>
      <c r="B332" s="948" t="s">
        <v>1635</v>
      </c>
      <c r="C332" s="1109"/>
      <c r="D332" s="745"/>
      <c r="E332" s="746"/>
      <c r="F332" s="747"/>
    </row>
    <row r="333" spans="1:6" s="742" customFormat="1" ht="12.75">
      <c r="A333" s="743">
        <f>+A332+1</f>
        <v>22302</v>
      </c>
      <c r="B333" s="1119" t="s">
        <v>1636</v>
      </c>
      <c r="C333" s="1109"/>
      <c r="D333" s="745"/>
      <c r="E333" s="746"/>
      <c r="F333" s="747"/>
    </row>
    <row r="334" spans="1:6" s="742" customFormat="1" ht="12.75">
      <c r="A334" s="743">
        <v>22399</v>
      </c>
      <c r="B334" s="3331" t="s">
        <v>1637</v>
      </c>
      <c r="C334" s="3332"/>
      <c r="D334" s="745"/>
      <c r="E334" s="746"/>
      <c r="F334" s="747"/>
    </row>
    <row r="335" spans="1:6" s="742" customFormat="1" ht="12.75">
      <c r="A335" s="741">
        <v>22400</v>
      </c>
      <c r="B335" s="3348" t="s">
        <v>1638</v>
      </c>
      <c r="C335" s="3349"/>
      <c r="D335" s="3349"/>
      <c r="E335" s="3349"/>
      <c r="F335" s="3350"/>
    </row>
    <row r="336" spans="1:6" s="742" customFormat="1" ht="12.75">
      <c r="A336" s="743">
        <v>22401</v>
      </c>
      <c r="B336" s="1119" t="s">
        <v>1639</v>
      </c>
      <c r="C336" s="1109"/>
      <c r="D336" s="745"/>
      <c r="E336" s="746"/>
      <c r="F336" s="747"/>
    </row>
    <row r="337" spans="1:6" s="742" customFormat="1" ht="12.75">
      <c r="A337" s="743">
        <f>+A336+1</f>
        <v>22402</v>
      </c>
      <c r="B337" s="1119" t="s">
        <v>1640</v>
      </c>
      <c r="C337" s="1109"/>
      <c r="D337" s="745"/>
      <c r="E337" s="746"/>
      <c r="F337" s="747"/>
    </row>
    <row r="338" spans="1:6" s="742" customFormat="1" ht="12.75">
      <c r="A338" s="743">
        <f t="shared" ref="A338:A340" si="29">+A337+1</f>
        <v>22403</v>
      </c>
      <c r="B338" s="1119" t="s">
        <v>1641</v>
      </c>
      <c r="C338" s="1109"/>
      <c r="D338" s="745"/>
      <c r="E338" s="746"/>
      <c r="F338" s="747"/>
    </row>
    <row r="339" spans="1:6" s="742" customFormat="1" ht="12.75">
      <c r="A339" s="743">
        <f t="shared" si="29"/>
        <v>22404</v>
      </c>
      <c r="B339" s="948" t="s">
        <v>1642</v>
      </c>
      <c r="C339" s="1109"/>
      <c r="D339" s="745"/>
      <c r="E339" s="746"/>
      <c r="F339" s="747"/>
    </row>
    <row r="340" spans="1:6" s="742" customFormat="1" ht="25.5">
      <c r="A340" s="743">
        <f t="shared" si="29"/>
        <v>22405</v>
      </c>
      <c r="B340" s="1119" t="s">
        <v>1643</v>
      </c>
      <c r="C340" s="1109"/>
      <c r="D340" s="745"/>
      <c r="E340" s="746"/>
      <c r="F340" s="747"/>
    </row>
    <row r="341" spans="1:6" s="742" customFormat="1" ht="12.75">
      <c r="A341" s="743">
        <v>22499</v>
      </c>
      <c r="B341" s="3331" t="s">
        <v>1644</v>
      </c>
      <c r="C341" s="3332"/>
      <c r="D341" s="745"/>
      <c r="E341" s="746"/>
      <c r="F341" s="747"/>
    </row>
    <row r="342" spans="1:6" s="742" customFormat="1" ht="12.75">
      <c r="A342" s="741">
        <v>22500</v>
      </c>
      <c r="B342" s="3348" t="s">
        <v>1645</v>
      </c>
      <c r="C342" s="3349"/>
      <c r="D342" s="3349"/>
      <c r="E342" s="3349"/>
      <c r="F342" s="3350"/>
    </row>
    <row r="343" spans="1:6" s="742" customFormat="1" ht="12.75">
      <c r="A343" s="743">
        <v>22501</v>
      </c>
      <c r="B343" s="948" t="s">
        <v>1646</v>
      </c>
      <c r="C343" s="1109"/>
      <c r="D343" s="745"/>
      <c r="E343" s="746"/>
      <c r="F343" s="747"/>
    </row>
    <row r="344" spans="1:6" s="742" customFormat="1" ht="12.75">
      <c r="A344" s="743">
        <f>+A343+1</f>
        <v>22502</v>
      </c>
      <c r="B344" s="948" t="s">
        <v>1647</v>
      </c>
      <c r="C344" s="1109"/>
      <c r="D344" s="745"/>
      <c r="E344" s="746"/>
      <c r="F344" s="747"/>
    </row>
    <row r="345" spans="1:6" s="742" customFormat="1" ht="12.75">
      <c r="A345" s="743">
        <f t="shared" ref="A345:A348" si="30">+A344+1</f>
        <v>22503</v>
      </c>
      <c r="B345" s="948" t="s">
        <v>941</v>
      </c>
      <c r="C345" s="1109"/>
      <c r="D345" s="745"/>
      <c r="E345" s="746"/>
      <c r="F345" s="747"/>
    </row>
    <row r="346" spans="1:6" s="742" customFormat="1" ht="12.75">
      <c r="A346" s="743">
        <f t="shared" si="30"/>
        <v>22504</v>
      </c>
      <c r="B346" s="948" t="s">
        <v>1648</v>
      </c>
      <c r="C346" s="1109"/>
      <c r="D346" s="745"/>
      <c r="E346" s="746"/>
      <c r="F346" s="747"/>
    </row>
    <row r="347" spans="1:6" s="742" customFormat="1" ht="12.75">
      <c r="A347" s="743">
        <f t="shared" si="30"/>
        <v>22505</v>
      </c>
      <c r="B347" s="948" t="s">
        <v>1649</v>
      </c>
      <c r="C347" s="1109"/>
      <c r="D347" s="745"/>
      <c r="E347" s="746"/>
      <c r="F347" s="747"/>
    </row>
    <row r="348" spans="1:6" s="742" customFormat="1" ht="12.75">
      <c r="A348" s="743">
        <f t="shared" si="30"/>
        <v>22506</v>
      </c>
      <c r="B348" s="948" t="s">
        <v>1650</v>
      </c>
      <c r="C348" s="1109"/>
      <c r="D348" s="745"/>
      <c r="E348" s="746"/>
      <c r="F348" s="747"/>
    </row>
    <row r="349" spans="1:6" s="742" customFormat="1" ht="12.75">
      <c r="A349" s="743">
        <v>22599</v>
      </c>
      <c r="B349" s="3354" t="s">
        <v>1651</v>
      </c>
      <c r="C349" s="3354"/>
      <c r="D349" s="745"/>
      <c r="E349" s="746"/>
      <c r="F349" s="747"/>
    </row>
    <row r="350" spans="1:6" s="742" customFormat="1" ht="12.75">
      <c r="A350" s="741">
        <v>22600</v>
      </c>
      <c r="B350" s="3355" t="s">
        <v>1652</v>
      </c>
      <c r="C350" s="3355"/>
      <c r="D350" s="3355"/>
      <c r="E350" s="3355"/>
      <c r="F350" s="3355"/>
    </row>
    <row r="351" spans="1:6" s="742" customFormat="1" ht="12.75">
      <c r="A351" s="743">
        <v>22601</v>
      </c>
      <c r="B351" s="948" t="s">
        <v>1653</v>
      </c>
      <c r="C351" s="1109"/>
      <c r="D351" s="745"/>
      <c r="E351" s="746"/>
      <c r="F351" s="747"/>
    </row>
    <row r="352" spans="1:6" s="742" customFormat="1" ht="12.75">
      <c r="A352" s="743">
        <f>+A351+1</f>
        <v>22602</v>
      </c>
      <c r="B352" s="948" t="s">
        <v>1654</v>
      </c>
      <c r="C352" s="1109"/>
      <c r="D352" s="745"/>
      <c r="E352" s="746"/>
      <c r="F352" s="747"/>
    </row>
    <row r="353" spans="1:6" s="742" customFormat="1" ht="12.75">
      <c r="A353" s="743">
        <f t="shared" ref="A353:A357" si="31">+A352+1</f>
        <v>22603</v>
      </c>
      <c r="B353" s="948" t="s">
        <v>1655</v>
      </c>
      <c r="C353" s="1109"/>
      <c r="D353" s="745"/>
      <c r="E353" s="746"/>
      <c r="F353" s="747"/>
    </row>
    <row r="354" spans="1:6" s="742" customFormat="1" ht="12.75">
      <c r="A354" s="743">
        <f t="shared" si="31"/>
        <v>22604</v>
      </c>
      <c r="B354" s="948" t="s">
        <v>1656</v>
      </c>
      <c r="C354" s="1109"/>
      <c r="D354" s="745"/>
      <c r="E354" s="746"/>
      <c r="F354" s="747"/>
    </row>
    <row r="355" spans="1:6" s="742" customFormat="1" ht="12.75">
      <c r="A355" s="743">
        <f t="shared" si="31"/>
        <v>22605</v>
      </c>
      <c r="B355" s="948" t="s">
        <v>1657</v>
      </c>
      <c r="C355" s="1109"/>
      <c r="D355" s="745"/>
      <c r="E355" s="746"/>
      <c r="F355" s="747"/>
    </row>
    <row r="356" spans="1:6" s="742" customFormat="1" ht="12.75">
      <c r="A356" s="743">
        <f t="shared" si="31"/>
        <v>22606</v>
      </c>
      <c r="B356" s="948" t="s">
        <v>1658</v>
      </c>
      <c r="C356" s="1109"/>
      <c r="D356" s="745"/>
      <c r="E356" s="746"/>
      <c r="F356" s="747"/>
    </row>
    <row r="357" spans="1:6" s="742" customFormat="1" ht="12.75">
      <c r="A357" s="743">
        <f t="shared" si="31"/>
        <v>22607</v>
      </c>
      <c r="B357" s="948" t="s">
        <v>1659</v>
      </c>
      <c r="C357" s="1109"/>
      <c r="D357" s="745"/>
      <c r="E357" s="746"/>
      <c r="F357" s="747"/>
    </row>
    <row r="358" spans="1:6" s="742" customFormat="1" ht="12.75">
      <c r="A358" s="743">
        <v>22699</v>
      </c>
      <c r="B358" s="3331" t="s">
        <v>1660</v>
      </c>
      <c r="C358" s="3332"/>
      <c r="D358" s="745"/>
      <c r="E358" s="746"/>
      <c r="F358" s="747"/>
    </row>
    <row r="359" spans="1:6" s="742" customFormat="1" ht="12.75">
      <c r="A359" s="741">
        <v>22700</v>
      </c>
      <c r="B359" s="3356" t="s">
        <v>1661</v>
      </c>
      <c r="C359" s="3357"/>
      <c r="D359" s="3357"/>
      <c r="E359" s="3357"/>
      <c r="F359" s="3358"/>
    </row>
    <row r="360" spans="1:6" s="742" customFormat="1" ht="12.75">
      <c r="A360" s="743">
        <v>22701</v>
      </c>
      <c r="B360" s="948" t="s">
        <v>1662</v>
      </c>
      <c r="C360" s="1109"/>
      <c r="D360" s="745"/>
      <c r="E360" s="746"/>
      <c r="F360" s="747"/>
    </row>
    <row r="361" spans="1:6" s="742" customFormat="1" ht="12.75">
      <c r="A361" s="743">
        <v>22702</v>
      </c>
      <c r="B361" s="948" t="s">
        <v>1663</v>
      </c>
      <c r="C361" s="1109"/>
      <c r="D361" s="745"/>
      <c r="E361" s="746"/>
      <c r="F361" s="747"/>
    </row>
    <row r="362" spans="1:6" s="742" customFormat="1" ht="12.75">
      <c r="A362" s="743">
        <f>+A361+1</f>
        <v>22703</v>
      </c>
      <c r="B362" s="948" t="s">
        <v>1664</v>
      </c>
      <c r="C362" s="1109"/>
      <c r="D362" s="745"/>
      <c r="E362" s="746"/>
      <c r="F362" s="747"/>
    </row>
    <row r="363" spans="1:6" s="742" customFormat="1" ht="12.75">
      <c r="A363" s="743">
        <f>+A362+1</f>
        <v>22704</v>
      </c>
      <c r="B363" s="948" t="s">
        <v>1665</v>
      </c>
      <c r="C363" s="1109"/>
      <c r="D363" s="745"/>
      <c r="E363" s="746"/>
      <c r="F363" s="747"/>
    </row>
    <row r="364" spans="1:6" s="742" customFormat="1" ht="12.75">
      <c r="A364" s="743">
        <v>22799</v>
      </c>
      <c r="B364" s="3331" t="s">
        <v>1666</v>
      </c>
      <c r="C364" s="3332"/>
      <c r="D364" s="745"/>
      <c r="E364" s="746"/>
      <c r="F364" s="747"/>
    </row>
    <row r="365" spans="1:6" s="742" customFormat="1" ht="12.75">
      <c r="A365" s="741">
        <v>22800</v>
      </c>
      <c r="B365" s="3351" t="s">
        <v>1667</v>
      </c>
      <c r="C365" s="3352"/>
      <c r="D365" s="3352"/>
      <c r="E365" s="3352"/>
      <c r="F365" s="3353"/>
    </row>
    <row r="366" spans="1:6" s="742" customFormat="1" ht="12.75">
      <c r="A366" s="743">
        <v>22801</v>
      </c>
      <c r="B366" s="948" t="s">
        <v>1668</v>
      </c>
      <c r="C366" s="1109"/>
      <c r="D366" s="745"/>
      <c r="E366" s="746"/>
      <c r="F366" s="747"/>
    </row>
    <row r="367" spans="1:6" s="742" customFormat="1" ht="12.75">
      <c r="A367" s="743">
        <f>+A366+1</f>
        <v>22802</v>
      </c>
      <c r="B367" s="948" t="s">
        <v>1669</v>
      </c>
      <c r="C367" s="1109"/>
      <c r="D367" s="745"/>
      <c r="E367" s="746"/>
      <c r="F367" s="747"/>
    </row>
    <row r="368" spans="1:6" s="742" customFormat="1" ht="12.75">
      <c r="A368" s="743">
        <f t="shared" ref="A368:A372" si="32">+A367+1</f>
        <v>22803</v>
      </c>
      <c r="B368" s="948" t="s">
        <v>1670</v>
      </c>
      <c r="C368" s="1109"/>
      <c r="D368" s="745"/>
      <c r="E368" s="746"/>
      <c r="F368" s="747"/>
    </row>
    <row r="369" spans="1:6" s="742" customFormat="1" ht="12.75">
      <c r="A369" s="743">
        <f t="shared" si="32"/>
        <v>22804</v>
      </c>
      <c r="B369" s="948" t="s">
        <v>1671</v>
      </c>
      <c r="C369" s="1109"/>
      <c r="D369" s="745"/>
      <c r="E369" s="746"/>
      <c r="F369" s="747"/>
    </row>
    <row r="370" spans="1:6" s="742" customFormat="1" ht="12.75">
      <c r="A370" s="743">
        <f t="shared" si="32"/>
        <v>22805</v>
      </c>
      <c r="B370" s="948" t="s">
        <v>1672</v>
      </c>
      <c r="C370" s="1109"/>
      <c r="D370" s="745"/>
      <c r="E370" s="746"/>
      <c r="F370" s="747"/>
    </row>
    <row r="371" spans="1:6" s="742" customFormat="1" ht="12.75">
      <c r="A371" s="743">
        <f t="shared" si="32"/>
        <v>22806</v>
      </c>
      <c r="B371" s="948" t="s">
        <v>1673</v>
      </c>
      <c r="C371" s="1109"/>
      <c r="D371" s="745"/>
      <c r="E371" s="746"/>
      <c r="F371" s="747"/>
    </row>
    <row r="372" spans="1:6" s="742" customFormat="1" ht="12.75">
      <c r="A372" s="743">
        <f t="shared" si="32"/>
        <v>22807</v>
      </c>
      <c r="B372" s="948" t="s">
        <v>1674</v>
      </c>
      <c r="C372" s="1109"/>
      <c r="D372" s="745"/>
      <c r="E372" s="746"/>
      <c r="F372" s="747"/>
    </row>
    <row r="373" spans="1:6" s="742" customFormat="1" ht="12.75">
      <c r="A373" s="743">
        <f>+A372+1</f>
        <v>22808</v>
      </c>
      <c r="B373" s="948" t="s">
        <v>1675</v>
      </c>
      <c r="C373" s="1109"/>
      <c r="D373" s="745"/>
      <c r="E373" s="746"/>
      <c r="F373" s="747"/>
    </row>
    <row r="374" spans="1:6" s="742" customFormat="1" ht="12.75">
      <c r="A374" s="743">
        <v>22899</v>
      </c>
      <c r="B374" s="3331" t="s">
        <v>1676</v>
      </c>
      <c r="C374" s="3332"/>
      <c r="D374" s="745"/>
      <c r="E374" s="746"/>
      <c r="F374" s="747"/>
    </row>
    <row r="375" spans="1:6" ht="15.75" customHeight="1"/>
    <row r="376" spans="1:6" ht="15.75" customHeight="1"/>
    <row r="377" spans="1:6" ht="15.75" customHeight="1"/>
    <row r="378" spans="1:6" ht="15.75" customHeight="1"/>
    <row r="379" spans="1:6" ht="15.75" customHeight="1"/>
    <row r="380" spans="1:6" ht="15.75" customHeight="1"/>
    <row r="381" spans="1:6" ht="15.75" customHeight="1"/>
    <row r="382" spans="1:6" ht="15.75" customHeight="1"/>
    <row r="383" spans="1:6" ht="15.75" customHeight="1"/>
    <row r="384" spans="1:6" ht="15.75" customHeight="1"/>
    <row r="385" spans="3:3" ht="15.75" customHeight="1">
      <c r="C385" s="341"/>
    </row>
    <row r="386" spans="3:3" ht="15.75" customHeight="1"/>
    <row r="387" spans="3:3" ht="15.75" customHeight="1"/>
    <row r="388" spans="3:3" ht="29.25" customHeight="1"/>
    <row r="389" spans="3:3" ht="15.75" customHeight="1"/>
    <row r="390" spans="3:3" ht="15.75" customHeight="1"/>
    <row r="391" spans="3:3" ht="15.75" customHeight="1"/>
    <row r="392" spans="3:3" ht="15.75" customHeight="1"/>
    <row r="393" spans="3:3" ht="15.75" customHeight="1"/>
    <row r="394" spans="3:3" ht="15.75" customHeight="1"/>
    <row r="395" spans="3:3" ht="15.75" customHeight="1"/>
    <row r="396" spans="3:3" ht="15.75" customHeight="1"/>
    <row r="397" spans="3:3" ht="15.75" customHeight="1"/>
    <row r="398" spans="3:3" ht="24.75" customHeight="1"/>
    <row r="399" spans="3:3" ht="16.5" customHeight="1"/>
    <row r="400" spans="3:3" ht="15.75" customHeight="1"/>
    <row r="401" ht="24.75" customHeight="1"/>
    <row r="402" ht="24.75" customHeight="1"/>
    <row r="403" ht="24.75" customHeight="1"/>
    <row r="404" ht="16.5" customHeight="1"/>
    <row r="405" ht="23.2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sheetData>
  <mergeCells count="66">
    <mergeCell ref="B335:F335"/>
    <mergeCell ref="B330:C330"/>
    <mergeCell ref="B322:F322"/>
    <mergeCell ref="B325:F325"/>
    <mergeCell ref="B331:F331"/>
    <mergeCell ref="B334:C334"/>
    <mergeCell ref="B324:C324"/>
    <mergeCell ref="B280:F280"/>
    <mergeCell ref="B286:C286"/>
    <mergeCell ref="B270:C270"/>
    <mergeCell ref="B374:C374"/>
    <mergeCell ref="B341:C341"/>
    <mergeCell ref="B342:F342"/>
    <mergeCell ref="B349:C349"/>
    <mergeCell ref="B350:F350"/>
    <mergeCell ref="B358:C358"/>
    <mergeCell ref="B359:F359"/>
    <mergeCell ref="B364:C364"/>
    <mergeCell ref="B365:F365"/>
    <mergeCell ref="B287:F287"/>
    <mergeCell ref="B306:C306"/>
    <mergeCell ref="B307:F307"/>
    <mergeCell ref="B321:C321"/>
    <mergeCell ref="B205:F205"/>
    <mergeCell ref="B229:F229"/>
    <mergeCell ref="B228:C228"/>
    <mergeCell ref="B271:F271"/>
    <mergeCell ref="B279:C279"/>
    <mergeCell ref="B140:F140"/>
    <mergeCell ref="B158:C158"/>
    <mergeCell ref="B159:F159"/>
    <mergeCell ref="B173:C173"/>
    <mergeCell ref="B204:C204"/>
    <mergeCell ref="B174:F174"/>
    <mergeCell ref="B154:F154"/>
    <mergeCell ref="B117:C117"/>
    <mergeCell ref="B118:F118"/>
    <mergeCell ref="B127:C127"/>
    <mergeCell ref="B139:C139"/>
    <mergeCell ref="B128:F128"/>
    <mergeCell ref="B97:F97"/>
    <mergeCell ref="B33:F33"/>
    <mergeCell ref="B39:C39"/>
    <mergeCell ref="B40:F40"/>
    <mergeCell ref="B96:C96"/>
    <mergeCell ref="B68:C68"/>
    <mergeCell ref="B69:F69"/>
    <mergeCell ref="B86:C86"/>
    <mergeCell ref="B87:F87"/>
    <mergeCell ref="B45:C45"/>
    <mergeCell ref="B46:F46"/>
    <mergeCell ref="B56:C56"/>
    <mergeCell ref="B57:F57"/>
    <mergeCell ref="B62:F62"/>
    <mergeCell ref="B61:C61"/>
    <mergeCell ref="B11:C11"/>
    <mergeCell ref="B12:F12"/>
    <mergeCell ref="B32:C32"/>
    <mergeCell ref="F4:F5"/>
    <mergeCell ref="A4:A10"/>
    <mergeCell ref="B4:C7"/>
    <mergeCell ref="D7:D10"/>
    <mergeCell ref="E7:E10"/>
    <mergeCell ref="B9:C9"/>
    <mergeCell ref="D4:E5"/>
    <mergeCell ref="F7:F10"/>
  </mergeCells>
  <phoneticPr fontId="21" type="noConversion"/>
  <pageMargins left="0.45" right="0.45" top="0.75" bottom="0.5" header="0.3" footer="0.3"/>
  <pageSetup paperSize="9" scale="92" orientation="landscape" r:id="rId1"/>
  <headerFooter alignWithMargins="0">
    <oddFooter>&amp;C&amp;P</oddFooter>
  </headerFooter>
  <rowBreaks count="14" manualBreakCount="14">
    <brk id="35" max="5" man="1"/>
    <brk id="61" max="5" man="1"/>
    <brk id="86" max="5" man="1"/>
    <brk id="111" max="5" man="1"/>
    <brk id="135" max="5" man="1"/>
    <brk id="157" max="5" man="1"/>
    <brk id="180" max="5" man="1"/>
    <brk id="204" max="5" man="1"/>
    <brk id="227" max="5" man="1"/>
    <brk id="250" max="5" man="1"/>
    <brk id="274" max="5" man="1"/>
    <brk id="297" max="5" man="1"/>
    <brk id="321" max="5" man="1"/>
    <brk id="347" max="5" man="1"/>
  </rowBreaks>
  <colBreaks count="1" manualBreakCount="1">
    <brk id="6" max="1048575" man="1"/>
  </colBreaks>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737ae7ac-7244-4c1a-9501-37db3fd8a295" xsi:nil="true"/>
    <lcf76f155ced4ddcb4097134ff3c332f xmlns="55f64b96-1777-4c53-b2f7-c3490b3c03a2">
      <Terms xmlns="http://schemas.microsoft.com/office/infopath/2007/PartnerControls"/>
    </lcf76f155ced4ddcb4097134ff3c332f>
    <_Flow_SignoffStatus xmlns="55f64b96-1777-4c53-b2f7-c3490b3c03a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D6AD31BBE10E149AC8F790045158D54" ma:contentTypeVersion="17" ma:contentTypeDescription="Create a new document." ma:contentTypeScope="" ma:versionID="0866986f95715ff985a07d5a293cebc1">
  <xsd:schema xmlns:xsd="http://www.w3.org/2001/XMLSchema" xmlns:xs="http://www.w3.org/2001/XMLSchema" xmlns:p="http://schemas.microsoft.com/office/2006/metadata/properties" xmlns:ns2="55f64b96-1777-4c53-b2f7-c3490b3c03a2" xmlns:ns3="737ae7ac-7244-4c1a-9501-37db3fd8a295" targetNamespace="http://schemas.microsoft.com/office/2006/metadata/properties" ma:root="true" ma:fieldsID="0ad0d2866f9fd04431675da7ebc0a06d" ns2:_="" ns3:_="">
    <xsd:import namespace="55f64b96-1777-4c53-b2f7-c3490b3c03a2"/>
    <xsd:import namespace="737ae7ac-7244-4c1a-9501-37db3fd8a295"/>
    <xsd:element name="properties">
      <xsd:complexType>
        <xsd:sequence>
          <xsd:element name="documentManagement">
            <xsd:complexType>
              <xsd:all>
                <xsd:element ref="ns2:MediaServiceMetadata" minOccurs="0"/>
                <xsd:element ref="ns2:MediaServiceFastMetadata" minOccurs="0"/>
                <xsd:element ref="ns3:TaxCatchAll" minOccurs="0"/>
                <xsd:element ref="ns2:MediaServiceOCR" minOccurs="0"/>
                <xsd:element ref="ns2:MediaServiceGenerationTime" minOccurs="0"/>
                <xsd:element ref="ns2:MediaServiceEventHashCode" minOccurs="0"/>
                <xsd:element ref="ns2:lcf76f155ced4ddcb4097134ff3c332f" minOccurs="0"/>
                <xsd:element ref="ns2:_Flow_SignoffStatus" minOccurs="0"/>
                <xsd:element ref="ns2:MediaServiceDateTaken" minOccurs="0"/>
                <xsd:element ref="ns2:MediaServiceObjectDetectorVersion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5f64b96-1777-4c53-b2f7-c3490b3c03a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d580a9c-752d-456a-a4b6-6645a81aa6f0" ma:termSetId="09814cd3-568e-fe90-9814-8d621ff8fb84" ma:anchorId="fba54fb3-c3e1-fe81-a776-ca4b69148c4d" ma:open="true" ma:isKeyword="false">
      <xsd:complexType>
        <xsd:sequence>
          <xsd:element ref="pc:Terms" minOccurs="0" maxOccurs="1"/>
        </xsd:sequence>
      </xsd:complexType>
    </xsd:element>
    <xsd:element name="_Flow_SignoffStatus" ma:index="16" nillable="true" ma:displayName="Sign-off status" ma:internalName="Sign_x002d_off_x0020_status">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37ae7ac-7244-4c1a-9501-37db3fd8a295"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b58e6145-d081-4f40-95b8-a249dbc119ae}" ma:internalName="TaxCatchAll" ma:showField="CatchAllData" ma:web="737ae7ac-7244-4c1a-9501-37db3fd8a295">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C71DE65-A904-47DC-944B-170A5BFF905B}">
  <ds:schemaRefs>
    <ds:schemaRef ds:uri="http://schemas.microsoft.com/office/2006/documentManagement/types"/>
    <ds:schemaRef ds:uri="55f64b96-1777-4c53-b2f7-c3490b3c03a2"/>
    <ds:schemaRef ds:uri="http://www.w3.org/XML/1998/namespace"/>
    <ds:schemaRef ds:uri="http://purl.org/dc/elements/1.1/"/>
    <ds:schemaRef ds:uri="http://schemas.microsoft.com/office/2006/metadata/properties"/>
    <ds:schemaRef ds:uri="737ae7ac-7244-4c1a-9501-37db3fd8a295"/>
    <ds:schemaRef ds:uri="http://schemas.microsoft.com/office/infopath/2007/PartnerControls"/>
    <ds:schemaRef ds:uri="http://purl.org/dc/terms/"/>
    <ds:schemaRef ds:uri="http://schemas.openxmlformats.org/package/2006/metadata/core-properties"/>
    <ds:schemaRef ds:uri="http://purl.org/dc/dcmitype/"/>
  </ds:schemaRefs>
</ds:datastoreItem>
</file>

<file path=customXml/itemProps2.xml><?xml version="1.0" encoding="utf-8"?>
<ds:datastoreItem xmlns:ds="http://schemas.openxmlformats.org/officeDocument/2006/customXml" ds:itemID="{C2BA31E1-4288-4F58-9508-E2E8BA29EFEC}">
  <ds:schemaRefs>
    <ds:schemaRef ds:uri="http://schemas.microsoft.com/sharepoint/v3/contenttype/forms"/>
  </ds:schemaRefs>
</ds:datastoreItem>
</file>

<file path=customXml/itemProps3.xml><?xml version="1.0" encoding="utf-8"?>
<ds:datastoreItem xmlns:ds="http://schemas.openxmlformats.org/officeDocument/2006/customXml" ds:itemID="{F561CBBB-7126-48DF-8F3A-B2A0AB06B67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5f64b96-1777-4c53-b2f7-c3490b3c03a2"/>
    <ds:schemaRef ds:uri="737ae7ac-7244-4c1a-9501-37db3fd8a29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32</vt:i4>
      </vt:variant>
    </vt:vector>
  </HeadingPairs>
  <TitlesOfParts>
    <vt:vector size="52" baseType="lpstr">
      <vt:lpstr>Cover</vt:lpstr>
      <vt:lpstr>01 Roster</vt:lpstr>
      <vt:lpstr>01 Migration</vt:lpstr>
      <vt:lpstr>02-A Education</vt:lpstr>
      <vt:lpstr>02-B Education</vt:lpstr>
      <vt:lpstr>03-A Health</vt:lpstr>
      <vt:lpstr>03-B Disability</vt:lpstr>
      <vt:lpstr>04 Job_ok</vt:lpstr>
      <vt:lpstr>05-А Oth.inc</vt:lpstr>
      <vt:lpstr>05-B Remit_Sender</vt:lpstr>
      <vt:lpstr>06-A1 Agric.</vt:lpstr>
      <vt:lpstr>06-А2 Agric</vt:lpstr>
      <vt:lpstr>06-B Agric</vt:lpstr>
      <vt:lpstr>07 Self</vt:lpstr>
      <vt:lpstr>08 sav</vt:lpstr>
      <vt:lpstr>09-A Housing</vt:lpstr>
      <vt:lpstr>09-B Housing</vt:lpstr>
      <vt:lpstr>10 Other MPI</vt:lpstr>
      <vt:lpstr>11 Dur</vt:lpstr>
      <vt:lpstr>12 NonFood</vt:lpstr>
      <vt:lpstr>'01 Migration'!Print_Area</vt:lpstr>
      <vt:lpstr>'01 Roster'!Print_Area</vt:lpstr>
      <vt:lpstr>'02-A Education'!Print_Area</vt:lpstr>
      <vt:lpstr>'02-B Education'!Print_Area</vt:lpstr>
      <vt:lpstr>'03-B Disability'!Print_Area</vt:lpstr>
      <vt:lpstr>'04 Job_ok'!Print_Area</vt:lpstr>
      <vt:lpstr>'05-B Remit_Sender'!Print_Area</vt:lpstr>
      <vt:lpstr>'05-А Oth.inc'!Print_Area</vt:lpstr>
      <vt:lpstr>'06-A1 Agric.'!Print_Area</vt:lpstr>
      <vt:lpstr>'06-B Agric'!Print_Area</vt:lpstr>
      <vt:lpstr>'06-А2 Agric'!Print_Area</vt:lpstr>
      <vt:lpstr>'07 Self'!Print_Area</vt:lpstr>
      <vt:lpstr>'08 sav'!Print_Area</vt:lpstr>
      <vt:lpstr>'09-A Housing'!Print_Area</vt:lpstr>
      <vt:lpstr>'09-B Housing'!Print_Area</vt:lpstr>
      <vt:lpstr>'10 Other MPI'!Print_Area</vt:lpstr>
      <vt:lpstr>'11 Dur'!Print_Area</vt:lpstr>
      <vt:lpstr>'12 NonFood'!Print_Area</vt:lpstr>
      <vt:lpstr>Cover!Print_Area</vt:lpstr>
      <vt:lpstr>'01 Migration'!Print_Titles</vt:lpstr>
      <vt:lpstr>'02-A Education'!Print_Titles</vt:lpstr>
      <vt:lpstr>'02-B Education'!Print_Titles</vt:lpstr>
      <vt:lpstr>'03-A Health'!Print_Titles</vt:lpstr>
      <vt:lpstr>'04 Job_ok'!Print_Titles</vt:lpstr>
      <vt:lpstr>'05-B Remit_Sender'!Print_Titles</vt:lpstr>
      <vt:lpstr>'06-A1 Agric.'!Print_Titles</vt:lpstr>
      <vt:lpstr>'06-B Agric'!Print_Titles</vt:lpstr>
      <vt:lpstr>'06-А2 Agric'!Print_Titles</vt:lpstr>
      <vt:lpstr>'09-A Housing'!Print_Titles</vt:lpstr>
      <vt:lpstr>'10 Other MPI'!Print_Titles</vt:lpstr>
      <vt:lpstr>'11 Dur'!Print_Titles</vt:lpstr>
      <vt:lpstr>'12 NonFood'!Print_Titles</vt:lpstr>
    </vt:vector>
  </TitlesOfParts>
  <Manager/>
  <Company>nso</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amartuvshin</dc:creator>
  <cp:keywords/>
  <dc:description/>
  <cp:lastModifiedBy>Ундрал Лхагва</cp:lastModifiedBy>
  <cp:revision/>
  <cp:lastPrinted>2024-01-08T14:51:38Z</cp:lastPrinted>
  <dcterms:created xsi:type="dcterms:W3CDTF">2007-05-22T02:24:19Z</dcterms:created>
  <dcterms:modified xsi:type="dcterms:W3CDTF">2024-01-09T14:03:02Z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0x0101006D6AD31BBE10E149AC8F790045158D54</vt:lpwstr>
  </property>
  <property fmtid="{D5CDD505-2E9C-101B-9397-08002B2CF9AE}" pid="3" name="MediaServiceImageTags">
    <vt:lpwstr/>
  </property>
</Properties>
</file>